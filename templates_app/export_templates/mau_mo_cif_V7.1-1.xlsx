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antri.7202-WS007099\Downloads\"/>
    </mc:Choice>
  </mc:AlternateContent>
  <workbookProtection workbookPassword="E0B1" lockStructure="1"/>
  <bookViews>
    <workbookView xWindow="0" yWindow="0" windowWidth="28800" windowHeight="10710" tabRatio="500"/>
  </bookViews>
  <sheets>
    <sheet name="DANG_KY_MOI" sheetId="1" r:id="rId1"/>
    <sheet name="TINH_TP" sheetId="2" r:id="rId2"/>
    <sheet name="PHUONG_XA" sheetId="3" r:id="rId3"/>
    <sheet name="NOI_CAP" sheetId="4" r:id="rId4"/>
    <sheet name="QUOC_GIA" sheetId="5" r:id="rId5"/>
    <sheet name="GIOI_TINH" sheetId="6" r:id="rId6"/>
    <sheet name="LOAI_DIA_CHI" sheetId="7" r:id="rId7"/>
    <sheet name="LOAI_THUE" sheetId="8" r:id="rId8"/>
    <sheet name="CHI_TIET_LOAI_KH" sheetId="9" r:id="rId9"/>
    <sheet name="NGHE_NGHIEP" sheetId="10" r:id="rId10"/>
    <sheet name="LOAI_ID" sheetId="11" r:id="rId11"/>
    <sheet name="TINH_TRANG_CU_TRU" sheetId="12" r:id="rId12"/>
    <sheet name="LOAI_TIEN_GUI" sheetId="13" r:id="rId13"/>
    <sheet name="DOI_TUONG_MIEN_PHI" sheetId="15" r:id="rId14"/>
    <sheet name="LOAI_THE" sheetId="16" r:id="rId15"/>
    <sheet name="CARD" sheetId="17" r:id="rId16"/>
    <sheet name="TEMPLATE_HYPERLOGY" sheetId="18" state="hidden" r:id="rId17"/>
  </sheets>
  <definedNames>
    <definedName name="_xlnm._FilterDatabase" localSheetId="3" hidden="1">NOI_CAP!$A$1:$B$3701</definedName>
    <definedName name="_xlnm._FilterDatabase" localSheetId="2" hidden="1">PHUONG_XA!$A$1:$C$3323</definedName>
    <definedName name="_xlnm._FilterDatabase" localSheetId="1" hidden="1">TINH_TP!$A$1:$C$35</definedName>
    <definedName name="BAO_HIEM_ABIC">CARD!$J$2:$J$3</definedName>
    <definedName name="CHI_TIET_LOAI_KH">CHI_TIET_LOAI_KH!$B$2:$B$4</definedName>
    <definedName name="DOI_TUONG_MIEN_PHI">DOI_TUONG_MIEN_PHI!$B$2:$B$15</definedName>
    <definedName name="GIOI_TINH">GIOI_TINH!$B$2:$B$3</definedName>
    <definedName name="HINH_THUC_NHAN">CARD!$B$2:$B$3</definedName>
    <definedName name="HINH_THUC_PHAT_HANH">CARD!$F$2:$F$3</definedName>
    <definedName name="LOAI_DIA_CHI">LOAI_DIA_CHI!$B$2:$B$3</definedName>
    <definedName name="LOAI_ID">LOAI_ID!$B$2</definedName>
    <definedName name="LOAI_THE">LOAI_THE!$B$2:$B$5</definedName>
    <definedName name="LOAI_THUE">LOAI_THUE!$B$2</definedName>
    <definedName name="NGHE_NGHIEP">NGHE_NGHIEP!$B$2:$B$23</definedName>
    <definedName name="NOI_CAP">NOI_CAP!$B$2:$B$3701</definedName>
    <definedName name="PHUONG_XA">PHUONG_XA!$B$2:$B$3323</definedName>
    <definedName name="QUOC_GIA">QUOC_GIA!$B$2</definedName>
    <definedName name="TINH_TP">TINH_TP!$B$2:$B$35</definedName>
    <definedName name="Z_6E28C1C2_2488_40F5_AD70_D4C724F64D78_.wvu.FilterData" localSheetId="3" hidden="1">NOI_CAP!$A$1:$B$3701</definedName>
    <definedName name="Z_6E28C1C2_2488_40F5_AD70_D4C724F64D78_.wvu.FilterData" localSheetId="2" hidden="1">PHUONG_XA!$A$1:$C$1</definedName>
    <definedName name="Z_6E28C1C2_2488_40F5_AD70_D4C724F64D78_.wvu.FilterData" localSheetId="1" hidden="1">TINH_TP!$A$1:$C$35</definedName>
  </definedNames>
  <calcPr calcId="152511"/>
  <customWorkbookViews>
    <customWorkbookView name="Admin - Personal View" guid="{6E28C1C2-2488-40F5-AD70-D4C724F64D78}" mergeInterval="0" personalView="1" maximized="1" xWindow="1912" yWindow="-8" windowWidth="1936" windowHeight="1048" tabRatio="500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" i="1" l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4" i="1"/>
  <c r="AT4" i="1" l="1"/>
  <c r="J4" i="1" l="1"/>
  <c r="AG14" i="1" l="1"/>
  <c r="AL14" i="1" s="1"/>
  <c r="AG15" i="1"/>
  <c r="AL15" i="1" s="1"/>
  <c r="AG16" i="1"/>
  <c r="AL16" i="1" s="1"/>
  <c r="AG17" i="1"/>
  <c r="AL17" i="1" s="1"/>
  <c r="AG18" i="1"/>
  <c r="AL18" i="1" s="1"/>
  <c r="AG19" i="1"/>
  <c r="AL19" i="1" s="1"/>
  <c r="AG20" i="1"/>
  <c r="AL20" i="1" s="1"/>
  <c r="AG21" i="1"/>
  <c r="AL21" i="1" s="1"/>
  <c r="AG22" i="1"/>
  <c r="AL22" i="1" s="1"/>
  <c r="AG23" i="1"/>
  <c r="AL23" i="1" s="1"/>
  <c r="AG24" i="1"/>
  <c r="AL24" i="1" s="1"/>
  <c r="AG25" i="1"/>
  <c r="AL25" i="1" s="1"/>
  <c r="AG26" i="1"/>
  <c r="AL26" i="1" s="1"/>
  <c r="AG27" i="1"/>
  <c r="AL27" i="1" s="1"/>
  <c r="AG28" i="1"/>
  <c r="AL28" i="1" s="1"/>
  <c r="AG29" i="1"/>
  <c r="AL29" i="1" s="1"/>
  <c r="AG30" i="1"/>
  <c r="AL30" i="1" s="1"/>
  <c r="AG31" i="1"/>
  <c r="AL31" i="1" s="1"/>
  <c r="AG32" i="1"/>
  <c r="AL32" i="1" s="1"/>
  <c r="AG33" i="1"/>
  <c r="AL33" i="1" s="1"/>
  <c r="AG34" i="1"/>
  <c r="AL34" i="1" s="1"/>
  <c r="AG35" i="1"/>
  <c r="AL35" i="1" s="1"/>
  <c r="AG36" i="1"/>
  <c r="AL36" i="1" s="1"/>
  <c r="AG37" i="1"/>
  <c r="AL37" i="1" s="1"/>
  <c r="AG38" i="1"/>
  <c r="AL38" i="1" s="1"/>
  <c r="AG39" i="1"/>
  <c r="AL39" i="1" s="1"/>
  <c r="AG40" i="1"/>
  <c r="AL40" i="1" s="1"/>
  <c r="AG41" i="1"/>
  <c r="AL41" i="1" s="1"/>
  <c r="AG42" i="1"/>
  <c r="AL42" i="1" s="1"/>
  <c r="AG43" i="1"/>
  <c r="AL43" i="1" s="1"/>
  <c r="AG44" i="1"/>
  <c r="AL44" i="1" s="1"/>
  <c r="AG45" i="1"/>
  <c r="AL45" i="1" s="1"/>
  <c r="AG46" i="1"/>
  <c r="AL46" i="1" s="1"/>
  <c r="AG47" i="1"/>
  <c r="AL47" i="1" s="1"/>
  <c r="AG48" i="1"/>
  <c r="AL48" i="1" s="1"/>
  <c r="AG49" i="1"/>
  <c r="AL49" i="1" s="1"/>
  <c r="AG50" i="1"/>
  <c r="AL50" i="1" s="1"/>
  <c r="AG51" i="1"/>
  <c r="AL51" i="1" s="1"/>
  <c r="AG52" i="1"/>
  <c r="AL52" i="1" s="1"/>
  <c r="AG53" i="1"/>
  <c r="AL53" i="1" s="1"/>
  <c r="AG54" i="1"/>
  <c r="AL54" i="1" s="1"/>
  <c r="AG55" i="1"/>
  <c r="AL55" i="1" s="1"/>
  <c r="AG56" i="1"/>
  <c r="AL56" i="1" s="1"/>
  <c r="AG57" i="1"/>
  <c r="AL57" i="1" s="1"/>
  <c r="AG58" i="1"/>
  <c r="AL58" i="1" s="1"/>
  <c r="AG59" i="1"/>
  <c r="AL59" i="1" s="1"/>
  <c r="AG60" i="1"/>
  <c r="AL60" i="1" s="1"/>
  <c r="AG61" i="1"/>
  <c r="AL61" i="1" s="1"/>
  <c r="AG62" i="1"/>
  <c r="AL62" i="1" s="1"/>
  <c r="AG63" i="1"/>
  <c r="AL63" i="1" s="1"/>
  <c r="AG64" i="1"/>
  <c r="AL64" i="1" s="1"/>
  <c r="AG65" i="1"/>
  <c r="AL65" i="1" s="1"/>
  <c r="AG66" i="1"/>
  <c r="AL66" i="1" s="1"/>
  <c r="AG67" i="1"/>
  <c r="AL67" i="1" s="1"/>
  <c r="AG68" i="1"/>
  <c r="AL68" i="1" s="1"/>
  <c r="AG69" i="1"/>
  <c r="AL69" i="1" s="1"/>
  <c r="AG70" i="1"/>
  <c r="AL70" i="1" s="1"/>
  <c r="AG71" i="1"/>
  <c r="AL71" i="1" s="1"/>
  <c r="AG72" i="1"/>
  <c r="AL72" i="1" s="1"/>
  <c r="AG73" i="1"/>
  <c r="AL73" i="1" s="1"/>
  <c r="AG74" i="1"/>
  <c r="AL74" i="1" s="1"/>
  <c r="AG75" i="1"/>
  <c r="AL75" i="1" s="1"/>
  <c r="AG76" i="1"/>
  <c r="AL76" i="1" s="1"/>
  <c r="AG77" i="1"/>
  <c r="AL77" i="1" s="1"/>
  <c r="AG78" i="1"/>
  <c r="AL78" i="1" s="1"/>
  <c r="AG79" i="1"/>
  <c r="AL79" i="1" s="1"/>
  <c r="AG80" i="1"/>
  <c r="AL80" i="1" s="1"/>
  <c r="AG81" i="1"/>
  <c r="AL81" i="1" s="1"/>
  <c r="AG82" i="1"/>
  <c r="AL82" i="1" s="1"/>
  <c r="AG83" i="1"/>
  <c r="AL83" i="1" s="1"/>
  <c r="AG84" i="1"/>
  <c r="AL84" i="1" s="1"/>
  <c r="AG85" i="1"/>
  <c r="AL85" i="1" s="1"/>
  <c r="AG86" i="1"/>
  <c r="AL86" i="1" s="1"/>
  <c r="AG87" i="1"/>
  <c r="AL87" i="1" s="1"/>
  <c r="AG88" i="1"/>
  <c r="AL88" i="1" s="1"/>
  <c r="AG89" i="1"/>
  <c r="AL89" i="1" s="1"/>
  <c r="AG90" i="1"/>
  <c r="AL90" i="1" s="1"/>
  <c r="AG91" i="1"/>
  <c r="AL91" i="1" s="1"/>
  <c r="AG92" i="1"/>
  <c r="AL92" i="1" s="1"/>
  <c r="AG93" i="1"/>
  <c r="AL93" i="1" s="1"/>
  <c r="AG94" i="1"/>
  <c r="AL94" i="1" s="1"/>
  <c r="AG95" i="1"/>
  <c r="AL95" i="1" s="1"/>
  <c r="AG96" i="1"/>
  <c r="AL96" i="1" s="1"/>
  <c r="AG97" i="1"/>
  <c r="AL97" i="1" s="1"/>
  <c r="AG98" i="1"/>
  <c r="AL98" i="1" s="1"/>
  <c r="AG99" i="1"/>
  <c r="AL99" i="1" s="1"/>
  <c r="AG100" i="1"/>
  <c r="AL100" i="1" s="1"/>
  <c r="AG101" i="1"/>
  <c r="AL101" i="1" s="1"/>
  <c r="AG102" i="1"/>
  <c r="AL102" i="1" s="1"/>
  <c r="AG103" i="1"/>
  <c r="AL103" i="1" s="1"/>
  <c r="AG104" i="1"/>
  <c r="AL104" i="1" s="1"/>
  <c r="AG105" i="1"/>
  <c r="AL105" i="1" s="1"/>
  <c r="AG106" i="1"/>
  <c r="AL106" i="1" s="1"/>
  <c r="AG107" i="1"/>
  <c r="AL107" i="1" s="1"/>
  <c r="AG108" i="1"/>
  <c r="AL108" i="1" s="1"/>
  <c r="AG109" i="1"/>
  <c r="AL109" i="1" s="1"/>
  <c r="AG110" i="1"/>
  <c r="AL110" i="1" s="1"/>
  <c r="AG111" i="1"/>
  <c r="AL111" i="1" s="1"/>
  <c r="AG112" i="1"/>
  <c r="AL112" i="1" s="1"/>
  <c r="AG113" i="1"/>
  <c r="AL113" i="1" s="1"/>
  <c r="AG114" i="1"/>
  <c r="AL114" i="1" s="1"/>
  <c r="AG115" i="1"/>
  <c r="AL115" i="1" s="1"/>
  <c r="AG116" i="1"/>
  <c r="AL116" i="1" s="1"/>
  <c r="AG117" i="1"/>
  <c r="AL117" i="1" s="1"/>
  <c r="AG118" i="1"/>
  <c r="AL118" i="1" s="1"/>
  <c r="AG119" i="1"/>
  <c r="AL119" i="1" s="1"/>
  <c r="AG120" i="1"/>
  <c r="AL120" i="1" s="1"/>
  <c r="AG121" i="1"/>
  <c r="AL121" i="1" s="1"/>
  <c r="AG122" i="1"/>
  <c r="AL122" i="1" s="1"/>
  <c r="AG123" i="1"/>
  <c r="AL123" i="1" s="1"/>
  <c r="AG124" i="1"/>
  <c r="AL124" i="1" s="1"/>
  <c r="AG125" i="1"/>
  <c r="AL125" i="1" s="1"/>
  <c r="AG126" i="1"/>
  <c r="AL126" i="1" s="1"/>
  <c r="AG127" i="1"/>
  <c r="AL127" i="1" s="1"/>
  <c r="AG128" i="1"/>
  <c r="AL128" i="1" s="1"/>
  <c r="AG129" i="1"/>
  <c r="AL129" i="1" s="1"/>
  <c r="AG130" i="1"/>
  <c r="AL130" i="1" s="1"/>
  <c r="AG131" i="1"/>
  <c r="AL131" i="1" s="1"/>
  <c r="AG132" i="1"/>
  <c r="AL132" i="1" s="1"/>
  <c r="AG133" i="1"/>
  <c r="AL133" i="1" s="1"/>
  <c r="AG134" i="1"/>
  <c r="AL134" i="1" s="1"/>
  <c r="AG135" i="1"/>
  <c r="AL135" i="1" s="1"/>
  <c r="AG136" i="1"/>
  <c r="AL136" i="1" s="1"/>
  <c r="AG137" i="1"/>
  <c r="AL137" i="1" s="1"/>
  <c r="AG138" i="1"/>
  <c r="AL138" i="1" s="1"/>
  <c r="AG139" i="1"/>
  <c r="AL139" i="1" s="1"/>
  <c r="AG140" i="1"/>
  <c r="AL140" i="1" s="1"/>
  <c r="AG141" i="1"/>
  <c r="AL141" i="1" s="1"/>
  <c r="AG142" i="1"/>
  <c r="AL142" i="1" s="1"/>
  <c r="AG143" i="1"/>
  <c r="AL143" i="1" s="1"/>
  <c r="AG144" i="1"/>
  <c r="AL144" i="1" s="1"/>
  <c r="AG145" i="1"/>
  <c r="AL145" i="1" s="1"/>
  <c r="AG146" i="1"/>
  <c r="AL146" i="1" s="1"/>
  <c r="AG147" i="1"/>
  <c r="AL147" i="1" s="1"/>
  <c r="AG148" i="1"/>
  <c r="AL148" i="1" s="1"/>
  <c r="AG149" i="1"/>
  <c r="AL149" i="1" s="1"/>
  <c r="AG150" i="1"/>
  <c r="AL150" i="1" s="1"/>
  <c r="AG151" i="1"/>
  <c r="AL151" i="1" s="1"/>
  <c r="AG152" i="1"/>
  <c r="AL152" i="1" s="1"/>
  <c r="AG153" i="1"/>
  <c r="AL153" i="1" s="1"/>
  <c r="AG154" i="1"/>
  <c r="AL154" i="1" s="1"/>
  <c r="AG155" i="1"/>
  <c r="AL155" i="1" s="1"/>
  <c r="AG156" i="1"/>
  <c r="AL156" i="1" s="1"/>
  <c r="AG157" i="1"/>
  <c r="AL157" i="1" s="1"/>
  <c r="AG158" i="1"/>
  <c r="AL158" i="1" s="1"/>
  <c r="AG159" i="1"/>
  <c r="AL159" i="1" s="1"/>
  <c r="AG160" i="1"/>
  <c r="AL160" i="1" s="1"/>
  <c r="AG161" i="1"/>
  <c r="AL161" i="1" s="1"/>
  <c r="AG162" i="1"/>
  <c r="AL162" i="1" s="1"/>
  <c r="AG163" i="1"/>
  <c r="AL163" i="1" s="1"/>
  <c r="AG164" i="1"/>
  <c r="AL164" i="1" s="1"/>
  <c r="AG165" i="1"/>
  <c r="AL165" i="1" s="1"/>
  <c r="AG166" i="1"/>
  <c r="AL166" i="1" s="1"/>
  <c r="AG167" i="1"/>
  <c r="AL167" i="1" s="1"/>
  <c r="AG168" i="1"/>
  <c r="AL168" i="1" s="1"/>
  <c r="AG169" i="1"/>
  <c r="AL169" i="1" s="1"/>
  <c r="AG170" i="1"/>
  <c r="AL170" i="1" s="1"/>
  <c r="AG171" i="1"/>
  <c r="AL171" i="1" s="1"/>
  <c r="AG172" i="1"/>
  <c r="AL172" i="1" s="1"/>
  <c r="AG173" i="1"/>
  <c r="AL173" i="1" s="1"/>
  <c r="AG174" i="1"/>
  <c r="AL174" i="1" s="1"/>
  <c r="AG175" i="1"/>
  <c r="AL175" i="1" s="1"/>
  <c r="AG176" i="1"/>
  <c r="AL176" i="1" s="1"/>
  <c r="AG177" i="1"/>
  <c r="AL177" i="1" s="1"/>
  <c r="AG178" i="1"/>
  <c r="AL178" i="1" s="1"/>
  <c r="AG179" i="1"/>
  <c r="AL179" i="1" s="1"/>
  <c r="AG180" i="1"/>
  <c r="AL180" i="1" s="1"/>
  <c r="AG181" i="1"/>
  <c r="AL181" i="1" s="1"/>
  <c r="AG182" i="1"/>
  <c r="AL182" i="1" s="1"/>
  <c r="AG183" i="1"/>
  <c r="AL183" i="1" s="1"/>
  <c r="AG184" i="1"/>
  <c r="AL184" i="1" s="1"/>
  <c r="AG185" i="1"/>
  <c r="AL185" i="1" s="1"/>
  <c r="AG186" i="1"/>
  <c r="AL186" i="1" s="1"/>
  <c r="AG187" i="1"/>
  <c r="AL187" i="1" s="1"/>
  <c r="AG188" i="1"/>
  <c r="AL188" i="1" s="1"/>
  <c r="AG189" i="1"/>
  <c r="AL189" i="1" s="1"/>
  <c r="AG190" i="1"/>
  <c r="AL190" i="1" s="1"/>
  <c r="AG191" i="1"/>
  <c r="AL191" i="1" s="1"/>
  <c r="AG192" i="1"/>
  <c r="AL192" i="1" s="1"/>
  <c r="AG193" i="1"/>
  <c r="AL193" i="1" s="1"/>
  <c r="AG194" i="1"/>
  <c r="AL194" i="1" s="1"/>
  <c r="AG195" i="1"/>
  <c r="AL195" i="1" s="1"/>
  <c r="AG196" i="1"/>
  <c r="AL196" i="1" s="1"/>
  <c r="AG197" i="1"/>
  <c r="AL197" i="1" s="1"/>
  <c r="AG198" i="1"/>
  <c r="AL198" i="1" s="1"/>
  <c r="AG199" i="1"/>
  <c r="AL199" i="1" s="1"/>
  <c r="AG200" i="1"/>
  <c r="AL200" i="1" s="1"/>
  <c r="AG201" i="1"/>
  <c r="AL201" i="1" s="1"/>
  <c r="AG202" i="1"/>
  <c r="AL202" i="1" s="1"/>
  <c r="AG203" i="1"/>
  <c r="AL203" i="1" s="1"/>
  <c r="AG204" i="1"/>
  <c r="AL204" i="1" s="1"/>
  <c r="AG205" i="1"/>
  <c r="AL205" i="1" s="1"/>
  <c r="AG206" i="1"/>
  <c r="AL206" i="1" s="1"/>
  <c r="AG207" i="1"/>
  <c r="AL207" i="1" s="1"/>
  <c r="AG208" i="1"/>
  <c r="AL208" i="1" s="1"/>
  <c r="AG209" i="1"/>
  <c r="AL209" i="1" s="1"/>
  <c r="AG210" i="1"/>
  <c r="AL210" i="1" s="1"/>
  <c r="AG211" i="1"/>
  <c r="AL211" i="1" s="1"/>
  <c r="AG212" i="1"/>
  <c r="AL212" i="1" s="1"/>
  <c r="AG213" i="1"/>
  <c r="AL213" i="1" s="1"/>
  <c r="AG214" i="1"/>
  <c r="AL214" i="1" s="1"/>
  <c r="AG215" i="1"/>
  <c r="AL215" i="1" s="1"/>
  <c r="AG216" i="1"/>
  <c r="AL216" i="1" s="1"/>
  <c r="AG217" i="1"/>
  <c r="AL217" i="1" s="1"/>
  <c r="AG218" i="1"/>
  <c r="AL218" i="1" s="1"/>
  <c r="AG219" i="1"/>
  <c r="AL219" i="1" s="1"/>
  <c r="AG220" i="1"/>
  <c r="AL220" i="1" s="1"/>
  <c r="AG221" i="1"/>
  <c r="AL221" i="1" s="1"/>
  <c r="AG222" i="1"/>
  <c r="AL222" i="1" s="1"/>
  <c r="AG223" i="1"/>
  <c r="AL223" i="1" s="1"/>
  <c r="AG224" i="1"/>
  <c r="AL224" i="1" s="1"/>
  <c r="AG225" i="1"/>
  <c r="AL225" i="1" s="1"/>
  <c r="AG226" i="1"/>
  <c r="AL226" i="1" s="1"/>
  <c r="AG227" i="1"/>
  <c r="AL227" i="1" s="1"/>
  <c r="AG228" i="1"/>
  <c r="AL228" i="1" s="1"/>
  <c r="AG229" i="1"/>
  <c r="AL229" i="1" s="1"/>
  <c r="AG230" i="1"/>
  <c r="AL230" i="1" s="1"/>
  <c r="AG231" i="1"/>
  <c r="AL231" i="1" s="1"/>
  <c r="AG232" i="1"/>
  <c r="AL232" i="1" s="1"/>
  <c r="AG233" i="1"/>
  <c r="AL233" i="1" s="1"/>
  <c r="AG234" i="1"/>
  <c r="AL234" i="1" s="1"/>
  <c r="AG235" i="1"/>
  <c r="AL235" i="1" s="1"/>
  <c r="AG236" i="1"/>
  <c r="AL236" i="1" s="1"/>
  <c r="AG237" i="1"/>
  <c r="AL237" i="1" s="1"/>
  <c r="AG238" i="1"/>
  <c r="AL238" i="1" s="1"/>
  <c r="AG239" i="1"/>
  <c r="AL239" i="1" s="1"/>
  <c r="AG240" i="1"/>
  <c r="AL240" i="1" s="1"/>
  <c r="AG241" i="1"/>
  <c r="AL241" i="1" s="1"/>
  <c r="AG242" i="1"/>
  <c r="AL242" i="1" s="1"/>
  <c r="AG243" i="1"/>
  <c r="AL243" i="1" s="1"/>
  <c r="AG244" i="1"/>
  <c r="AL244" i="1" s="1"/>
  <c r="AG245" i="1"/>
  <c r="AL245" i="1" s="1"/>
  <c r="AG246" i="1"/>
  <c r="AL246" i="1" s="1"/>
  <c r="AG247" i="1"/>
  <c r="AL247" i="1" s="1"/>
  <c r="AG248" i="1"/>
  <c r="AL248" i="1" s="1"/>
  <c r="AG249" i="1"/>
  <c r="AL249" i="1" s="1"/>
  <c r="AG250" i="1"/>
  <c r="AL250" i="1" s="1"/>
  <c r="AG251" i="1"/>
  <c r="AL251" i="1" s="1"/>
  <c r="AG252" i="1"/>
  <c r="AL252" i="1" s="1"/>
  <c r="AG253" i="1"/>
  <c r="AL253" i="1" s="1"/>
  <c r="AG254" i="1"/>
  <c r="AL254" i="1" s="1"/>
  <c r="AG255" i="1"/>
  <c r="AL255" i="1" s="1"/>
  <c r="AG256" i="1"/>
  <c r="AL256" i="1" s="1"/>
  <c r="AG257" i="1"/>
  <c r="AL257" i="1" s="1"/>
  <c r="AG258" i="1"/>
  <c r="AL258" i="1" s="1"/>
  <c r="AG259" i="1"/>
  <c r="AL259" i="1" s="1"/>
  <c r="AG260" i="1"/>
  <c r="AL260" i="1" s="1"/>
  <c r="AG261" i="1"/>
  <c r="AL261" i="1" s="1"/>
  <c r="AG262" i="1"/>
  <c r="AL262" i="1" s="1"/>
  <c r="AG263" i="1"/>
  <c r="AL263" i="1" s="1"/>
  <c r="AG264" i="1"/>
  <c r="AL264" i="1" s="1"/>
  <c r="AG265" i="1"/>
  <c r="AL265" i="1" s="1"/>
  <c r="AG266" i="1"/>
  <c r="AL266" i="1" s="1"/>
  <c r="AG267" i="1"/>
  <c r="AL267" i="1" s="1"/>
  <c r="AG268" i="1"/>
  <c r="AL268" i="1" s="1"/>
  <c r="AG269" i="1"/>
  <c r="AL269" i="1" s="1"/>
  <c r="AG270" i="1"/>
  <c r="AL270" i="1" s="1"/>
  <c r="AG271" i="1"/>
  <c r="AL271" i="1" s="1"/>
  <c r="AG272" i="1"/>
  <c r="AL272" i="1" s="1"/>
  <c r="AG273" i="1"/>
  <c r="AL273" i="1" s="1"/>
  <c r="AG274" i="1"/>
  <c r="AL274" i="1" s="1"/>
  <c r="AG275" i="1"/>
  <c r="AL275" i="1" s="1"/>
  <c r="AG276" i="1"/>
  <c r="AL276" i="1" s="1"/>
  <c r="AG277" i="1"/>
  <c r="AL277" i="1" s="1"/>
  <c r="AG278" i="1"/>
  <c r="AL278" i="1" s="1"/>
  <c r="AG279" i="1"/>
  <c r="AL279" i="1" s="1"/>
  <c r="AG280" i="1"/>
  <c r="AL280" i="1" s="1"/>
  <c r="AG281" i="1"/>
  <c r="AL281" i="1" s="1"/>
  <c r="AG282" i="1"/>
  <c r="AL282" i="1" s="1"/>
  <c r="AG283" i="1"/>
  <c r="AL283" i="1" s="1"/>
  <c r="AG284" i="1"/>
  <c r="AL284" i="1" s="1"/>
  <c r="AG285" i="1"/>
  <c r="AL285" i="1" s="1"/>
  <c r="AG286" i="1"/>
  <c r="AL286" i="1" s="1"/>
  <c r="AG287" i="1"/>
  <c r="AL287" i="1" s="1"/>
  <c r="AG288" i="1"/>
  <c r="AL288" i="1" s="1"/>
  <c r="AG289" i="1"/>
  <c r="AL289" i="1" s="1"/>
  <c r="AG290" i="1"/>
  <c r="AL290" i="1" s="1"/>
  <c r="AG291" i="1"/>
  <c r="AL291" i="1" s="1"/>
  <c r="AG292" i="1"/>
  <c r="AL292" i="1" s="1"/>
  <c r="AG293" i="1"/>
  <c r="AL293" i="1" s="1"/>
  <c r="AG294" i="1"/>
  <c r="AL294" i="1" s="1"/>
  <c r="AG295" i="1"/>
  <c r="AL295" i="1" s="1"/>
  <c r="AG296" i="1"/>
  <c r="AL296" i="1" s="1"/>
  <c r="AG297" i="1"/>
  <c r="AL297" i="1" s="1"/>
  <c r="AG298" i="1"/>
  <c r="AL298" i="1" s="1"/>
  <c r="AG299" i="1"/>
  <c r="AL299" i="1" s="1"/>
  <c r="AG300" i="1"/>
  <c r="AL300" i="1" s="1"/>
  <c r="AG301" i="1"/>
  <c r="AL301" i="1" s="1"/>
  <c r="AG302" i="1"/>
  <c r="AL302" i="1" s="1"/>
  <c r="AG303" i="1"/>
  <c r="AL303" i="1" s="1"/>
  <c r="AG304" i="1"/>
  <c r="AL304" i="1" s="1"/>
  <c r="AG305" i="1"/>
  <c r="AL305" i="1" s="1"/>
  <c r="AG306" i="1"/>
  <c r="AL306" i="1" s="1"/>
  <c r="AG307" i="1"/>
  <c r="AL307" i="1" s="1"/>
  <c r="AG308" i="1"/>
  <c r="AL308" i="1" s="1"/>
  <c r="AG309" i="1"/>
  <c r="AL309" i="1" s="1"/>
  <c r="AG310" i="1"/>
  <c r="AL310" i="1" s="1"/>
  <c r="AG311" i="1"/>
  <c r="AL311" i="1" s="1"/>
  <c r="AG312" i="1"/>
  <c r="AL312" i="1" s="1"/>
  <c r="AG313" i="1"/>
  <c r="AL313" i="1" s="1"/>
  <c r="AG314" i="1"/>
  <c r="AL314" i="1" s="1"/>
  <c r="AG315" i="1"/>
  <c r="AL315" i="1" s="1"/>
  <c r="AG316" i="1"/>
  <c r="AL316" i="1" s="1"/>
  <c r="AG317" i="1"/>
  <c r="AL317" i="1" s="1"/>
  <c r="AG318" i="1"/>
  <c r="AL318" i="1" s="1"/>
  <c r="AG319" i="1"/>
  <c r="AL319" i="1" s="1"/>
  <c r="AG320" i="1"/>
  <c r="AL320" i="1" s="1"/>
  <c r="AG321" i="1"/>
  <c r="AL321" i="1" s="1"/>
  <c r="AG322" i="1"/>
  <c r="AL322" i="1" s="1"/>
  <c r="AG323" i="1"/>
  <c r="AL323" i="1" s="1"/>
  <c r="AG324" i="1"/>
  <c r="AL324" i="1" s="1"/>
  <c r="AG325" i="1"/>
  <c r="AL325" i="1" s="1"/>
  <c r="AG326" i="1"/>
  <c r="AL326" i="1" s="1"/>
  <c r="AG327" i="1"/>
  <c r="AL327" i="1" s="1"/>
  <c r="AG328" i="1"/>
  <c r="AL328" i="1" s="1"/>
  <c r="AG329" i="1"/>
  <c r="AL329" i="1" s="1"/>
  <c r="AG330" i="1"/>
  <c r="AL330" i="1" s="1"/>
  <c r="AG331" i="1"/>
  <c r="AL331" i="1" s="1"/>
  <c r="AG332" i="1"/>
  <c r="AL332" i="1" s="1"/>
  <c r="AG333" i="1"/>
  <c r="AL333" i="1" s="1"/>
  <c r="AG334" i="1"/>
  <c r="AL334" i="1" s="1"/>
  <c r="AG335" i="1"/>
  <c r="AL335" i="1" s="1"/>
  <c r="AG336" i="1"/>
  <c r="AL336" i="1" s="1"/>
  <c r="AG337" i="1"/>
  <c r="AL337" i="1" s="1"/>
  <c r="AG338" i="1"/>
  <c r="AL338" i="1" s="1"/>
  <c r="AG339" i="1"/>
  <c r="AL339" i="1" s="1"/>
  <c r="AG340" i="1"/>
  <c r="AL340" i="1" s="1"/>
  <c r="AG341" i="1"/>
  <c r="AL341" i="1" s="1"/>
  <c r="AG342" i="1"/>
  <c r="AL342" i="1" s="1"/>
  <c r="AG343" i="1"/>
  <c r="AL343" i="1" s="1"/>
  <c r="AG344" i="1"/>
  <c r="AL344" i="1" s="1"/>
  <c r="AG345" i="1"/>
  <c r="AL345" i="1" s="1"/>
  <c r="AG346" i="1"/>
  <c r="AL346" i="1" s="1"/>
  <c r="AG347" i="1"/>
  <c r="AL347" i="1" s="1"/>
  <c r="AG348" i="1"/>
  <c r="AL348" i="1" s="1"/>
  <c r="AG349" i="1"/>
  <c r="AL349" i="1" s="1"/>
  <c r="AG350" i="1"/>
  <c r="AL350" i="1" s="1"/>
  <c r="AG351" i="1"/>
  <c r="AL351" i="1" s="1"/>
  <c r="AG352" i="1"/>
  <c r="AL352" i="1" s="1"/>
  <c r="AG353" i="1"/>
  <c r="AL353" i="1" s="1"/>
  <c r="AG354" i="1"/>
  <c r="AL354" i="1" s="1"/>
  <c r="AG355" i="1"/>
  <c r="AL355" i="1" s="1"/>
  <c r="AG356" i="1"/>
  <c r="AL356" i="1" s="1"/>
  <c r="AG357" i="1"/>
  <c r="AL357" i="1" s="1"/>
  <c r="AG358" i="1"/>
  <c r="AL358" i="1" s="1"/>
  <c r="AG359" i="1"/>
  <c r="AL359" i="1" s="1"/>
  <c r="AG360" i="1"/>
  <c r="AL360" i="1" s="1"/>
  <c r="AG361" i="1"/>
  <c r="AL361" i="1" s="1"/>
  <c r="AG362" i="1"/>
  <c r="AL362" i="1" s="1"/>
  <c r="AG363" i="1"/>
  <c r="AL363" i="1" s="1"/>
  <c r="AG364" i="1"/>
  <c r="AL364" i="1" s="1"/>
  <c r="AG365" i="1"/>
  <c r="AL365" i="1" s="1"/>
  <c r="AG366" i="1"/>
  <c r="AL366" i="1" s="1"/>
  <c r="AG367" i="1"/>
  <c r="AL367" i="1" s="1"/>
  <c r="AG368" i="1"/>
  <c r="AL368" i="1" s="1"/>
  <c r="AG369" i="1"/>
  <c r="AL369" i="1" s="1"/>
  <c r="AG370" i="1"/>
  <c r="AL370" i="1" s="1"/>
  <c r="AG371" i="1"/>
  <c r="AL371" i="1" s="1"/>
  <c r="AG372" i="1"/>
  <c r="AL372" i="1" s="1"/>
  <c r="AG373" i="1"/>
  <c r="AL373" i="1" s="1"/>
  <c r="AG374" i="1"/>
  <c r="AL374" i="1" s="1"/>
  <c r="AG375" i="1"/>
  <c r="AL375" i="1" s="1"/>
  <c r="AG376" i="1"/>
  <c r="AL376" i="1" s="1"/>
  <c r="AG377" i="1"/>
  <c r="AL377" i="1" s="1"/>
  <c r="AG378" i="1"/>
  <c r="AL378" i="1" s="1"/>
  <c r="AG379" i="1"/>
  <c r="AL379" i="1" s="1"/>
  <c r="AG380" i="1"/>
  <c r="AL380" i="1" s="1"/>
  <c r="AG381" i="1"/>
  <c r="AL381" i="1" s="1"/>
  <c r="AG382" i="1"/>
  <c r="AL382" i="1" s="1"/>
  <c r="AG383" i="1"/>
  <c r="AL383" i="1" s="1"/>
  <c r="AG384" i="1"/>
  <c r="AL384" i="1" s="1"/>
  <c r="AG385" i="1"/>
  <c r="AL385" i="1" s="1"/>
  <c r="AG386" i="1"/>
  <c r="AL386" i="1" s="1"/>
  <c r="AG387" i="1"/>
  <c r="AL387" i="1" s="1"/>
  <c r="AG388" i="1"/>
  <c r="AL388" i="1" s="1"/>
  <c r="AG389" i="1"/>
  <c r="AL389" i="1" s="1"/>
  <c r="AG390" i="1"/>
  <c r="AL390" i="1" s="1"/>
  <c r="AG391" i="1"/>
  <c r="AL391" i="1" s="1"/>
  <c r="AG392" i="1"/>
  <c r="AL392" i="1" s="1"/>
  <c r="AG393" i="1"/>
  <c r="AL393" i="1" s="1"/>
  <c r="AG394" i="1"/>
  <c r="AL394" i="1" s="1"/>
  <c r="AG395" i="1"/>
  <c r="AL395" i="1" s="1"/>
  <c r="AG396" i="1"/>
  <c r="AL396" i="1" s="1"/>
  <c r="AG397" i="1"/>
  <c r="AL397" i="1" s="1"/>
  <c r="AG398" i="1"/>
  <c r="AL398" i="1" s="1"/>
  <c r="AG399" i="1"/>
  <c r="AL399" i="1" s="1"/>
  <c r="AG400" i="1"/>
  <c r="AL400" i="1" s="1"/>
  <c r="AG401" i="1"/>
  <c r="AL401" i="1" s="1"/>
  <c r="AG402" i="1"/>
  <c r="AL402" i="1" s="1"/>
  <c r="AG403" i="1"/>
  <c r="AL403" i="1" s="1"/>
  <c r="AG404" i="1"/>
  <c r="AL404" i="1" s="1"/>
  <c r="AG405" i="1"/>
  <c r="AL405" i="1" s="1"/>
  <c r="AG406" i="1"/>
  <c r="AL406" i="1" s="1"/>
  <c r="AG407" i="1"/>
  <c r="AL407" i="1" s="1"/>
  <c r="AG408" i="1"/>
  <c r="AL408" i="1" s="1"/>
  <c r="AG409" i="1"/>
  <c r="AL409" i="1" s="1"/>
  <c r="AG410" i="1"/>
  <c r="AL410" i="1" s="1"/>
  <c r="AG411" i="1"/>
  <c r="AL411" i="1" s="1"/>
  <c r="AG412" i="1"/>
  <c r="AL412" i="1" s="1"/>
  <c r="AG413" i="1"/>
  <c r="AL413" i="1" s="1"/>
  <c r="AG414" i="1"/>
  <c r="AL414" i="1" s="1"/>
  <c r="AG415" i="1"/>
  <c r="AL415" i="1" s="1"/>
  <c r="AG416" i="1"/>
  <c r="AL416" i="1" s="1"/>
  <c r="AG417" i="1"/>
  <c r="AL417" i="1" s="1"/>
  <c r="AG418" i="1"/>
  <c r="AL418" i="1" s="1"/>
  <c r="AG419" i="1"/>
  <c r="AL419" i="1" s="1"/>
  <c r="AG420" i="1"/>
  <c r="AL420" i="1" s="1"/>
  <c r="AG421" i="1"/>
  <c r="AL421" i="1" s="1"/>
  <c r="AG422" i="1"/>
  <c r="AL422" i="1" s="1"/>
  <c r="AG423" i="1"/>
  <c r="AL423" i="1" s="1"/>
  <c r="AG424" i="1"/>
  <c r="AL424" i="1" s="1"/>
  <c r="AG425" i="1"/>
  <c r="AL425" i="1" s="1"/>
  <c r="AG426" i="1"/>
  <c r="AL426" i="1" s="1"/>
  <c r="AG427" i="1"/>
  <c r="AL427" i="1" s="1"/>
  <c r="AG428" i="1"/>
  <c r="AL428" i="1" s="1"/>
  <c r="AG429" i="1"/>
  <c r="AL429" i="1" s="1"/>
  <c r="AG430" i="1"/>
  <c r="AL430" i="1" s="1"/>
  <c r="AG431" i="1"/>
  <c r="AL431" i="1" s="1"/>
  <c r="AG432" i="1"/>
  <c r="AL432" i="1" s="1"/>
  <c r="AG433" i="1"/>
  <c r="AL433" i="1" s="1"/>
  <c r="AG434" i="1"/>
  <c r="AL434" i="1" s="1"/>
  <c r="AG435" i="1"/>
  <c r="AL435" i="1" s="1"/>
  <c r="AG436" i="1"/>
  <c r="AL436" i="1" s="1"/>
  <c r="AG437" i="1"/>
  <c r="AL437" i="1" s="1"/>
  <c r="AG438" i="1"/>
  <c r="AL438" i="1" s="1"/>
  <c r="AG439" i="1"/>
  <c r="AL439" i="1" s="1"/>
  <c r="AG440" i="1"/>
  <c r="AL440" i="1" s="1"/>
  <c r="AG441" i="1"/>
  <c r="AL441" i="1" s="1"/>
  <c r="AG442" i="1"/>
  <c r="AL442" i="1" s="1"/>
  <c r="AG443" i="1"/>
  <c r="AL443" i="1" s="1"/>
  <c r="AG444" i="1"/>
  <c r="AL444" i="1" s="1"/>
  <c r="AG445" i="1"/>
  <c r="AL445" i="1" s="1"/>
  <c r="AG446" i="1"/>
  <c r="AL446" i="1" s="1"/>
  <c r="AG447" i="1"/>
  <c r="AL447" i="1" s="1"/>
  <c r="AG448" i="1"/>
  <c r="AL448" i="1" s="1"/>
  <c r="AG449" i="1"/>
  <c r="AL449" i="1" s="1"/>
  <c r="AG450" i="1"/>
  <c r="AL450" i="1" s="1"/>
  <c r="AG451" i="1"/>
  <c r="AL451" i="1" s="1"/>
  <c r="AG452" i="1"/>
  <c r="AL452" i="1" s="1"/>
  <c r="AG453" i="1"/>
  <c r="AL453" i="1" s="1"/>
  <c r="AG454" i="1"/>
  <c r="AL454" i="1" s="1"/>
  <c r="AG455" i="1"/>
  <c r="AL455" i="1" s="1"/>
  <c r="AG456" i="1"/>
  <c r="AL456" i="1" s="1"/>
  <c r="AG457" i="1"/>
  <c r="AL457" i="1" s="1"/>
  <c r="AG458" i="1"/>
  <c r="AL458" i="1" s="1"/>
  <c r="AG459" i="1"/>
  <c r="AL459" i="1" s="1"/>
  <c r="AG460" i="1"/>
  <c r="AL460" i="1" s="1"/>
  <c r="AG461" i="1"/>
  <c r="AL461" i="1" s="1"/>
  <c r="AG462" i="1"/>
  <c r="AL462" i="1" s="1"/>
  <c r="AG463" i="1"/>
  <c r="AL463" i="1" s="1"/>
  <c r="AG464" i="1"/>
  <c r="AL464" i="1" s="1"/>
  <c r="AG465" i="1"/>
  <c r="AL465" i="1" s="1"/>
  <c r="AG466" i="1"/>
  <c r="AL466" i="1" s="1"/>
  <c r="AG467" i="1"/>
  <c r="AL467" i="1" s="1"/>
  <c r="AG468" i="1"/>
  <c r="AL468" i="1" s="1"/>
  <c r="AG469" i="1"/>
  <c r="AL469" i="1" s="1"/>
  <c r="AG470" i="1"/>
  <c r="AL470" i="1" s="1"/>
  <c r="AG471" i="1"/>
  <c r="AL471" i="1" s="1"/>
  <c r="AG472" i="1"/>
  <c r="AL472" i="1" s="1"/>
  <c r="AG473" i="1"/>
  <c r="AL473" i="1" s="1"/>
  <c r="AG474" i="1"/>
  <c r="AL474" i="1" s="1"/>
  <c r="AG475" i="1"/>
  <c r="AL475" i="1" s="1"/>
  <c r="AG476" i="1"/>
  <c r="AL476" i="1" s="1"/>
  <c r="AG477" i="1"/>
  <c r="AL477" i="1" s="1"/>
  <c r="AG478" i="1"/>
  <c r="AL478" i="1" s="1"/>
  <c r="AG479" i="1"/>
  <c r="AL479" i="1" s="1"/>
  <c r="AG480" i="1"/>
  <c r="AL480" i="1" s="1"/>
  <c r="AG481" i="1"/>
  <c r="AL481" i="1" s="1"/>
  <c r="AG482" i="1"/>
  <c r="AL482" i="1" s="1"/>
  <c r="AG483" i="1"/>
  <c r="AL483" i="1" s="1"/>
  <c r="AG484" i="1"/>
  <c r="AL484" i="1" s="1"/>
  <c r="AG485" i="1"/>
  <c r="AL485" i="1" s="1"/>
  <c r="AG486" i="1"/>
  <c r="AL486" i="1" s="1"/>
  <c r="AG487" i="1"/>
  <c r="AL487" i="1" s="1"/>
  <c r="AG488" i="1"/>
  <c r="AL488" i="1" s="1"/>
  <c r="AG489" i="1"/>
  <c r="AL489" i="1" s="1"/>
  <c r="AG490" i="1"/>
  <c r="AL490" i="1" s="1"/>
  <c r="AG491" i="1"/>
  <c r="AL491" i="1" s="1"/>
  <c r="AG492" i="1"/>
  <c r="AL492" i="1" s="1"/>
  <c r="AG493" i="1"/>
  <c r="AL493" i="1" s="1"/>
  <c r="AG494" i="1"/>
  <c r="AL494" i="1" s="1"/>
  <c r="AG495" i="1"/>
  <c r="AL495" i="1" s="1"/>
  <c r="AG496" i="1"/>
  <c r="AL496" i="1" s="1"/>
  <c r="AG497" i="1"/>
  <c r="AL497" i="1" s="1"/>
  <c r="AG498" i="1"/>
  <c r="AL498" i="1" s="1"/>
  <c r="AG499" i="1"/>
  <c r="AL499" i="1" s="1"/>
  <c r="AG500" i="1"/>
  <c r="AL500" i="1" s="1"/>
  <c r="AG501" i="1"/>
  <c r="AL501" i="1" s="1"/>
  <c r="AG502" i="1"/>
  <c r="AL502" i="1" s="1"/>
  <c r="AG503" i="1"/>
  <c r="AL503" i="1" s="1"/>
  <c r="AG5" i="1" l="1"/>
  <c r="AL5" i="1" s="1"/>
  <c r="AG6" i="1"/>
  <c r="AL6" i="1" s="1"/>
  <c r="AG7" i="1"/>
  <c r="AL7" i="1" s="1"/>
  <c r="AG8" i="1"/>
  <c r="AL8" i="1" s="1"/>
  <c r="AG9" i="1"/>
  <c r="AL9" i="1" s="1"/>
  <c r="AG10" i="1"/>
  <c r="AL10" i="1" s="1"/>
  <c r="AG11" i="1"/>
  <c r="AL11" i="1" s="1"/>
  <c r="AG12" i="1"/>
  <c r="AL12" i="1" s="1"/>
  <c r="AG13" i="1"/>
  <c r="AL13" i="1" s="1"/>
  <c r="AG4" i="1"/>
  <c r="AL4" i="1" s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4" i="1"/>
  <c r="G14" i="1" l="1"/>
  <c r="J14" i="1"/>
  <c r="M14" i="1"/>
  <c r="O14" i="1"/>
  <c r="Q14" i="1"/>
  <c r="S14" i="1"/>
  <c r="AB14" i="1"/>
  <c r="AD14" i="1"/>
  <c r="AT14" i="1"/>
  <c r="G15" i="1"/>
  <c r="J15" i="1"/>
  <c r="M15" i="1"/>
  <c r="O15" i="1"/>
  <c r="Q15" i="1"/>
  <c r="S15" i="1"/>
  <c r="AB15" i="1"/>
  <c r="AD15" i="1"/>
  <c r="AT15" i="1"/>
  <c r="G16" i="1"/>
  <c r="J16" i="1"/>
  <c r="M16" i="1"/>
  <c r="O16" i="1"/>
  <c r="Q16" i="1"/>
  <c r="S16" i="1"/>
  <c r="AB16" i="1"/>
  <c r="AD16" i="1"/>
  <c r="AT16" i="1"/>
  <c r="G17" i="1"/>
  <c r="J17" i="1"/>
  <c r="M17" i="1"/>
  <c r="O17" i="1"/>
  <c r="Q17" i="1"/>
  <c r="S17" i="1"/>
  <c r="AB17" i="1"/>
  <c r="AD17" i="1"/>
  <c r="AT17" i="1"/>
  <c r="G18" i="1"/>
  <c r="J18" i="1"/>
  <c r="M18" i="1"/>
  <c r="O18" i="1"/>
  <c r="Q18" i="1"/>
  <c r="S18" i="1"/>
  <c r="AB18" i="1"/>
  <c r="AD18" i="1"/>
  <c r="AT18" i="1"/>
  <c r="G19" i="1"/>
  <c r="J19" i="1"/>
  <c r="M19" i="1"/>
  <c r="O19" i="1"/>
  <c r="Q19" i="1"/>
  <c r="S19" i="1"/>
  <c r="AB19" i="1"/>
  <c r="AD19" i="1"/>
  <c r="AT19" i="1"/>
  <c r="G20" i="1"/>
  <c r="J20" i="1"/>
  <c r="M20" i="1"/>
  <c r="O20" i="1"/>
  <c r="Q20" i="1"/>
  <c r="S20" i="1"/>
  <c r="AB20" i="1"/>
  <c r="AD20" i="1"/>
  <c r="AT20" i="1"/>
  <c r="G21" i="1"/>
  <c r="J21" i="1"/>
  <c r="M21" i="1"/>
  <c r="O21" i="1"/>
  <c r="Q21" i="1"/>
  <c r="S21" i="1"/>
  <c r="AB21" i="1"/>
  <c r="AD21" i="1"/>
  <c r="AT21" i="1"/>
  <c r="G22" i="1"/>
  <c r="J22" i="1"/>
  <c r="M22" i="1"/>
  <c r="O22" i="1"/>
  <c r="Q22" i="1"/>
  <c r="S22" i="1"/>
  <c r="AB22" i="1"/>
  <c r="AD22" i="1"/>
  <c r="AT22" i="1"/>
  <c r="G23" i="1"/>
  <c r="J23" i="1"/>
  <c r="M23" i="1"/>
  <c r="O23" i="1"/>
  <c r="Q23" i="1"/>
  <c r="S23" i="1"/>
  <c r="AB23" i="1"/>
  <c r="AD23" i="1"/>
  <c r="AT23" i="1"/>
  <c r="G24" i="1"/>
  <c r="J24" i="1"/>
  <c r="M24" i="1"/>
  <c r="O24" i="1"/>
  <c r="Q24" i="1"/>
  <c r="S24" i="1"/>
  <c r="AB24" i="1"/>
  <c r="AD24" i="1"/>
  <c r="AT24" i="1"/>
  <c r="G25" i="1"/>
  <c r="J25" i="1"/>
  <c r="M25" i="1"/>
  <c r="O25" i="1"/>
  <c r="Q25" i="1"/>
  <c r="S25" i="1"/>
  <c r="AB25" i="1"/>
  <c r="AD25" i="1"/>
  <c r="AT25" i="1"/>
  <c r="G26" i="1"/>
  <c r="J26" i="1"/>
  <c r="M26" i="1"/>
  <c r="O26" i="1"/>
  <c r="Q26" i="1"/>
  <c r="S26" i="1"/>
  <c r="AB26" i="1"/>
  <c r="AD26" i="1"/>
  <c r="AT26" i="1"/>
  <c r="G27" i="1"/>
  <c r="J27" i="1"/>
  <c r="M27" i="1"/>
  <c r="O27" i="1"/>
  <c r="Q27" i="1"/>
  <c r="S27" i="1"/>
  <c r="AB27" i="1"/>
  <c r="AD27" i="1"/>
  <c r="AT27" i="1"/>
  <c r="G28" i="1"/>
  <c r="J28" i="1"/>
  <c r="M28" i="1"/>
  <c r="O28" i="1"/>
  <c r="Q28" i="1"/>
  <c r="S28" i="1"/>
  <c r="AB28" i="1"/>
  <c r="AD28" i="1"/>
  <c r="AT28" i="1"/>
  <c r="G29" i="1"/>
  <c r="J29" i="1"/>
  <c r="M29" i="1"/>
  <c r="O29" i="1"/>
  <c r="Q29" i="1"/>
  <c r="S29" i="1"/>
  <c r="AB29" i="1"/>
  <c r="AD29" i="1"/>
  <c r="AT29" i="1"/>
  <c r="G30" i="1"/>
  <c r="J30" i="1"/>
  <c r="M30" i="1"/>
  <c r="O30" i="1"/>
  <c r="Q30" i="1"/>
  <c r="S30" i="1"/>
  <c r="AB30" i="1"/>
  <c r="AD30" i="1"/>
  <c r="AT30" i="1"/>
  <c r="G31" i="1"/>
  <c r="J31" i="1"/>
  <c r="M31" i="1"/>
  <c r="O31" i="1"/>
  <c r="Q31" i="1"/>
  <c r="S31" i="1"/>
  <c r="AB31" i="1"/>
  <c r="AD31" i="1"/>
  <c r="AT31" i="1"/>
  <c r="G32" i="1"/>
  <c r="J32" i="1"/>
  <c r="M32" i="1"/>
  <c r="O32" i="1"/>
  <c r="Q32" i="1"/>
  <c r="S32" i="1"/>
  <c r="AB32" i="1"/>
  <c r="AD32" i="1"/>
  <c r="AT32" i="1"/>
  <c r="G33" i="1"/>
  <c r="J33" i="1"/>
  <c r="M33" i="1"/>
  <c r="O33" i="1"/>
  <c r="Q33" i="1"/>
  <c r="S33" i="1"/>
  <c r="AB33" i="1"/>
  <c r="AD33" i="1"/>
  <c r="AT33" i="1"/>
  <c r="G34" i="1"/>
  <c r="J34" i="1"/>
  <c r="M34" i="1"/>
  <c r="O34" i="1"/>
  <c r="Q34" i="1"/>
  <c r="S34" i="1"/>
  <c r="AB34" i="1"/>
  <c r="AD34" i="1"/>
  <c r="AT34" i="1"/>
  <c r="G35" i="1"/>
  <c r="J35" i="1"/>
  <c r="M35" i="1"/>
  <c r="O35" i="1"/>
  <c r="Q35" i="1"/>
  <c r="S35" i="1"/>
  <c r="AB35" i="1"/>
  <c r="AD35" i="1"/>
  <c r="AT35" i="1"/>
  <c r="G36" i="1"/>
  <c r="J36" i="1"/>
  <c r="M36" i="1"/>
  <c r="O36" i="1"/>
  <c r="Q36" i="1"/>
  <c r="S36" i="1"/>
  <c r="AB36" i="1"/>
  <c r="AD36" i="1"/>
  <c r="AT36" i="1"/>
  <c r="G37" i="1"/>
  <c r="J37" i="1"/>
  <c r="M37" i="1"/>
  <c r="O37" i="1"/>
  <c r="Q37" i="1"/>
  <c r="S37" i="1"/>
  <c r="AB37" i="1"/>
  <c r="AD37" i="1"/>
  <c r="AT37" i="1"/>
  <c r="G38" i="1"/>
  <c r="J38" i="1"/>
  <c r="M38" i="1"/>
  <c r="O38" i="1"/>
  <c r="Q38" i="1"/>
  <c r="S38" i="1"/>
  <c r="AB38" i="1"/>
  <c r="AD38" i="1"/>
  <c r="AT38" i="1"/>
  <c r="G39" i="1"/>
  <c r="J39" i="1"/>
  <c r="M39" i="1"/>
  <c r="O39" i="1"/>
  <c r="Q39" i="1"/>
  <c r="S39" i="1"/>
  <c r="AB39" i="1"/>
  <c r="AD39" i="1"/>
  <c r="AT39" i="1"/>
  <c r="G40" i="1"/>
  <c r="J40" i="1"/>
  <c r="M40" i="1"/>
  <c r="O40" i="1"/>
  <c r="Q40" i="1"/>
  <c r="S40" i="1"/>
  <c r="AB40" i="1"/>
  <c r="AD40" i="1"/>
  <c r="AT40" i="1"/>
  <c r="G41" i="1"/>
  <c r="J41" i="1"/>
  <c r="M41" i="1"/>
  <c r="O41" i="1"/>
  <c r="Q41" i="1"/>
  <c r="S41" i="1"/>
  <c r="AB41" i="1"/>
  <c r="AD41" i="1"/>
  <c r="AT41" i="1"/>
  <c r="G42" i="1"/>
  <c r="J42" i="1"/>
  <c r="M42" i="1"/>
  <c r="O42" i="1"/>
  <c r="Q42" i="1"/>
  <c r="S42" i="1"/>
  <c r="AB42" i="1"/>
  <c r="AD42" i="1"/>
  <c r="AT42" i="1"/>
  <c r="G43" i="1"/>
  <c r="J43" i="1"/>
  <c r="M43" i="1"/>
  <c r="O43" i="1"/>
  <c r="Q43" i="1"/>
  <c r="S43" i="1"/>
  <c r="AB43" i="1"/>
  <c r="AD43" i="1"/>
  <c r="AT43" i="1"/>
  <c r="G44" i="1"/>
  <c r="J44" i="1"/>
  <c r="M44" i="1"/>
  <c r="O44" i="1"/>
  <c r="Q44" i="1"/>
  <c r="S44" i="1"/>
  <c r="AB44" i="1"/>
  <c r="AD44" i="1"/>
  <c r="AT44" i="1"/>
  <c r="G45" i="1"/>
  <c r="J45" i="1"/>
  <c r="M45" i="1"/>
  <c r="O45" i="1"/>
  <c r="Q45" i="1"/>
  <c r="S45" i="1"/>
  <c r="AB45" i="1"/>
  <c r="AD45" i="1"/>
  <c r="AT45" i="1"/>
  <c r="G46" i="1"/>
  <c r="J46" i="1"/>
  <c r="M46" i="1"/>
  <c r="O46" i="1"/>
  <c r="Q46" i="1"/>
  <c r="S46" i="1"/>
  <c r="AB46" i="1"/>
  <c r="AD46" i="1"/>
  <c r="AT46" i="1"/>
  <c r="G47" i="1"/>
  <c r="J47" i="1"/>
  <c r="M47" i="1"/>
  <c r="O47" i="1"/>
  <c r="Q47" i="1"/>
  <c r="S47" i="1"/>
  <c r="AB47" i="1"/>
  <c r="AD47" i="1"/>
  <c r="AT47" i="1"/>
  <c r="G48" i="1"/>
  <c r="J48" i="1"/>
  <c r="M48" i="1"/>
  <c r="O48" i="1"/>
  <c r="Q48" i="1"/>
  <c r="S48" i="1"/>
  <c r="AB48" i="1"/>
  <c r="AD48" i="1"/>
  <c r="AT48" i="1"/>
  <c r="G49" i="1"/>
  <c r="J49" i="1"/>
  <c r="M49" i="1"/>
  <c r="O49" i="1"/>
  <c r="Q49" i="1"/>
  <c r="S49" i="1"/>
  <c r="AB49" i="1"/>
  <c r="AD49" i="1"/>
  <c r="AT49" i="1"/>
  <c r="G50" i="1"/>
  <c r="J50" i="1"/>
  <c r="M50" i="1"/>
  <c r="O50" i="1"/>
  <c r="Q50" i="1"/>
  <c r="S50" i="1"/>
  <c r="AB50" i="1"/>
  <c r="AD50" i="1"/>
  <c r="AT50" i="1"/>
  <c r="G51" i="1"/>
  <c r="J51" i="1"/>
  <c r="M51" i="1"/>
  <c r="O51" i="1"/>
  <c r="Q51" i="1"/>
  <c r="S51" i="1"/>
  <c r="AB51" i="1"/>
  <c r="AD51" i="1"/>
  <c r="AT51" i="1"/>
  <c r="G52" i="1"/>
  <c r="J52" i="1"/>
  <c r="M52" i="1"/>
  <c r="O52" i="1"/>
  <c r="Q52" i="1"/>
  <c r="S52" i="1"/>
  <c r="AB52" i="1"/>
  <c r="AD52" i="1"/>
  <c r="AT52" i="1"/>
  <c r="G53" i="1"/>
  <c r="J53" i="1"/>
  <c r="M53" i="1"/>
  <c r="O53" i="1"/>
  <c r="Q53" i="1"/>
  <c r="S53" i="1"/>
  <c r="AB53" i="1"/>
  <c r="AD53" i="1"/>
  <c r="AT53" i="1"/>
  <c r="G54" i="1"/>
  <c r="J54" i="1"/>
  <c r="M54" i="1"/>
  <c r="O54" i="1"/>
  <c r="Q54" i="1"/>
  <c r="S54" i="1"/>
  <c r="AB54" i="1"/>
  <c r="AD54" i="1"/>
  <c r="AT54" i="1"/>
  <c r="G55" i="1"/>
  <c r="J55" i="1"/>
  <c r="M55" i="1"/>
  <c r="O55" i="1"/>
  <c r="Q55" i="1"/>
  <c r="S55" i="1"/>
  <c r="AB55" i="1"/>
  <c r="AD55" i="1"/>
  <c r="AT55" i="1"/>
  <c r="G56" i="1"/>
  <c r="J56" i="1"/>
  <c r="M56" i="1"/>
  <c r="O56" i="1"/>
  <c r="Q56" i="1"/>
  <c r="S56" i="1"/>
  <c r="AB56" i="1"/>
  <c r="AD56" i="1"/>
  <c r="AT56" i="1"/>
  <c r="G57" i="1"/>
  <c r="J57" i="1"/>
  <c r="M57" i="1"/>
  <c r="O57" i="1"/>
  <c r="Q57" i="1"/>
  <c r="S57" i="1"/>
  <c r="AB57" i="1"/>
  <c r="AD57" i="1"/>
  <c r="AT57" i="1"/>
  <c r="G58" i="1"/>
  <c r="J58" i="1"/>
  <c r="M58" i="1"/>
  <c r="O58" i="1"/>
  <c r="Q58" i="1"/>
  <c r="S58" i="1"/>
  <c r="AB58" i="1"/>
  <c r="AD58" i="1"/>
  <c r="AT58" i="1"/>
  <c r="G59" i="1"/>
  <c r="J59" i="1"/>
  <c r="M59" i="1"/>
  <c r="O59" i="1"/>
  <c r="Q59" i="1"/>
  <c r="S59" i="1"/>
  <c r="AB59" i="1"/>
  <c r="AD59" i="1"/>
  <c r="AT59" i="1"/>
  <c r="G60" i="1"/>
  <c r="J60" i="1"/>
  <c r="M60" i="1"/>
  <c r="O60" i="1"/>
  <c r="Q60" i="1"/>
  <c r="S60" i="1"/>
  <c r="AB60" i="1"/>
  <c r="AD60" i="1"/>
  <c r="AT60" i="1"/>
  <c r="G61" i="1"/>
  <c r="J61" i="1"/>
  <c r="M61" i="1"/>
  <c r="O61" i="1"/>
  <c r="Q61" i="1"/>
  <c r="S61" i="1"/>
  <c r="AB61" i="1"/>
  <c r="AD61" i="1"/>
  <c r="AT61" i="1"/>
  <c r="G62" i="1"/>
  <c r="J62" i="1"/>
  <c r="M62" i="1"/>
  <c r="O62" i="1"/>
  <c r="Q62" i="1"/>
  <c r="S62" i="1"/>
  <c r="AB62" i="1"/>
  <c r="AD62" i="1"/>
  <c r="AT62" i="1"/>
  <c r="G63" i="1"/>
  <c r="J63" i="1"/>
  <c r="M63" i="1"/>
  <c r="O63" i="1"/>
  <c r="Q63" i="1"/>
  <c r="S63" i="1"/>
  <c r="AB63" i="1"/>
  <c r="AD63" i="1"/>
  <c r="AT63" i="1"/>
  <c r="G64" i="1"/>
  <c r="J64" i="1"/>
  <c r="M64" i="1"/>
  <c r="O64" i="1"/>
  <c r="Q64" i="1"/>
  <c r="S64" i="1"/>
  <c r="AB64" i="1"/>
  <c r="AD64" i="1"/>
  <c r="AT64" i="1"/>
  <c r="G65" i="1"/>
  <c r="J65" i="1"/>
  <c r="M65" i="1"/>
  <c r="O65" i="1"/>
  <c r="Q65" i="1"/>
  <c r="S65" i="1"/>
  <c r="AB65" i="1"/>
  <c r="AD65" i="1"/>
  <c r="AT65" i="1"/>
  <c r="G66" i="1"/>
  <c r="J66" i="1"/>
  <c r="M66" i="1"/>
  <c r="O66" i="1"/>
  <c r="Q66" i="1"/>
  <c r="S66" i="1"/>
  <c r="AB66" i="1"/>
  <c r="AD66" i="1"/>
  <c r="AT66" i="1"/>
  <c r="G67" i="1"/>
  <c r="J67" i="1"/>
  <c r="M67" i="1"/>
  <c r="O67" i="1"/>
  <c r="Q67" i="1"/>
  <c r="S67" i="1"/>
  <c r="AB67" i="1"/>
  <c r="AD67" i="1"/>
  <c r="AT67" i="1"/>
  <c r="G68" i="1"/>
  <c r="J68" i="1"/>
  <c r="M68" i="1"/>
  <c r="O68" i="1"/>
  <c r="Q68" i="1"/>
  <c r="S68" i="1"/>
  <c r="AB68" i="1"/>
  <c r="AD68" i="1"/>
  <c r="AT68" i="1"/>
  <c r="G69" i="1"/>
  <c r="J69" i="1"/>
  <c r="M69" i="1"/>
  <c r="O69" i="1"/>
  <c r="Q69" i="1"/>
  <c r="S69" i="1"/>
  <c r="AB69" i="1"/>
  <c r="AD69" i="1"/>
  <c r="AT69" i="1"/>
  <c r="G70" i="1"/>
  <c r="J70" i="1"/>
  <c r="M70" i="1"/>
  <c r="O70" i="1"/>
  <c r="Q70" i="1"/>
  <c r="S70" i="1"/>
  <c r="AB70" i="1"/>
  <c r="AD70" i="1"/>
  <c r="AT70" i="1"/>
  <c r="G71" i="1"/>
  <c r="J71" i="1"/>
  <c r="M71" i="1"/>
  <c r="O71" i="1"/>
  <c r="Q71" i="1"/>
  <c r="S71" i="1"/>
  <c r="AB71" i="1"/>
  <c r="AD71" i="1"/>
  <c r="AT71" i="1"/>
  <c r="G72" i="1"/>
  <c r="J72" i="1"/>
  <c r="M72" i="1"/>
  <c r="O72" i="1"/>
  <c r="Q72" i="1"/>
  <c r="S72" i="1"/>
  <c r="AB72" i="1"/>
  <c r="AD72" i="1"/>
  <c r="AT72" i="1"/>
  <c r="G73" i="1"/>
  <c r="J73" i="1"/>
  <c r="M73" i="1"/>
  <c r="O73" i="1"/>
  <c r="Q73" i="1"/>
  <c r="S73" i="1"/>
  <c r="AB73" i="1"/>
  <c r="AD73" i="1"/>
  <c r="AT73" i="1"/>
  <c r="G74" i="1"/>
  <c r="J74" i="1"/>
  <c r="M74" i="1"/>
  <c r="O74" i="1"/>
  <c r="Q74" i="1"/>
  <c r="S74" i="1"/>
  <c r="AB74" i="1"/>
  <c r="AD74" i="1"/>
  <c r="AT74" i="1"/>
  <c r="G75" i="1"/>
  <c r="J75" i="1"/>
  <c r="M75" i="1"/>
  <c r="O75" i="1"/>
  <c r="Q75" i="1"/>
  <c r="S75" i="1"/>
  <c r="AB75" i="1"/>
  <c r="AD75" i="1"/>
  <c r="AT75" i="1"/>
  <c r="G76" i="1"/>
  <c r="J76" i="1"/>
  <c r="M76" i="1"/>
  <c r="O76" i="1"/>
  <c r="Q76" i="1"/>
  <c r="S76" i="1"/>
  <c r="AB76" i="1"/>
  <c r="AD76" i="1"/>
  <c r="AT76" i="1"/>
  <c r="G77" i="1"/>
  <c r="J77" i="1"/>
  <c r="M77" i="1"/>
  <c r="O77" i="1"/>
  <c r="Q77" i="1"/>
  <c r="S77" i="1"/>
  <c r="AB77" i="1"/>
  <c r="AD77" i="1"/>
  <c r="AT77" i="1"/>
  <c r="G78" i="1"/>
  <c r="J78" i="1"/>
  <c r="M78" i="1"/>
  <c r="O78" i="1"/>
  <c r="Q78" i="1"/>
  <c r="S78" i="1"/>
  <c r="AB78" i="1"/>
  <c r="AD78" i="1"/>
  <c r="AT78" i="1"/>
  <c r="G79" i="1"/>
  <c r="J79" i="1"/>
  <c r="M79" i="1"/>
  <c r="O79" i="1"/>
  <c r="Q79" i="1"/>
  <c r="S79" i="1"/>
  <c r="AB79" i="1"/>
  <c r="AD79" i="1"/>
  <c r="AT79" i="1"/>
  <c r="G80" i="1"/>
  <c r="J80" i="1"/>
  <c r="M80" i="1"/>
  <c r="O80" i="1"/>
  <c r="Q80" i="1"/>
  <c r="S80" i="1"/>
  <c r="AB80" i="1"/>
  <c r="AD80" i="1"/>
  <c r="AT80" i="1"/>
  <c r="G81" i="1"/>
  <c r="J81" i="1"/>
  <c r="M81" i="1"/>
  <c r="O81" i="1"/>
  <c r="Q81" i="1"/>
  <c r="S81" i="1"/>
  <c r="AB81" i="1"/>
  <c r="AD81" i="1"/>
  <c r="AT81" i="1"/>
  <c r="G82" i="1"/>
  <c r="J82" i="1"/>
  <c r="M82" i="1"/>
  <c r="O82" i="1"/>
  <c r="Q82" i="1"/>
  <c r="S82" i="1"/>
  <c r="AB82" i="1"/>
  <c r="AD82" i="1"/>
  <c r="AT82" i="1"/>
  <c r="G83" i="1"/>
  <c r="J83" i="1"/>
  <c r="M83" i="1"/>
  <c r="O83" i="1"/>
  <c r="Q83" i="1"/>
  <c r="S83" i="1"/>
  <c r="AB83" i="1"/>
  <c r="AD83" i="1"/>
  <c r="AT83" i="1"/>
  <c r="G84" i="1"/>
  <c r="J84" i="1"/>
  <c r="M84" i="1"/>
  <c r="O84" i="1"/>
  <c r="Q84" i="1"/>
  <c r="S84" i="1"/>
  <c r="AB84" i="1"/>
  <c r="AD84" i="1"/>
  <c r="AT84" i="1"/>
  <c r="G85" i="1"/>
  <c r="J85" i="1"/>
  <c r="M85" i="1"/>
  <c r="O85" i="1"/>
  <c r="Q85" i="1"/>
  <c r="S85" i="1"/>
  <c r="AB85" i="1"/>
  <c r="AD85" i="1"/>
  <c r="AT85" i="1"/>
  <c r="G86" i="1"/>
  <c r="J86" i="1"/>
  <c r="M86" i="1"/>
  <c r="O86" i="1"/>
  <c r="Q86" i="1"/>
  <c r="S86" i="1"/>
  <c r="AB86" i="1"/>
  <c r="AD86" i="1"/>
  <c r="AT86" i="1"/>
  <c r="G87" i="1"/>
  <c r="J87" i="1"/>
  <c r="M87" i="1"/>
  <c r="O87" i="1"/>
  <c r="Q87" i="1"/>
  <c r="S87" i="1"/>
  <c r="AB87" i="1"/>
  <c r="AD87" i="1"/>
  <c r="AT87" i="1"/>
  <c r="G88" i="1"/>
  <c r="J88" i="1"/>
  <c r="M88" i="1"/>
  <c r="O88" i="1"/>
  <c r="Q88" i="1"/>
  <c r="S88" i="1"/>
  <c r="AB88" i="1"/>
  <c r="AD88" i="1"/>
  <c r="AT88" i="1"/>
  <c r="G89" i="1"/>
  <c r="J89" i="1"/>
  <c r="M89" i="1"/>
  <c r="O89" i="1"/>
  <c r="Q89" i="1"/>
  <c r="S89" i="1"/>
  <c r="AB89" i="1"/>
  <c r="AD89" i="1"/>
  <c r="AT89" i="1"/>
  <c r="G90" i="1"/>
  <c r="J90" i="1"/>
  <c r="M90" i="1"/>
  <c r="O90" i="1"/>
  <c r="Q90" i="1"/>
  <c r="S90" i="1"/>
  <c r="AB90" i="1"/>
  <c r="AD90" i="1"/>
  <c r="AT90" i="1"/>
  <c r="G91" i="1"/>
  <c r="J91" i="1"/>
  <c r="M91" i="1"/>
  <c r="O91" i="1"/>
  <c r="Q91" i="1"/>
  <c r="S91" i="1"/>
  <c r="AB91" i="1"/>
  <c r="AD91" i="1"/>
  <c r="AT91" i="1"/>
  <c r="G92" i="1"/>
  <c r="J92" i="1"/>
  <c r="M92" i="1"/>
  <c r="O92" i="1"/>
  <c r="Q92" i="1"/>
  <c r="S92" i="1"/>
  <c r="AB92" i="1"/>
  <c r="AD92" i="1"/>
  <c r="AT92" i="1"/>
  <c r="G93" i="1"/>
  <c r="J93" i="1"/>
  <c r="M93" i="1"/>
  <c r="O93" i="1"/>
  <c r="Q93" i="1"/>
  <c r="S93" i="1"/>
  <c r="AB93" i="1"/>
  <c r="AD93" i="1"/>
  <c r="AT93" i="1"/>
  <c r="G94" i="1"/>
  <c r="J94" i="1"/>
  <c r="M94" i="1"/>
  <c r="O94" i="1"/>
  <c r="Q94" i="1"/>
  <c r="S94" i="1"/>
  <c r="AB94" i="1"/>
  <c r="AD94" i="1"/>
  <c r="AT94" i="1"/>
  <c r="G95" i="1"/>
  <c r="J95" i="1"/>
  <c r="M95" i="1"/>
  <c r="O95" i="1"/>
  <c r="Q95" i="1"/>
  <c r="S95" i="1"/>
  <c r="AB95" i="1"/>
  <c r="AD95" i="1"/>
  <c r="AT95" i="1"/>
  <c r="G96" i="1"/>
  <c r="J96" i="1"/>
  <c r="M96" i="1"/>
  <c r="O96" i="1"/>
  <c r="Q96" i="1"/>
  <c r="S96" i="1"/>
  <c r="AB96" i="1"/>
  <c r="AD96" i="1"/>
  <c r="AT96" i="1"/>
  <c r="G97" i="1"/>
  <c r="J97" i="1"/>
  <c r="M97" i="1"/>
  <c r="O97" i="1"/>
  <c r="Q97" i="1"/>
  <c r="S97" i="1"/>
  <c r="AB97" i="1"/>
  <c r="AD97" i="1"/>
  <c r="AT97" i="1"/>
  <c r="G98" i="1"/>
  <c r="J98" i="1"/>
  <c r="M98" i="1"/>
  <c r="O98" i="1"/>
  <c r="Q98" i="1"/>
  <c r="S98" i="1"/>
  <c r="AB98" i="1"/>
  <c r="AD98" i="1"/>
  <c r="AT98" i="1"/>
  <c r="G99" i="1"/>
  <c r="J99" i="1"/>
  <c r="M99" i="1"/>
  <c r="O99" i="1"/>
  <c r="Q99" i="1"/>
  <c r="S99" i="1"/>
  <c r="AB99" i="1"/>
  <c r="AD99" i="1"/>
  <c r="AT99" i="1"/>
  <c r="G100" i="1"/>
  <c r="J100" i="1"/>
  <c r="M100" i="1"/>
  <c r="O100" i="1"/>
  <c r="Q100" i="1"/>
  <c r="S100" i="1"/>
  <c r="AB100" i="1"/>
  <c r="AD100" i="1"/>
  <c r="AT100" i="1"/>
  <c r="G101" i="1"/>
  <c r="J101" i="1"/>
  <c r="M101" i="1"/>
  <c r="O101" i="1"/>
  <c r="Q101" i="1"/>
  <c r="S101" i="1"/>
  <c r="AB101" i="1"/>
  <c r="AD101" i="1"/>
  <c r="AT101" i="1"/>
  <c r="G102" i="1"/>
  <c r="J102" i="1"/>
  <c r="M102" i="1"/>
  <c r="O102" i="1"/>
  <c r="Q102" i="1"/>
  <c r="S102" i="1"/>
  <c r="AB102" i="1"/>
  <c r="AD102" i="1"/>
  <c r="AT102" i="1"/>
  <c r="G103" i="1"/>
  <c r="J103" i="1"/>
  <c r="M103" i="1"/>
  <c r="O103" i="1"/>
  <c r="Q103" i="1"/>
  <c r="S103" i="1"/>
  <c r="AB103" i="1"/>
  <c r="AD103" i="1"/>
  <c r="AT103" i="1"/>
  <c r="G104" i="1"/>
  <c r="J104" i="1"/>
  <c r="M104" i="1"/>
  <c r="O104" i="1"/>
  <c r="Q104" i="1"/>
  <c r="S104" i="1"/>
  <c r="AB104" i="1"/>
  <c r="AD104" i="1"/>
  <c r="AT104" i="1"/>
  <c r="G105" i="1"/>
  <c r="J105" i="1"/>
  <c r="M105" i="1"/>
  <c r="O105" i="1"/>
  <c r="Q105" i="1"/>
  <c r="S105" i="1"/>
  <c r="AB105" i="1"/>
  <c r="AD105" i="1"/>
  <c r="AT105" i="1"/>
  <c r="G106" i="1"/>
  <c r="J106" i="1"/>
  <c r="M106" i="1"/>
  <c r="O106" i="1"/>
  <c r="Q106" i="1"/>
  <c r="S106" i="1"/>
  <c r="AB106" i="1"/>
  <c r="AD106" i="1"/>
  <c r="AT106" i="1"/>
  <c r="G107" i="1"/>
  <c r="J107" i="1"/>
  <c r="M107" i="1"/>
  <c r="O107" i="1"/>
  <c r="Q107" i="1"/>
  <c r="S107" i="1"/>
  <c r="AB107" i="1"/>
  <c r="AD107" i="1"/>
  <c r="AT107" i="1"/>
  <c r="G108" i="1"/>
  <c r="J108" i="1"/>
  <c r="M108" i="1"/>
  <c r="O108" i="1"/>
  <c r="Q108" i="1"/>
  <c r="S108" i="1"/>
  <c r="AB108" i="1"/>
  <c r="AD108" i="1"/>
  <c r="AT108" i="1"/>
  <c r="G109" i="1"/>
  <c r="J109" i="1"/>
  <c r="M109" i="1"/>
  <c r="O109" i="1"/>
  <c r="Q109" i="1"/>
  <c r="S109" i="1"/>
  <c r="AB109" i="1"/>
  <c r="AD109" i="1"/>
  <c r="AT109" i="1"/>
  <c r="G110" i="1"/>
  <c r="J110" i="1"/>
  <c r="M110" i="1"/>
  <c r="O110" i="1"/>
  <c r="Q110" i="1"/>
  <c r="S110" i="1"/>
  <c r="AB110" i="1"/>
  <c r="AD110" i="1"/>
  <c r="AT110" i="1"/>
  <c r="G111" i="1"/>
  <c r="J111" i="1"/>
  <c r="M111" i="1"/>
  <c r="O111" i="1"/>
  <c r="Q111" i="1"/>
  <c r="S111" i="1"/>
  <c r="AB111" i="1"/>
  <c r="AD111" i="1"/>
  <c r="AT111" i="1"/>
  <c r="G112" i="1"/>
  <c r="J112" i="1"/>
  <c r="M112" i="1"/>
  <c r="O112" i="1"/>
  <c r="Q112" i="1"/>
  <c r="S112" i="1"/>
  <c r="AB112" i="1"/>
  <c r="AD112" i="1"/>
  <c r="AT112" i="1"/>
  <c r="G113" i="1"/>
  <c r="J113" i="1"/>
  <c r="M113" i="1"/>
  <c r="O113" i="1"/>
  <c r="Q113" i="1"/>
  <c r="S113" i="1"/>
  <c r="AB113" i="1"/>
  <c r="AD113" i="1"/>
  <c r="AT113" i="1"/>
  <c r="G114" i="1"/>
  <c r="J114" i="1"/>
  <c r="M114" i="1"/>
  <c r="O114" i="1"/>
  <c r="Q114" i="1"/>
  <c r="S114" i="1"/>
  <c r="AB114" i="1"/>
  <c r="AD114" i="1"/>
  <c r="AT114" i="1"/>
  <c r="G115" i="1"/>
  <c r="J115" i="1"/>
  <c r="M115" i="1"/>
  <c r="O115" i="1"/>
  <c r="Q115" i="1"/>
  <c r="S115" i="1"/>
  <c r="AB115" i="1"/>
  <c r="AD115" i="1"/>
  <c r="AT115" i="1"/>
  <c r="G116" i="1"/>
  <c r="J116" i="1"/>
  <c r="M116" i="1"/>
  <c r="O116" i="1"/>
  <c r="Q116" i="1"/>
  <c r="S116" i="1"/>
  <c r="AB116" i="1"/>
  <c r="AD116" i="1"/>
  <c r="AT116" i="1"/>
  <c r="G117" i="1"/>
  <c r="J117" i="1"/>
  <c r="M117" i="1"/>
  <c r="O117" i="1"/>
  <c r="Q117" i="1"/>
  <c r="S117" i="1"/>
  <c r="AB117" i="1"/>
  <c r="AD117" i="1"/>
  <c r="AT117" i="1"/>
  <c r="G118" i="1"/>
  <c r="J118" i="1"/>
  <c r="M118" i="1"/>
  <c r="O118" i="1"/>
  <c r="Q118" i="1"/>
  <c r="S118" i="1"/>
  <c r="AB118" i="1"/>
  <c r="AD118" i="1"/>
  <c r="AT118" i="1"/>
  <c r="G119" i="1"/>
  <c r="J119" i="1"/>
  <c r="M119" i="1"/>
  <c r="O119" i="1"/>
  <c r="Q119" i="1"/>
  <c r="S119" i="1"/>
  <c r="AB119" i="1"/>
  <c r="AD119" i="1"/>
  <c r="AT119" i="1"/>
  <c r="G120" i="1"/>
  <c r="J120" i="1"/>
  <c r="M120" i="1"/>
  <c r="O120" i="1"/>
  <c r="Q120" i="1"/>
  <c r="S120" i="1"/>
  <c r="AB120" i="1"/>
  <c r="AD120" i="1"/>
  <c r="AT120" i="1"/>
  <c r="G121" i="1"/>
  <c r="J121" i="1"/>
  <c r="M121" i="1"/>
  <c r="O121" i="1"/>
  <c r="Q121" i="1"/>
  <c r="S121" i="1"/>
  <c r="AB121" i="1"/>
  <c r="AD121" i="1"/>
  <c r="AT121" i="1"/>
  <c r="G122" i="1"/>
  <c r="J122" i="1"/>
  <c r="M122" i="1"/>
  <c r="O122" i="1"/>
  <c r="Q122" i="1"/>
  <c r="S122" i="1"/>
  <c r="AB122" i="1"/>
  <c r="AD122" i="1"/>
  <c r="AT122" i="1"/>
  <c r="G123" i="1"/>
  <c r="J123" i="1"/>
  <c r="M123" i="1"/>
  <c r="O123" i="1"/>
  <c r="Q123" i="1"/>
  <c r="S123" i="1"/>
  <c r="AB123" i="1"/>
  <c r="AD123" i="1"/>
  <c r="AT123" i="1"/>
  <c r="G124" i="1"/>
  <c r="J124" i="1"/>
  <c r="M124" i="1"/>
  <c r="O124" i="1"/>
  <c r="Q124" i="1"/>
  <c r="S124" i="1"/>
  <c r="AB124" i="1"/>
  <c r="AD124" i="1"/>
  <c r="AT124" i="1"/>
  <c r="G125" i="1"/>
  <c r="J125" i="1"/>
  <c r="M125" i="1"/>
  <c r="O125" i="1"/>
  <c r="Q125" i="1"/>
  <c r="S125" i="1"/>
  <c r="AB125" i="1"/>
  <c r="AD125" i="1"/>
  <c r="AT125" i="1"/>
  <c r="G126" i="1"/>
  <c r="J126" i="1"/>
  <c r="M126" i="1"/>
  <c r="O126" i="1"/>
  <c r="Q126" i="1"/>
  <c r="S126" i="1"/>
  <c r="AB126" i="1"/>
  <c r="AD126" i="1"/>
  <c r="AT126" i="1"/>
  <c r="G127" i="1"/>
  <c r="J127" i="1"/>
  <c r="M127" i="1"/>
  <c r="O127" i="1"/>
  <c r="Q127" i="1"/>
  <c r="S127" i="1"/>
  <c r="AB127" i="1"/>
  <c r="AD127" i="1"/>
  <c r="AT127" i="1"/>
  <c r="G128" i="1"/>
  <c r="J128" i="1"/>
  <c r="M128" i="1"/>
  <c r="O128" i="1"/>
  <c r="Q128" i="1"/>
  <c r="S128" i="1"/>
  <c r="AB128" i="1"/>
  <c r="AD128" i="1"/>
  <c r="AT128" i="1"/>
  <c r="G129" i="1"/>
  <c r="J129" i="1"/>
  <c r="M129" i="1"/>
  <c r="O129" i="1"/>
  <c r="Q129" i="1"/>
  <c r="S129" i="1"/>
  <c r="AB129" i="1"/>
  <c r="AD129" i="1"/>
  <c r="AT129" i="1"/>
  <c r="G130" i="1"/>
  <c r="J130" i="1"/>
  <c r="M130" i="1"/>
  <c r="O130" i="1"/>
  <c r="Q130" i="1"/>
  <c r="S130" i="1"/>
  <c r="AB130" i="1"/>
  <c r="AD130" i="1"/>
  <c r="AT130" i="1"/>
  <c r="G131" i="1"/>
  <c r="J131" i="1"/>
  <c r="M131" i="1"/>
  <c r="O131" i="1"/>
  <c r="Q131" i="1"/>
  <c r="S131" i="1"/>
  <c r="AB131" i="1"/>
  <c r="AD131" i="1"/>
  <c r="AT131" i="1"/>
  <c r="G132" i="1"/>
  <c r="J132" i="1"/>
  <c r="M132" i="1"/>
  <c r="O132" i="1"/>
  <c r="Q132" i="1"/>
  <c r="S132" i="1"/>
  <c r="AB132" i="1"/>
  <c r="AD132" i="1"/>
  <c r="AT132" i="1"/>
  <c r="G133" i="1"/>
  <c r="J133" i="1"/>
  <c r="M133" i="1"/>
  <c r="O133" i="1"/>
  <c r="Q133" i="1"/>
  <c r="S133" i="1"/>
  <c r="AB133" i="1"/>
  <c r="AD133" i="1"/>
  <c r="AT133" i="1"/>
  <c r="G134" i="1"/>
  <c r="J134" i="1"/>
  <c r="M134" i="1"/>
  <c r="O134" i="1"/>
  <c r="Q134" i="1"/>
  <c r="S134" i="1"/>
  <c r="AB134" i="1"/>
  <c r="AD134" i="1"/>
  <c r="AT134" i="1"/>
  <c r="G135" i="1"/>
  <c r="J135" i="1"/>
  <c r="M135" i="1"/>
  <c r="O135" i="1"/>
  <c r="Q135" i="1"/>
  <c r="S135" i="1"/>
  <c r="AB135" i="1"/>
  <c r="AD135" i="1"/>
  <c r="AT135" i="1"/>
  <c r="G136" i="1"/>
  <c r="J136" i="1"/>
  <c r="M136" i="1"/>
  <c r="O136" i="1"/>
  <c r="Q136" i="1"/>
  <c r="S136" i="1"/>
  <c r="AB136" i="1"/>
  <c r="AD136" i="1"/>
  <c r="AT136" i="1"/>
  <c r="G137" i="1"/>
  <c r="J137" i="1"/>
  <c r="M137" i="1"/>
  <c r="O137" i="1"/>
  <c r="Q137" i="1"/>
  <c r="S137" i="1"/>
  <c r="AB137" i="1"/>
  <c r="AD137" i="1"/>
  <c r="AT137" i="1"/>
  <c r="G138" i="1"/>
  <c r="J138" i="1"/>
  <c r="M138" i="1"/>
  <c r="O138" i="1"/>
  <c r="Q138" i="1"/>
  <c r="S138" i="1"/>
  <c r="AB138" i="1"/>
  <c r="AD138" i="1"/>
  <c r="AT138" i="1"/>
  <c r="G139" i="1"/>
  <c r="J139" i="1"/>
  <c r="M139" i="1"/>
  <c r="O139" i="1"/>
  <c r="Q139" i="1"/>
  <c r="S139" i="1"/>
  <c r="AB139" i="1"/>
  <c r="AD139" i="1"/>
  <c r="AT139" i="1"/>
  <c r="G140" i="1"/>
  <c r="J140" i="1"/>
  <c r="M140" i="1"/>
  <c r="O140" i="1"/>
  <c r="Q140" i="1"/>
  <c r="S140" i="1"/>
  <c r="AB140" i="1"/>
  <c r="AD140" i="1"/>
  <c r="AT140" i="1"/>
  <c r="G141" i="1"/>
  <c r="J141" i="1"/>
  <c r="M141" i="1"/>
  <c r="O141" i="1"/>
  <c r="Q141" i="1"/>
  <c r="S141" i="1"/>
  <c r="AB141" i="1"/>
  <c r="AD141" i="1"/>
  <c r="AT141" i="1"/>
  <c r="G142" i="1"/>
  <c r="J142" i="1"/>
  <c r="M142" i="1"/>
  <c r="O142" i="1"/>
  <c r="Q142" i="1"/>
  <c r="S142" i="1"/>
  <c r="AB142" i="1"/>
  <c r="AD142" i="1"/>
  <c r="AT142" i="1"/>
  <c r="G143" i="1"/>
  <c r="J143" i="1"/>
  <c r="M143" i="1"/>
  <c r="O143" i="1"/>
  <c r="Q143" i="1"/>
  <c r="S143" i="1"/>
  <c r="AB143" i="1"/>
  <c r="AD143" i="1"/>
  <c r="AT143" i="1"/>
  <c r="G144" i="1"/>
  <c r="J144" i="1"/>
  <c r="M144" i="1"/>
  <c r="O144" i="1"/>
  <c r="Q144" i="1"/>
  <c r="S144" i="1"/>
  <c r="AB144" i="1"/>
  <c r="AD144" i="1"/>
  <c r="AT144" i="1"/>
  <c r="G145" i="1"/>
  <c r="J145" i="1"/>
  <c r="M145" i="1"/>
  <c r="O145" i="1"/>
  <c r="Q145" i="1"/>
  <c r="S145" i="1"/>
  <c r="AB145" i="1"/>
  <c r="AD145" i="1"/>
  <c r="AT145" i="1"/>
  <c r="G146" i="1"/>
  <c r="J146" i="1"/>
  <c r="M146" i="1"/>
  <c r="O146" i="1"/>
  <c r="Q146" i="1"/>
  <c r="S146" i="1"/>
  <c r="AB146" i="1"/>
  <c r="AD146" i="1"/>
  <c r="AT146" i="1"/>
  <c r="G147" i="1"/>
  <c r="J147" i="1"/>
  <c r="M147" i="1"/>
  <c r="O147" i="1"/>
  <c r="Q147" i="1"/>
  <c r="S147" i="1"/>
  <c r="AB147" i="1"/>
  <c r="AD147" i="1"/>
  <c r="AT147" i="1"/>
  <c r="G148" i="1"/>
  <c r="J148" i="1"/>
  <c r="M148" i="1"/>
  <c r="O148" i="1"/>
  <c r="Q148" i="1"/>
  <c r="S148" i="1"/>
  <c r="AB148" i="1"/>
  <c r="AD148" i="1"/>
  <c r="AT148" i="1"/>
  <c r="G149" i="1"/>
  <c r="J149" i="1"/>
  <c r="M149" i="1"/>
  <c r="O149" i="1"/>
  <c r="Q149" i="1"/>
  <c r="S149" i="1"/>
  <c r="AB149" i="1"/>
  <c r="AD149" i="1"/>
  <c r="AT149" i="1"/>
  <c r="G150" i="1"/>
  <c r="J150" i="1"/>
  <c r="M150" i="1"/>
  <c r="O150" i="1"/>
  <c r="Q150" i="1"/>
  <c r="S150" i="1"/>
  <c r="AB150" i="1"/>
  <c r="AD150" i="1"/>
  <c r="AT150" i="1"/>
  <c r="G151" i="1"/>
  <c r="J151" i="1"/>
  <c r="M151" i="1"/>
  <c r="O151" i="1"/>
  <c r="Q151" i="1"/>
  <c r="S151" i="1"/>
  <c r="AB151" i="1"/>
  <c r="AD151" i="1"/>
  <c r="AT151" i="1"/>
  <c r="G152" i="1"/>
  <c r="J152" i="1"/>
  <c r="M152" i="1"/>
  <c r="O152" i="1"/>
  <c r="Q152" i="1"/>
  <c r="S152" i="1"/>
  <c r="AB152" i="1"/>
  <c r="AD152" i="1"/>
  <c r="AT152" i="1"/>
  <c r="G153" i="1"/>
  <c r="J153" i="1"/>
  <c r="M153" i="1"/>
  <c r="O153" i="1"/>
  <c r="Q153" i="1"/>
  <c r="S153" i="1"/>
  <c r="AB153" i="1"/>
  <c r="AD153" i="1"/>
  <c r="AT153" i="1"/>
  <c r="G154" i="1"/>
  <c r="J154" i="1"/>
  <c r="M154" i="1"/>
  <c r="O154" i="1"/>
  <c r="Q154" i="1"/>
  <c r="S154" i="1"/>
  <c r="AB154" i="1"/>
  <c r="AD154" i="1"/>
  <c r="AT154" i="1"/>
  <c r="G155" i="1"/>
  <c r="J155" i="1"/>
  <c r="M155" i="1"/>
  <c r="O155" i="1"/>
  <c r="Q155" i="1"/>
  <c r="S155" i="1"/>
  <c r="AB155" i="1"/>
  <c r="AD155" i="1"/>
  <c r="AT155" i="1"/>
  <c r="G156" i="1"/>
  <c r="J156" i="1"/>
  <c r="M156" i="1"/>
  <c r="O156" i="1"/>
  <c r="Q156" i="1"/>
  <c r="S156" i="1"/>
  <c r="AB156" i="1"/>
  <c r="AD156" i="1"/>
  <c r="AT156" i="1"/>
  <c r="G157" i="1"/>
  <c r="J157" i="1"/>
  <c r="M157" i="1"/>
  <c r="O157" i="1"/>
  <c r="Q157" i="1"/>
  <c r="S157" i="1"/>
  <c r="AB157" i="1"/>
  <c r="AD157" i="1"/>
  <c r="AT157" i="1"/>
  <c r="G158" i="1"/>
  <c r="J158" i="1"/>
  <c r="M158" i="1"/>
  <c r="O158" i="1"/>
  <c r="Q158" i="1"/>
  <c r="S158" i="1"/>
  <c r="AB158" i="1"/>
  <c r="AD158" i="1"/>
  <c r="AT158" i="1"/>
  <c r="G159" i="1"/>
  <c r="J159" i="1"/>
  <c r="M159" i="1"/>
  <c r="O159" i="1"/>
  <c r="Q159" i="1"/>
  <c r="S159" i="1"/>
  <c r="AB159" i="1"/>
  <c r="AD159" i="1"/>
  <c r="AT159" i="1"/>
  <c r="G160" i="1"/>
  <c r="J160" i="1"/>
  <c r="M160" i="1"/>
  <c r="O160" i="1"/>
  <c r="Q160" i="1"/>
  <c r="S160" i="1"/>
  <c r="AB160" i="1"/>
  <c r="AD160" i="1"/>
  <c r="AT160" i="1"/>
  <c r="G161" i="1"/>
  <c r="J161" i="1"/>
  <c r="M161" i="1"/>
  <c r="O161" i="1"/>
  <c r="Q161" i="1"/>
  <c r="S161" i="1"/>
  <c r="AB161" i="1"/>
  <c r="AD161" i="1"/>
  <c r="AT161" i="1"/>
  <c r="G162" i="1"/>
  <c r="J162" i="1"/>
  <c r="M162" i="1"/>
  <c r="O162" i="1"/>
  <c r="Q162" i="1"/>
  <c r="S162" i="1"/>
  <c r="AB162" i="1"/>
  <c r="AD162" i="1"/>
  <c r="AT162" i="1"/>
  <c r="G163" i="1"/>
  <c r="J163" i="1"/>
  <c r="M163" i="1"/>
  <c r="O163" i="1"/>
  <c r="Q163" i="1"/>
  <c r="S163" i="1"/>
  <c r="AB163" i="1"/>
  <c r="AD163" i="1"/>
  <c r="AT163" i="1"/>
  <c r="G164" i="1"/>
  <c r="J164" i="1"/>
  <c r="M164" i="1"/>
  <c r="O164" i="1"/>
  <c r="Q164" i="1"/>
  <c r="S164" i="1"/>
  <c r="AB164" i="1"/>
  <c r="AD164" i="1"/>
  <c r="AT164" i="1"/>
  <c r="G165" i="1"/>
  <c r="J165" i="1"/>
  <c r="M165" i="1"/>
  <c r="O165" i="1"/>
  <c r="Q165" i="1"/>
  <c r="S165" i="1"/>
  <c r="AB165" i="1"/>
  <c r="AD165" i="1"/>
  <c r="AT165" i="1"/>
  <c r="G166" i="1"/>
  <c r="J166" i="1"/>
  <c r="M166" i="1"/>
  <c r="O166" i="1"/>
  <c r="Q166" i="1"/>
  <c r="S166" i="1"/>
  <c r="AB166" i="1"/>
  <c r="AD166" i="1"/>
  <c r="AT166" i="1"/>
  <c r="G167" i="1"/>
  <c r="J167" i="1"/>
  <c r="M167" i="1"/>
  <c r="O167" i="1"/>
  <c r="Q167" i="1"/>
  <c r="S167" i="1"/>
  <c r="AB167" i="1"/>
  <c r="AD167" i="1"/>
  <c r="AT167" i="1"/>
  <c r="G168" i="1"/>
  <c r="J168" i="1"/>
  <c r="M168" i="1"/>
  <c r="O168" i="1"/>
  <c r="Q168" i="1"/>
  <c r="S168" i="1"/>
  <c r="AB168" i="1"/>
  <c r="AD168" i="1"/>
  <c r="AT168" i="1"/>
  <c r="G169" i="1"/>
  <c r="J169" i="1"/>
  <c r="M169" i="1"/>
  <c r="O169" i="1"/>
  <c r="Q169" i="1"/>
  <c r="S169" i="1"/>
  <c r="AB169" i="1"/>
  <c r="AD169" i="1"/>
  <c r="AT169" i="1"/>
  <c r="G170" i="1"/>
  <c r="J170" i="1"/>
  <c r="M170" i="1"/>
  <c r="O170" i="1"/>
  <c r="Q170" i="1"/>
  <c r="S170" i="1"/>
  <c r="AB170" i="1"/>
  <c r="AD170" i="1"/>
  <c r="AT170" i="1"/>
  <c r="G171" i="1"/>
  <c r="J171" i="1"/>
  <c r="M171" i="1"/>
  <c r="O171" i="1"/>
  <c r="Q171" i="1"/>
  <c r="S171" i="1"/>
  <c r="AB171" i="1"/>
  <c r="AD171" i="1"/>
  <c r="AT171" i="1"/>
  <c r="G172" i="1"/>
  <c r="J172" i="1"/>
  <c r="M172" i="1"/>
  <c r="O172" i="1"/>
  <c r="Q172" i="1"/>
  <c r="S172" i="1"/>
  <c r="AB172" i="1"/>
  <c r="AD172" i="1"/>
  <c r="AT172" i="1"/>
  <c r="G173" i="1"/>
  <c r="J173" i="1"/>
  <c r="M173" i="1"/>
  <c r="O173" i="1"/>
  <c r="Q173" i="1"/>
  <c r="S173" i="1"/>
  <c r="AB173" i="1"/>
  <c r="AD173" i="1"/>
  <c r="AT173" i="1"/>
  <c r="G174" i="1"/>
  <c r="J174" i="1"/>
  <c r="M174" i="1"/>
  <c r="O174" i="1"/>
  <c r="Q174" i="1"/>
  <c r="S174" i="1"/>
  <c r="AB174" i="1"/>
  <c r="AD174" i="1"/>
  <c r="AT174" i="1"/>
  <c r="G175" i="1"/>
  <c r="J175" i="1"/>
  <c r="M175" i="1"/>
  <c r="O175" i="1"/>
  <c r="Q175" i="1"/>
  <c r="S175" i="1"/>
  <c r="AB175" i="1"/>
  <c r="AD175" i="1"/>
  <c r="AT175" i="1"/>
  <c r="G176" i="1"/>
  <c r="J176" i="1"/>
  <c r="M176" i="1"/>
  <c r="O176" i="1"/>
  <c r="Q176" i="1"/>
  <c r="S176" i="1"/>
  <c r="AB176" i="1"/>
  <c r="AD176" i="1"/>
  <c r="AT176" i="1"/>
  <c r="G177" i="1"/>
  <c r="J177" i="1"/>
  <c r="M177" i="1"/>
  <c r="O177" i="1"/>
  <c r="Q177" i="1"/>
  <c r="S177" i="1"/>
  <c r="AB177" i="1"/>
  <c r="AD177" i="1"/>
  <c r="AT177" i="1"/>
  <c r="G178" i="1"/>
  <c r="J178" i="1"/>
  <c r="M178" i="1"/>
  <c r="O178" i="1"/>
  <c r="Q178" i="1"/>
  <c r="S178" i="1"/>
  <c r="AB178" i="1"/>
  <c r="AD178" i="1"/>
  <c r="AT178" i="1"/>
  <c r="G179" i="1"/>
  <c r="J179" i="1"/>
  <c r="M179" i="1"/>
  <c r="O179" i="1"/>
  <c r="Q179" i="1"/>
  <c r="S179" i="1"/>
  <c r="AB179" i="1"/>
  <c r="AD179" i="1"/>
  <c r="AT179" i="1"/>
  <c r="G180" i="1"/>
  <c r="J180" i="1"/>
  <c r="M180" i="1"/>
  <c r="O180" i="1"/>
  <c r="Q180" i="1"/>
  <c r="S180" i="1"/>
  <c r="AB180" i="1"/>
  <c r="AD180" i="1"/>
  <c r="AT180" i="1"/>
  <c r="G181" i="1"/>
  <c r="J181" i="1"/>
  <c r="M181" i="1"/>
  <c r="O181" i="1"/>
  <c r="Q181" i="1"/>
  <c r="S181" i="1"/>
  <c r="AB181" i="1"/>
  <c r="AD181" i="1"/>
  <c r="AT181" i="1"/>
  <c r="G182" i="1"/>
  <c r="J182" i="1"/>
  <c r="M182" i="1"/>
  <c r="O182" i="1"/>
  <c r="Q182" i="1"/>
  <c r="S182" i="1"/>
  <c r="AB182" i="1"/>
  <c r="AD182" i="1"/>
  <c r="AT182" i="1"/>
  <c r="G183" i="1"/>
  <c r="J183" i="1"/>
  <c r="M183" i="1"/>
  <c r="O183" i="1"/>
  <c r="Q183" i="1"/>
  <c r="S183" i="1"/>
  <c r="AB183" i="1"/>
  <c r="AD183" i="1"/>
  <c r="AT183" i="1"/>
  <c r="G184" i="1"/>
  <c r="J184" i="1"/>
  <c r="M184" i="1"/>
  <c r="O184" i="1"/>
  <c r="Q184" i="1"/>
  <c r="S184" i="1"/>
  <c r="AB184" i="1"/>
  <c r="AD184" i="1"/>
  <c r="AT184" i="1"/>
  <c r="G185" i="1"/>
  <c r="J185" i="1"/>
  <c r="M185" i="1"/>
  <c r="O185" i="1"/>
  <c r="Q185" i="1"/>
  <c r="S185" i="1"/>
  <c r="AB185" i="1"/>
  <c r="AD185" i="1"/>
  <c r="AT185" i="1"/>
  <c r="G186" i="1"/>
  <c r="J186" i="1"/>
  <c r="M186" i="1"/>
  <c r="O186" i="1"/>
  <c r="Q186" i="1"/>
  <c r="S186" i="1"/>
  <c r="AB186" i="1"/>
  <c r="AD186" i="1"/>
  <c r="AT186" i="1"/>
  <c r="G187" i="1"/>
  <c r="J187" i="1"/>
  <c r="M187" i="1"/>
  <c r="O187" i="1"/>
  <c r="Q187" i="1"/>
  <c r="S187" i="1"/>
  <c r="AB187" i="1"/>
  <c r="AD187" i="1"/>
  <c r="AT187" i="1"/>
  <c r="G188" i="1"/>
  <c r="J188" i="1"/>
  <c r="M188" i="1"/>
  <c r="O188" i="1"/>
  <c r="Q188" i="1"/>
  <c r="S188" i="1"/>
  <c r="AB188" i="1"/>
  <c r="AD188" i="1"/>
  <c r="AT188" i="1"/>
  <c r="G189" i="1"/>
  <c r="J189" i="1"/>
  <c r="M189" i="1"/>
  <c r="O189" i="1"/>
  <c r="Q189" i="1"/>
  <c r="S189" i="1"/>
  <c r="AB189" i="1"/>
  <c r="AD189" i="1"/>
  <c r="AT189" i="1"/>
  <c r="G190" i="1"/>
  <c r="J190" i="1"/>
  <c r="M190" i="1"/>
  <c r="O190" i="1"/>
  <c r="Q190" i="1"/>
  <c r="S190" i="1"/>
  <c r="AB190" i="1"/>
  <c r="AD190" i="1"/>
  <c r="AT190" i="1"/>
  <c r="G191" i="1"/>
  <c r="J191" i="1"/>
  <c r="M191" i="1"/>
  <c r="O191" i="1"/>
  <c r="Q191" i="1"/>
  <c r="S191" i="1"/>
  <c r="AB191" i="1"/>
  <c r="AD191" i="1"/>
  <c r="AT191" i="1"/>
  <c r="G192" i="1"/>
  <c r="J192" i="1"/>
  <c r="M192" i="1"/>
  <c r="O192" i="1"/>
  <c r="Q192" i="1"/>
  <c r="S192" i="1"/>
  <c r="AB192" i="1"/>
  <c r="AD192" i="1"/>
  <c r="AT192" i="1"/>
  <c r="G193" i="1"/>
  <c r="J193" i="1"/>
  <c r="M193" i="1"/>
  <c r="O193" i="1"/>
  <c r="Q193" i="1"/>
  <c r="S193" i="1"/>
  <c r="AB193" i="1"/>
  <c r="AD193" i="1"/>
  <c r="AT193" i="1"/>
  <c r="G194" i="1"/>
  <c r="J194" i="1"/>
  <c r="M194" i="1"/>
  <c r="O194" i="1"/>
  <c r="Q194" i="1"/>
  <c r="S194" i="1"/>
  <c r="AB194" i="1"/>
  <c r="AD194" i="1"/>
  <c r="AT194" i="1"/>
  <c r="G195" i="1"/>
  <c r="J195" i="1"/>
  <c r="M195" i="1"/>
  <c r="O195" i="1"/>
  <c r="Q195" i="1"/>
  <c r="S195" i="1"/>
  <c r="AB195" i="1"/>
  <c r="AD195" i="1"/>
  <c r="AT195" i="1"/>
  <c r="G196" i="1"/>
  <c r="J196" i="1"/>
  <c r="M196" i="1"/>
  <c r="O196" i="1"/>
  <c r="Q196" i="1"/>
  <c r="S196" i="1"/>
  <c r="AB196" i="1"/>
  <c r="AD196" i="1"/>
  <c r="AT196" i="1"/>
  <c r="G197" i="1"/>
  <c r="J197" i="1"/>
  <c r="M197" i="1"/>
  <c r="O197" i="1"/>
  <c r="Q197" i="1"/>
  <c r="S197" i="1"/>
  <c r="AB197" i="1"/>
  <c r="AD197" i="1"/>
  <c r="AT197" i="1"/>
  <c r="G198" i="1"/>
  <c r="J198" i="1"/>
  <c r="M198" i="1"/>
  <c r="O198" i="1"/>
  <c r="Q198" i="1"/>
  <c r="S198" i="1"/>
  <c r="AB198" i="1"/>
  <c r="AD198" i="1"/>
  <c r="AT198" i="1"/>
  <c r="G199" i="1"/>
  <c r="J199" i="1"/>
  <c r="M199" i="1"/>
  <c r="O199" i="1"/>
  <c r="Q199" i="1"/>
  <c r="S199" i="1"/>
  <c r="AB199" i="1"/>
  <c r="AD199" i="1"/>
  <c r="AT199" i="1"/>
  <c r="G200" i="1"/>
  <c r="J200" i="1"/>
  <c r="M200" i="1"/>
  <c r="O200" i="1"/>
  <c r="Q200" i="1"/>
  <c r="S200" i="1"/>
  <c r="AB200" i="1"/>
  <c r="AD200" i="1"/>
  <c r="AT200" i="1"/>
  <c r="G201" i="1"/>
  <c r="J201" i="1"/>
  <c r="M201" i="1"/>
  <c r="O201" i="1"/>
  <c r="Q201" i="1"/>
  <c r="S201" i="1"/>
  <c r="AB201" i="1"/>
  <c r="AD201" i="1"/>
  <c r="AT201" i="1"/>
  <c r="G202" i="1"/>
  <c r="J202" i="1"/>
  <c r="M202" i="1"/>
  <c r="O202" i="1"/>
  <c r="Q202" i="1"/>
  <c r="S202" i="1"/>
  <c r="AB202" i="1"/>
  <c r="AD202" i="1"/>
  <c r="AT202" i="1"/>
  <c r="G203" i="1"/>
  <c r="J203" i="1"/>
  <c r="M203" i="1"/>
  <c r="O203" i="1"/>
  <c r="Q203" i="1"/>
  <c r="S203" i="1"/>
  <c r="AB203" i="1"/>
  <c r="AD203" i="1"/>
  <c r="AT203" i="1"/>
  <c r="G204" i="1"/>
  <c r="J204" i="1"/>
  <c r="M204" i="1"/>
  <c r="O204" i="1"/>
  <c r="Q204" i="1"/>
  <c r="S204" i="1"/>
  <c r="AB204" i="1"/>
  <c r="AD204" i="1"/>
  <c r="AT204" i="1"/>
  <c r="G205" i="1"/>
  <c r="J205" i="1"/>
  <c r="M205" i="1"/>
  <c r="O205" i="1"/>
  <c r="Q205" i="1"/>
  <c r="S205" i="1"/>
  <c r="AB205" i="1"/>
  <c r="AD205" i="1"/>
  <c r="AT205" i="1"/>
  <c r="G206" i="1"/>
  <c r="J206" i="1"/>
  <c r="M206" i="1"/>
  <c r="O206" i="1"/>
  <c r="Q206" i="1"/>
  <c r="S206" i="1"/>
  <c r="AB206" i="1"/>
  <c r="AD206" i="1"/>
  <c r="AT206" i="1"/>
  <c r="G207" i="1"/>
  <c r="J207" i="1"/>
  <c r="M207" i="1"/>
  <c r="O207" i="1"/>
  <c r="Q207" i="1"/>
  <c r="S207" i="1"/>
  <c r="AB207" i="1"/>
  <c r="AD207" i="1"/>
  <c r="AT207" i="1"/>
  <c r="G208" i="1"/>
  <c r="J208" i="1"/>
  <c r="M208" i="1"/>
  <c r="O208" i="1"/>
  <c r="Q208" i="1"/>
  <c r="S208" i="1"/>
  <c r="AB208" i="1"/>
  <c r="AD208" i="1"/>
  <c r="AT208" i="1"/>
  <c r="G209" i="1"/>
  <c r="J209" i="1"/>
  <c r="M209" i="1"/>
  <c r="O209" i="1"/>
  <c r="Q209" i="1"/>
  <c r="S209" i="1"/>
  <c r="AB209" i="1"/>
  <c r="AD209" i="1"/>
  <c r="AT209" i="1"/>
  <c r="G210" i="1"/>
  <c r="J210" i="1"/>
  <c r="M210" i="1"/>
  <c r="O210" i="1"/>
  <c r="Q210" i="1"/>
  <c r="S210" i="1"/>
  <c r="AB210" i="1"/>
  <c r="AD210" i="1"/>
  <c r="AT210" i="1"/>
  <c r="G211" i="1"/>
  <c r="J211" i="1"/>
  <c r="M211" i="1"/>
  <c r="O211" i="1"/>
  <c r="Q211" i="1"/>
  <c r="S211" i="1"/>
  <c r="AB211" i="1"/>
  <c r="AD211" i="1"/>
  <c r="AT211" i="1"/>
  <c r="G212" i="1"/>
  <c r="J212" i="1"/>
  <c r="M212" i="1"/>
  <c r="O212" i="1"/>
  <c r="Q212" i="1"/>
  <c r="S212" i="1"/>
  <c r="AB212" i="1"/>
  <c r="AD212" i="1"/>
  <c r="AT212" i="1"/>
  <c r="G213" i="1"/>
  <c r="J213" i="1"/>
  <c r="M213" i="1"/>
  <c r="O213" i="1"/>
  <c r="Q213" i="1"/>
  <c r="S213" i="1"/>
  <c r="AB213" i="1"/>
  <c r="AD213" i="1"/>
  <c r="AT213" i="1"/>
  <c r="G214" i="1"/>
  <c r="J214" i="1"/>
  <c r="M214" i="1"/>
  <c r="O214" i="1"/>
  <c r="Q214" i="1"/>
  <c r="S214" i="1"/>
  <c r="AB214" i="1"/>
  <c r="AD214" i="1"/>
  <c r="AT214" i="1"/>
  <c r="G215" i="1"/>
  <c r="J215" i="1"/>
  <c r="M215" i="1"/>
  <c r="O215" i="1"/>
  <c r="Q215" i="1"/>
  <c r="S215" i="1"/>
  <c r="AB215" i="1"/>
  <c r="AD215" i="1"/>
  <c r="AT215" i="1"/>
  <c r="G216" i="1"/>
  <c r="J216" i="1"/>
  <c r="M216" i="1"/>
  <c r="O216" i="1"/>
  <c r="Q216" i="1"/>
  <c r="S216" i="1"/>
  <c r="AB216" i="1"/>
  <c r="AD216" i="1"/>
  <c r="AT216" i="1"/>
  <c r="G217" i="1"/>
  <c r="J217" i="1"/>
  <c r="M217" i="1"/>
  <c r="O217" i="1"/>
  <c r="Q217" i="1"/>
  <c r="S217" i="1"/>
  <c r="AB217" i="1"/>
  <c r="AD217" i="1"/>
  <c r="AT217" i="1"/>
  <c r="G218" i="1"/>
  <c r="J218" i="1"/>
  <c r="M218" i="1"/>
  <c r="O218" i="1"/>
  <c r="Q218" i="1"/>
  <c r="S218" i="1"/>
  <c r="AB218" i="1"/>
  <c r="AD218" i="1"/>
  <c r="AT218" i="1"/>
  <c r="G219" i="1"/>
  <c r="J219" i="1"/>
  <c r="M219" i="1"/>
  <c r="O219" i="1"/>
  <c r="Q219" i="1"/>
  <c r="S219" i="1"/>
  <c r="AB219" i="1"/>
  <c r="AD219" i="1"/>
  <c r="AT219" i="1"/>
  <c r="G220" i="1"/>
  <c r="J220" i="1"/>
  <c r="M220" i="1"/>
  <c r="O220" i="1"/>
  <c r="Q220" i="1"/>
  <c r="S220" i="1"/>
  <c r="AB220" i="1"/>
  <c r="AD220" i="1"/>
  <c r="AT220" i="1"/>
  <c r="G221" i="1"/>
  <c r="J221" i="1"/>
  <c r="M221" i="1"/>
  <c r="O221" i="1"/>
  <c r="Q221" i="1"/>
  <c r="S221" i="1"/>
  <c r="AB221" i="1"/>
  <c r="AD221" i="1"/>
  <c r="AT221" i="1"/>
  <c r="G222" i="1"/>
  <c r="J222" i="1"/>
  <c r="M222" i="1"/>
  <c r="O222" i="1"/>
  <c r="Q222" i="1"/>
  <c r="S222" i="1"/>
  <c r="AB222" i="1"/>
  <c r="AD222" i="1"/>
  <c r="AT222" i="1"/>
  <c r="G223" i="1"/>
  <c r="J223" i="1"/>
  <c r="M223" i="1"/>
  <c r="O223" i="1"/>
  <c r="Q223" i="1"/>
  <c r="S223" i="1"/>
  <c r="AB223" i="1"/>
  <c r="AD223" i="1"/>
  <c r="AT223" i="1"/>
  <c r="G224" i="1"/>
  <c r="J224" i="1"/>
  <c r="M224" i="1"/>
  <c r="O224" i="1"/>
  <c r="Q224" i="1"/>
  <c r="S224" i="1"/>
  <c r="AB224" i="1"/>
  <c r="AD224" i="1"/>
  <c r="AT224" i="1"/>
  <c r="G225" i="1"/>
  <c r="J225" i="1"/>
  <c r="M225" i="1"/>
  <c r="O225" i="1"/>
  <c r="Q225" i="1"/>
  <c r="S225" i="1"/>
  <c r="AB225" i="1"/>
  <c r="AD225" i="1"/>
  <c r="AT225" i="1"/>
  <c r="G226" i="1"/>
  <c r="J226" i="1"/>
  <c r="M226" i="1"/>
  <c r="O226" i="1"/>
  <c r="Q226" i="1"/>
  <c r="S226" i="1"/>
  <c r="AB226" i="1"/>
  <c r="AD226" i="1"/>
  <c r="AT226" i="1"/>
  <c r="G227" i="1"/>
  <c r="J227" i="1"/>
  <c r="M227" i="1"/>
  <c r="O227" i="1"/>
  <c r="Q227" i="1"/>
  <c r="S227" i="1"/>
  <c r="AB227" i="1"/>
  <c r="AD227" i="1"/>
  <c r="AT227" i="1"/>
  <c r="G228" i="1"/>
  <c r="J228" i="1"/>
  <c r="M228" i="1"/>
  <c r="O228" i="1"/>
  <c r="Q228" i="1"/>
  <c r="S228" i="1"/>
  <c r="AB228" i="1"/>
  <c r="AD228" i="1"/>
  <c r="AT228" i="1"/>
  <c r="G229" i="1"/>
  <c r="J229" i="1"/>
  <c r="M229" i="1"/>
  <c r="O229" i="1"/>
  <c r="Q229" i="1"/>
  <c r="S229" i="1"/>
  <c r="AB229" i="1"/>
  <c r="AD229" i="1"/>
  <c r="AT229" i="1"/>
  <c r="G230" i="1"/>
  <c r="J230" i="1"/>
  <c r="M230" i="1"/>
  <c r="O230" i="1"/>
  <c r="Q230" i="1"/>
  <c r="S230" i="1"/>
  <c r="AB230" i="1"/>
  <c r="AD230" i="1"/>
  <c r="AT230" i="1"/>
  <c r="G231" i="1"/>
  <c r="J231" i="1"/>
  <c r="M231" i="1"/>
  <c r="O231" i="1"/>
  <c r="Q231" i="1"/>
  <c r="S231" i="1"/>
  <c r="AB231" i="1"/>
  <c r="AD231" i="1"/>
  <c r="AT231" i="1"/>
  <c r="G232" i="1"/>
  <c r="J232" i="1"/>
  <c r="M232" i="1"/>
  <c r="O232" i="1"/>
  <c r="Q232" i="1"/>
  <c r="S232" i="1"/>
  <c r="AB232" i="1"/>
  <c r="AD232" i="1"/>
  <c r="AT232" i="1"/>
  <c r="G233" i="1"/>
  <c r="J233" i="1"/>
  <c r="M233" i="1"/>
  <c r="O233" i="1"/>
  <c r="Q233" i="1"/>
  <c r="S233" i="1"/>
  <c r="AB233" i="1"/>
  <c r="AD233" i="1"/>
  <c r="AT233" i="1"/>
  <c r="G234" i="1"/>
  <c r="J234" i="1"/>
  <c r="M234" i="1"/>
  <c r="O234" i="1"/>
  <c r="Q234" i="1"/>
  <c r="S234" i="1"/>
  <c r="AB234" i="1"/>
  <c r="AD234" i="1"/>
  <c r="AT234" i="1"/>
  <c r="G235" i="1"/>
  <c r="J235" i="1"/>
  <c r="M235" i="1"/>
  <c r="O235" i="1"/>
  <c r="Q235" i="1"/>
  <c r="S235" i="1"/>
  <c r="AB235" i="1"/>
  <c r="AD235" i="1"/>
  <c r="AT235" i="1"/>
  <c r="G236" i="1"/>
  <c r="J236" i="1"/>
  <c r="M236" i="1"/>
  <c r="O236" i="1"/>
  <c r="Q236" i="1"/>
  <c r="S236" i="1"/>
  <c r="AB236" i="1"/>
  <c r="AD236" i="1"/>
  <c r="AT236" i="1"/>
  <c r="G237" i="1"/>
  <c r="J237" i="1"/>
  <c r="M237" i="1"/>
  <c r="O237" i="1"/>
  <c r="Q237" i="1"/>
  <c r="S237" i="1"/>
  <c r="AB237" i="1"/>
  <c r="AD237" i="1"/>
  <c r="AT237" i="1"/>
  <c r="G238" i="1"/>
  <c r="J238" i="1"/>
  <c r="M238" i="1"/>
  <c r="O238" i="1"/>
  <c r="Q238" i="1"/>
  <c r="S238" i="1"/>
  <c r="AB238" i="1"/>
  <c r="AD238" i="1"/>
  <c r="AT238" i="1"/>
  <c r="G239" i="1"/>
  <c r="J239" i="1"/>
  <c r="M239" i="1"/>
  <c r="O239" i="1"/>
  <c r="Q239" i="1"/>
  <c r="S239" i="1"/>
  <c r="AB239" i="1"/>
  <c r="AD239" i="1"/>
  <c r="AT239" i="1"/>
  <c r="G240" i="1"/>
  <c r="J240" i="1"/>
  <c r="M240" i="1"/>
  <c r="O240" i="1"/>
  <c r="Q240" i="1"/>
  <c r="S240" i="1"/>
  <c r="AB240" i="1"/>
  <c r="AD240" i="1"/>
  <c r="AT240" i="1"/>
  <c r="G241" i="1"/>
  <c r="J241" i="1"/>
  <c r="M241" i="1"/>
  <c r="O241" i="1"/>
  <c r="Q241" i="1"/>
  <c r="S241" i="1"/>
  <c r="AB241" i="1"/>
  <c r="AD241" i="1"/>
  <c r="AT241" i="1"/>
  <c r="G242" i="1"/>
  <c r="J242" i="1"/>
  <c r="M242" i="1"/>
  <c r="O242" i="1"/>
  <c r="Q242" i="1"/>
  <c r="S242" i="1"/>
  <c r="AB242" i="1"/>
  <c r="AD242" i="1"/>
  <c r="AT242" i="1"/>
  <c r="G243" i="1"/>
  <c r="J243" i="1"/>
  <c r="M243" i="1"/>
  <c r="O243" i="1"/>
  <c r="Q243" i="1"/>
  <c r="S243" i="1"/>
  <c r="AB243" i="1"/>
  <c r="AD243" i="1"/>
  <c r="AT243" i="1"/>
  <c r="G244" i="1"/>
  <c r="J244" i="1"/>
  <c r="M244" i="1"/>
  <c r="O244" i="1"/>
  <c r="Q244" i="1"/>
  <c r="S244" i="1"/>
  <c r="AB244" i="1"/>
  <c r="AD244" i="1"/>
  <c r="AT244" i="1"/>
  <c r="G245" i="1"/>
  <c r="J245" i="1"/>
  <c r="M245" i="1"/>
  <c r="O245" i="1"/>
  <c r="Q245" i="1"/>
  <c r="S245" i="1"/>
  <c r="AB245" i="1"/>
  <c r="AD245" i="1"/>
  <c r="AT245" i="1"/>
  <c r="G246" i="1"/>
  <c r="J246" i="1"/>
  <c r="M246" i="1"/>
  <c r="O246" i="1"/>
  <c r="Q246" i="1"/>
  <c r="S246" i="1"/>
  <c r="AB246" i="1"/>
  <c r="AD246" i="1"/>
  <c r="AT246" i="1"/>
  <c r="G247" i="1"/>
  <c r="J247" i="1"/>
  <c r="M247" i="1"/>
  <c r="O247" i="1"/>
  <c r="Q247" i="1"/>
  <c r="S247" i="1"/>
  <c r="AB247" i="1"/>
  <c r="AD247" i="1"/>
  <c r="AT247" i="1"/>
  <c r="G248" i="1"/>
  <c r="J248" i="1"/>
  <c r="M248" i="1"/>
  <c r="O248" i="1"/>
  <c r="Q248" i="1"/>
  <c r="S248" i="1"/>
  <c r="AB248" i="1"/>
  <c r="AD248" i="1"/>
  <c r="AT248" i="1"/>
  <c r="G249" i="1"/>
  <c r="J249" i="1"/>
  <c r="M249" i="1"/>
  <c r="O249" i="1"/>
  <c r="Q249" i="1"/>
  <c r="S249" i="1"/>
  <c r="AB249" i="1"/>
  <c r="AD249" i="1"/>
  <c r="AT249" i="1"/>
  <c r="G250" i="1"/>
  <c r="J250" i="1"/>
  <c r="M250" i="1"/>
  <c r="O250" i="1"/>
  <c r="Q250" i="1"/>
  <c r="S250" i="1"/>
  <c r="AB250" i="1"/>
  <c r="AD250" i="1"/>
  <c r="AT250" i="1"/>
  <c r="G251" i="1"/>
  <c r="J251" i="1"/>
  <c r="M251" i="1"/>
  <c r="O251" i="1"/>
  <c r="Q251" i="1"/>
  <c r="S251" i="1"/>
  <c r="AB251" i="1"/>
  <c r="AD251" i="1"/>
  <c r="AT251" i="1"/>
  <c r="G252" i="1"/>
  <c r="J252" i="1"/>
  <c r="M252" i="1"/>
  <c r="O252" i="1"/>
  <c r="Q252" i="1"/>
  <c r="S252" i="1"/>
  <c r="AB252" i="1"/>
  <c r="AD252" i="1"/>
  <c r="AT252" i="1"/>
  <c r="G253" i="1"/>
  <c r="J253" i="1"/>
  <c r="M253" i="1"/>
  <c r="O253" i="1"/>
  <c r="Q253" i="1"/>
  <c r="S253" i="1"/>
  <c r="AB253" i="1"/>
  <c r="AD253" i="1"/>
  <c r="AT253" i="1"/>
  <c r="G254" i="1"/>
  <c r="J254" i="1"/>
  <c r="M254" i="1"/>
  <c r="O254" i="1"/>
  <c r="Q254" i="1"/>
  <c r="S254" i="1"/>
  <c r="AB254" i="1"/>
  <c r="AD254" i="1"/>
  <c r="AT254" i="1"/>
  <c r="G255" i="1"/>
  <c r="J255" i="1"/>
  <c r="M255" i="1"/>
  <c r="O255" i="1"/>
  <c r="Q255" i="1"/>
  <c r="S255" i="1"/>
  <c r="AB255" i="1"/>
  <c r="AD255" i="1"/>
  <c r="AT255" i="1"/>
  <c r="G256" i="1"/>
  <c r="J256" i="1"/>
  <c r="M256" i="1"/>
  <c r="O256" i="1"/>
  <c r="Q256" i="1"/>
  <c r="S256" i="1"/>
  <c r="AB256" i="1"/>
  <c r="AD256" i="1"/>
  <c r="AT256" i="1"/>
  <c r="G257" i="1"/>
  <c r="J257" i="1"/>
  <c r="M257" i="1"/>
  <c r="O257" i="1"/>
  <c r="Q257" i="1"/>
  <c r="S257" i="1"/>
  <c r="AB257" i="1"/>
  <c r="AD257" i="1"/>
  <c r="AT257" i="1"/>
  <c r="G258" i="1"/>
  <c r="J258" i="1"/>
  <c r="M258" i="1"/>
  <c r="O258" i="1"/>
  <c r="Q258" i="1"/>
  <c r="S258" i="1"/>
  <c r="AB258" i="1"/>
  <c r="AD258" i="1"/>
  <c r="AT258" i="1"/>
  <c r="G259" i="1"/>
  <c r="J259" i="1"/>
  <c r="M259" i="1"/>
  <c r="O259" i="1"/>
  <c r="Q259" i="1"/>
  <c r="S259" i="1"/>
  <c r="AB259" i="1"/>
  <c r="AD259" i="1"/>
  <c r="AT259" i="1"/>
  <c r="G260" i="1"/>
  <c r="J260" i="1"/>
  <c r="M260" i="1"/>
  <c r="O260" i="1"/>
  <c r="Q260" i="1"/>
  <c r="S260" i="1"/>
  <c r="AB260" i="1"/>
  <c r="AD260" i="1"/>
  <c r="AT260" i="1"/>
  <c r="G261" i="1"/>
  <c r="J261" i="1"/>
  <c r="M261" i="1"/>
  <c r="O261" i="1"/>
  <c r="Q261" i="1"/>
  <c r="S261" i="1"/>
  <c r="AB261" i="1"/>
  <c r="AD261" i="1"/>
  <c r="AT261" i="1"/>
  <c r="G262" i="1"/>
  <c r="J262" i="1"/>
  <c r="M262" i="1"/>
  <c r="O262" i="1"/>
  <c r="Q262" i="1"/>
  <c r="S262" i="1"/>
  <c r="AB262" i="1"/>
  <c r="AD262" i="1"/>
  <c r="AT262" i="1"/>
  <c r="G263" i="1"/>
  <c r="J263" i="1"/>
  <c r="M263" i="1"/>
  <c r="O263" i="1"/>
  <c r="Q263" i="1"/>
  <c r="S263" i="1"/>
  <c r="AB263" i="1"/>
  <c r="AD263" i="1"/>
  <c r="AT263" i="1"/>
  <c r="G264" i="1"/>
  <c r="J264" i="1"/>
  <c r="M264" i="1"/>
  <c r="O264" i="1"/>
  <c r="Q264" i="1"/>
  <c r="S264" i="1"/>
  <c r="AB264" i="1"/>
  <c r="AD264" i="1"/>
  <c r="AT264" i="1"/>
  <c r="G265" i="1"/>
  <c r="J265" i="1"/>
  <c r="M265" i="1"/>
  <c r="O265" i="1"/>
  <c r="Q265" i="1"/>
  <c r="S265" i="1"/>
  <c r="AB265" i="1"/>
  <c r="AD265" i="1"/>
  <c r="AT265" i="1"/>
  <c r="G266" i="1"/>
  <c r="J266" i="1"/>
  <c r="M266" i="1"/>
  <c r="O266" i="1"/>
  <c r="Q266" i="1"/>
  <c r="S266" i="1"/>
  <c r="AB266" i="1"/>
  <c r="AD266" i="1"/>
  <c r="AT266" i="1"/>
  <c r="G267" i="1"/>
  <c r="J267" i="1"/>
  <c r="M267" i="1"/>
  <c r="O267" i="1"/>
  <c r="Q267" i="1"/>
  <c r="S267" i="1"/>
  <c r="AB267" i="1"/>
  <c r="AD267" i="1"/>
  <c r="AT267" i="1"/>
  <c r="G268" i="1"/>
  <c r="J268" i="1"/>
  <c r="M268" i="1"/>
  <c r="O268" i="1"/>
  <c r="Q268" i="1"/>
  <c r="S268" i="1"/>
  <c r="AB268" i="1"/>
  <c r="AD268" i="1"/>
  <c r="AT268" i="1"/>
  <c r="G269" i="1"/>
  <c r="J269" i="1"/>
  <c r="M269" i="1"/>
  <c r="O269" i="1"/>
  <c r="Q269" i="1"/>
  <c r="S269" i="1"/>
  <c r="AB269" i="1"/>
  <c r="AD269" i="1"/>
  <c r="AT269" i="1"/>
  <c r="G270" i="1"/>
  <c r="J270" i="1"/>
  <c r="M270" i="1"/>
  <c r="O270" i="1"/>
  <c r="Q270" i="1"/>
  <c r="S270" i="1"/>
  <c r="AB270" i="1"/>
  <c r="AD270" i="1"/>
  <c r="AT270" i="1"/>
  <c r="G271" i="1"/>
  <c r="J271" i="1"/>
  <c r="M271" i="1"/>
  <c r="O271" i="1"/>
  <c r="Q271" i="1"/>
  <c r="S271" i="1"/>
  <c r="AB271" i="1"/>
  <c r="AD271" i="1"/>
  <c r="AT271" i="1"/>
  <c r="G272" i="1"/>
  <c r="J272" i="1"/>
  <c r="M272" i="1"/>
  <c r="O272" i="1"/>
  <c r="Q272" i="1"/>
  <c r="S272" i="1"/>
  <c r="AB272" i="1"/>
  <c r="AD272" i="1"/>
  <c r="AT272" i="1"/>
  <c r="G273" i="1"/>
  <c r="J273" i="1"/>
  <c r="M273" i="1"/>
  <c r="O273" i="1"/>
  <c r="Q273" i="1"/>
  <c r="S273" i="1"/>
  <c r="AB273" i="1"/>
  <c r="AD273" i="1"/>
  <c r="AT273" i="1"/>
  <c r="G274" i="1"/>
  <c r="J274" i="1"/>
  <c r="M274" i="1"/>
  <c r="O274" i="1"/>
  <c r="Q274" i="1"/>
  <c r="S274" i="1"/>
  <c r="AB274" i="1"/>
  <c r="AD274" i="1"/>
  <c r="AT274" i="1"/>
  <c r="G275" i="1"/>
  <c r="J275" i="1"/>
  <c r="M275" i="1"/>
  <c r="O275" i="1"/>
  <c r="Q275" i="1"/>
  <c r="S275" i="1"/>
  <c r="AB275" i="1"/>
  <c r="AD275" i="1"/>
  <c r="AT275" i="1"/>
  <c r="G276" i="1"/>
  <c r="J276" i="1"/>
  <c r="M276" i="1"/>
  <c r="O276" i="1"/>
  <c r="Q276" i="1"/>
  <c r="S276" i="1"/>
  <c r="AB276" i="1"/>
  <c r="AD276" i="1"/>
  <c r="AT276" i="1"/>
  <c r="G277" i="1"/>
  <c r="J277" i="1"/>
  <c r="M277" i="1"/>
  <c r="O277" i="1"/>
  <c r="Q277" i="1"/>
  <c r="S277" i="1"/>
  <c r="AB277" i="1"/>
  <c r="AD277" i="1"/>
  <c r="AT277" i="1"/>
  <c r="G278" i="1"/>
  <c r="J278" i="1"/>
  <c r="M278" i="1"/>
  <c r="O278" i="1"/>
  <c r="Q278" i="1"/>
  <c r="S278" i="1"/>
  <c r="AB278" i="1"/>
  <c r="AD278" i="1"/>
  <c r="AT278" i="1"/>
  <c r="G279" i="1"/>
  <c r="J279" i="1"/>
  <c r="M279" i="1"/>
  <c r="O279" i="1"/>
  <c r="Q279" i="1"/>
  <c r="S279" i="1"/>
  <c r="AB279" i="1"/>
  <c r="AD279" i="1"/>
  <c r="AT279" i="1"/>
  <c r="G280" i="1"/>
  <c r="J280" i="1"/>
  <c r="M280" i="1"/>
  <c r="O280" i="1"/>
  <c r="Q280" i="1"/>
  <c r="S280" i="1"/>
  <c r="AB280" i="1"/>
  <c r="AD280" i="1"/>
  <c r="AT280" i="1"/>
  <c r="G281" i="1"/>
  <c r="J281" i="1"/>
  <c r="M281" i="1"/>
  <c r="O281" i="1"/>
  <c r="Q281" i="1"/>
  <c r="S281" i="1"/>
  <c r="AB281" i="1"/>
  <c r="AD281" i="1"/>
  <c r="AT281" i="1"/>
  <c r="G282" i="1"/>
  <c r="J282" i="1"/>
  <c r="M282" i="1"/>
  <c r="O282" i="1"/>
  <c r="Q282" i="1"/>
  <c r="S282" i="1"/>
  <c r="AB282" i="1"/>
  <c r="AD282" i="1"/>
  <c r="AT282" i="1"/>
  <c r="G283" i="1"/>
  <c r="J283" i="1"/>
  <c r="M283" i="1"/>
  <c r="O283" i="1"/>
  <c r="Q283" i="1"/>
  <c r="S283" i="1"/>
  <c r="AB283" i="1"/>
  <c r="AD283" i="1"/>
  <c r="AT283" i="1"/>
  <c r="G284" i="1"/>
  <c r="J284" i="1"/>
  <c r="M284" i="1"/>
  <c r="O284" i="1"/>
  <c r="Q284" i="1"/>
  <c r="S284" i="1"/>
  <c r="AB284" i="1"/>
  <c r="AD284" i="1"/>
  <c r="AT284" i="1"/>
  <c r="G285" i="1"/>
  <c r="J285" i="1"/>
  <c r="M285" i="1"/>
  <c r="O285" i="1"/>
  <c r="Q285" i="1"/>
  <c r="S285" i="1"/>
  <c r="AB285" i="1"/>
  <c r="AD285" i="1"/>
  <c r="AT285" i="1"/>
  <c r="G286" i="1"/>
  <c r="J286" i="1"/>
  <c r="M286" i="1"/>
  <c r="O286" i="1"/>
  <c r="Q286" i="1"/>
  <c r="S286" i="1"/>
  <c r="AB286" i="1"/>
  <c r="AD286" i="1"/>
  <c r="AT286" i="1"/>
  <c r="G287" i="1"/>
  <c r="J287" i="1"/>
  <c r="M287" i="1"/>
  <c r="O287" i="1"/>
  <c r="Q287" i="1"/>
  <c r="S287" i="1"/>
  <c r="AB287" i="1"/>
  <c r="AD287" i="1"/>
  <c r="AT287" i="1"/>
  <c r="G288" i="1"/>
  <c r="J288" i="1"/>
  <c r="M288" i="1"/>
  <c r="O288" i="1"/>
  <c r="Q288" i="1"/>
  <c r="S288" i="1"/>
  <c r="AB288" i="1"/>
  <c r="AD288" i="1"/>
  <c r="AT288" i="1"/>
  <c r="G289" i="1"/>
  <c r="J289" i="1"/>
  <c r="M289" i="1"/>
  <c r="O289" i="1"/>
  <c r="Q289" i="1"/>
  <c r="S289" i="1"/>
  <c r="AB289" i="1"/>
  <c r="AD289" i="1"/>
  <c r="AT289" i="1"/>
  <c r="G290" i="1"/>
  <c r="J290" i="1"/>
  <c r="M290" i="1"/>
  <c r="O290" i="1"/>
  <c r="Q290" i="1"/>
  <c r="S290" i="1"/>
  <c r="AB290" i="1"/>
  <c r="AD290" i="1"/>
  <c r="AT290" i="1"/>
  <c r="G291" i="1"/>
  <c r="J291" i="1"/>
  <c r="M291" i="1"/>
  <c r="O291" i="1"/>
  <c r="Q291" i="1"/>
  <c r="S291" i="1"/>
  <c r="AB291" i="1"/>
  <c r="AD291" i="1"/>
  <c r="AT291" i="1"/>
  <c r="G292" i="1"/>
  <c r="J292" i="1"/>
  <c r="M292" i="1"/>
  <c r="O292" i="1"/>
  <c r="Q292" i="1"/>
  <c r="S292" i="1"/>
  <c r="AB292" i="1"/>
  <c r="AD292" i="1"/>
  <c r="AT292" i="1"/>
  <c r="G293" i="1"/>
  <c r="J293" i="1"/>
  <c r="M293" i="1"/>
  <c r="O293" i="1"/>
  <c r="Q293" i="1"/>
  <c r="S293" i="1"/>
  <c r="AB293" i="1"/>
  <c r="AD293" i="1"/>
  <c r="AT293" i="1"/>
  <c r="G294" i="1"/>
  <c r="J294" i="1"/>
  <c r="M294" i="1"/>
  <c r="O294" i="1"/>
  <c r="Q294" i="1"/>
  <c r="S294" i="1"/>
  <c r="AB294" i="1"/>
  <c r="AD294" i="1"/>
  <c r="AT294" i="1"/>
  <c r="G295" i="1"/>
  <c r="J295" i="1"/>
  <c r="M295" i="1"/>
  <c r="O295" i="1"/>
  <c r="Q295" i="1"/>
  <c r="S295" i="1"/>
  <c r="AB295" i="1"/>
  <c r="AD295" i="1"/>
  <c r="AT295" i="1"/>
  <c r="G296" i="1"/>
  <c r="J296" i="1"/>
  <c r="M296" i="1"/>
  <c r="O296" i="1"/>
  <c r="Q296" i="1"/>
  <c r="S296" i="1"/>
  <c r="AB296" i="1"/>
  <c r="AD296" i="1"/>
  <c r="AT296" i="1"/>
  <c r="G297" i="1"/>
  <c r="J297" i="1"/>
  <c r="M297" i="1"/>
  <c r="O297" i="1"/>
  <c r="Q297" i="1"/>
  <c r="S297" i="1"/>
  <c r="AB297" i="1"/>
  <c r="AD297" i="1"/>
  <c r="AT297" i="1"/>
  <c r="G298" i="1"/>
  <c r="J298" i="1"/>
  <c r="M298" i="1"/>
  <c r="O298" i="1"/>
  <c r="Q298" i="1"/>
  <c r="S298" i="1"/>
  <c r="AB298" i="1"/>
  <c r="AD298" i="1"/>
  <c r="AT298" i="1"/>
  <c r="G299" i="1"/>
  <c r="J299" i="1"/>
  <c r="M299" i="1"/>
  <c r="O299" i="1"/>
  <c r="Q299" i="1"/>
  <c r="S299" i="1"/>
  <c r="AB299" i="1"/>
  <c r="AD299" i="1"/>
  <c r="AT299" i="1"/>
  <c r="G300" i="1"/>
  <c r="J300" i="1"/>
  <c r="M300" i="1"/>
  <c r="O300" i="1"/>
  <c r="Q300" i="1"/>
  <c r="S300" i="1"/>
  <c r="AB300" i="1"/>
  <c r="AD300" i="1"/>
  <c r="AT300" i="1"/>
  <c r="G301" i="1"/>
  <c r="J301" i="1"/>
  <c r="M301" i="1"/>
  <c r="O301" i="1"/>
  <c r="Q301" i="1"/>
  <c r="S301" i="1"/>
  <c r="AB301" i="1"/>
  <c r="AD301" i="1"/>
  <c r="AT301" i="1"/>
  <c r="G302" i="1"/>
  <c r="J302" i="1"/>
  <c r="M302" i="1"/>
  <c r="O302" i="1"/>
  <c r="Q302" i="1"/>
  <c r="S302" i="1"/>
  <c r="AB302" i="1"/>
  <c r="AD302" i="1"/>
  <c r="AT302" i="1"/>
  <c r="G303" i="1"/>
  <c r="J303" i="1"/>
  <c r="M303" i="1"/>
  <c r="O303" i="1"/>
  <c r="Q303" i="1"/>
  <c r="S303" i="1"/>
  <c r="AB303" i="1"/>
  <c r="AD303" i="1"/>
  <c r="AT303" i="1"/>
  <c r="G304" i="1"/>
  <c r="J304" i="1"/>
  <c r="M304" i="1"/>
  <c r="O304" i="1"/>
  <c r="Q304" i="1"/>
  <c r="S304" i="1"/>
  <c r="AB304" i="1"/>
  <c r="AD304" i="1"/>
  <c r="AT304" i="1"/>
  <c r="G305" i="1"/>
  <c r="J305" i="1"/>
  <c r="M305" i="1"/>
  <c r="O305" i="1"/>
  <c r="Q305" i="1"/>
  <c r="S305" i="1"/>
  <c r="AB305" i="1"/>
  <c r="AD305" i="1"/>
  <c r="AT305" i="1"/>
  <c r="G306" i="1"/>
  <c r="J306" i="1"/>
  <c r="M306" i="1"/>
  <c r="O306" i="1"/>
  <c r="Q306" i="1"/>
  <c r="S306" i="1"/>
  <c r="AB306" i="1"/>
  <c r="AD306" i="1"/>
  <c r="AT306" i="1"/>
  <c r="G307" i="1"/>
  <c r="J307" i="1"/>
  <c r="M307" i="1"/>
  <c r="O307" i="1"/>
  <c r="Q307" i="1"/>
  <c r="S307" i="1"/>
  <c r="AB307" i="1"/>
  <c r="AD307" i="1"/>
  <c r="AT307" i="1"/>
  <c r="G308" i="1"/>
  <c r="J308" i="1"/>
  <c r="M308" i="1"/>
  <c r="O308" i="1"/>
  <c r="Q308" i="1"/>
  <c r="S308" i="1"/>
  <c r="AB308" i="1"/>
  <c r="AD308" i="1"/>
  <c r="AT308" i="1"/>
  <c r="G309" i="1"/>
  <c r="J309" i="1"/>
  <c r="M309" i="1"/>
  <c r="O309" i="1"/>
  <c r="Q309" i="1"/>
  <c r="S309" i="1"/>
  <c r="AB309" i="1"/>
  <c r="AD309" i="1"/>
  <c r="AT309" i="1"/>
  <c r="G310" i="1"/>
  <c r="J310" i="1"/>
  <c r="M310" i="1"/>
  <c r="O310" i="1"/>
  <c r="Q310" i="1"/>
  <c r="S310" i="1"/>
  <c r="AB310" i="1"/>
  <c r="AD310" i="1"/>
  <c r="AT310" i="1"/>
  <c r="G311" i="1"/>
  <c r="J311" i="1"/>
  <c r="M311" i="1"/>
  <c r="O311" i="1"/>
  <c r="Q311" i="1"/>
  <c r="S311" i="1"/>
  <c r="AB311" i="1"/>
  <c r="AD311" i="1"/>
  <c r="AT311" i="1"/>
  <c r="G312" i="1"/>
  <c r="J312" i="1"/>
  <c r="M312" i="1"/>
  <c r="O312" i="1"/>
  <c r="Q312" i="1"/>
  <c r="S312" i="1"/>
  <c r="AB312" i="1"/>
  <c r="AD312" i="1"/>
  <c r="AT312" i="1"/>
  <c r="G313" i="1"/>
  <c r="J313" i="1"/>
  <c r="M313" i="1"/>
  <c r="O313" i="1"/>
  <c r="Q313" i="1"/>
  <c r="S313" i="1"/>
  <c r="AB313" i="1"/>
  <c r="AD313" i="1"/>
  <c r="AT313" i="1"/>
  <c r="G314" i="1"/>
  <c r="J314" i="1"/>
  <c r="M314" i="1"/>
  <c r="O314" i="1"/>
  <c r="Q314" i="1"/>
  <c r="S314" i="1"/>
  <c r="AB314" i="1"/>
  <c r="AD314" i="1"/>
  <c r="AT314" i="1"/>
  <c r="G315" i="1"/>
  <c r="J315" i="1"/>
  <c r="M315" i="1"/>
  <c r="O315" i="1"/>
  <c r="Q315" i="1"/>
  <c r="S315" i="1"/>
  <c r="AB315" i="1"/>
  <c r="AD315" i="1"/>
  <c r="AT315" i="1"/>
  <c r="G316" i="1"/>
  <c r="J316" i="1"/>
  <c r="M316" i="1"/>
  <c r="O316" i="1"/>
  <c r="Q316" i="1"/>
  <c r="S316" i="1"/>
  <c r="AB316" i="1"/>
  <c r="AD316" i="1"/>
  <c r="AT316" i="1"/>
  <c r="G317" i="1"/>
  <c r="J317" i="1"/>
  <c r="M317" i="1"/>
  <c r="O317" i="1"/>
  <c r="Q317" i="1"/>
  <c r="S317" i="1"/>
  <c r="AB317" i="1"/>
  <c r="AD317" i="1"/>
  <c r="AT317" i="1"/>
  <c r="G318" i="1"/>
  <c r="J318" i="1"/>
  <c r="M318" i="1"/>
  <c r="O318" i="1"/>
  <c r="Q318" i="1"/>
  <c r="S318" i="1"/>
  <c r="AB318" i="1"/>
  <c r="AD318" i="1"/>
  <c r="AT318" i="1"/>
  <c r="G319" i="1"/>
  <c r="J319" i="1"/>
  <c r="M319" i="1"/>
  <c r="O319" i="1"/>
  <c r="Q319" i="1"/>
  <c r="S319" i="1"/>
  <c r="AB319" i="1"/>
  <c r="AD319" i="1"/>
  <c r="AT319" i="1"/>
  <c r="G320" i="1"/>
  <c r="J320" i="1"/>
  <c r="M320" i="1"/>
  <c r="O320" i="1"/>
  <c r="Q320" i="1"/>
  <c r="S320" i="1"/>
  <c r="AB320" i="1"/>
  <c r="AD320" i="1"/>
  <c r="AT320" i="1"/>
  <c r="G321" i="1"/>
  <c r="J321" i="1"/>
  <c r="M321" i="1"/>
  <c r="O321" i="1"/>
  <c r="Q321" i="1"/>
  <c r="S321" i="1"/>
  <c r="AB321" i="1"/>
  <c r="AD321" i="1"/>
  <c r="AT321" i="1"/>
  <c r="G322" i="1"/>
  <c r="J322" i="1"/>
  <c r="M322" i="1"/>
  <c r="O322" i="1"/>
  <c r="Q322" i="1"/>
  <c r="S322" i="1"/>
  <c r="AB322" i="1"/>
  <c r="AD322" i="1"/>
  <c r="AT322" i="1"/>
  <c r="G323" i="1"/>
  <c r="J323" i="1"/>
  <c r="M323" i="1"/>
  <c r="O323" i="1"/>
  <c r="Q323" i="1"/>
  <c r="S323" i="1"/>
  <c r="AB323" i="1"/>
  <c r="AD323" i="1"/>
  <c r="AT323" i="1"/>
  <c r="G324" i="1"/>
  <c r="J324" i="1"/>
  <c r="M324" i="1"/>
  <c r="O324" i="1"/>
  <c r="Q324" i="1"/>
  <c r="S324" i="1"/>
  <c r="AB324" i="1"/>
  <c r="AD324" i="1"/>
  <c r="AT324" i="1"/>
  <c r="G325" i="1"/>
  <c r="J325" i="1"/>
  <c r="M325" i="1"/>
  <c r="O325" i="1"/>
  <c r="Q325" i="1"/>
  <c r="S325" i="1"/>
  <c r="AB325" i="1"/>
  <c r="AD325" i="1"/>
  <c r="AT325" i="1"/>
  <c r="G326" i="1"/>
  <c r="J326" i="1"/>
  <c r="M326" i="1"/>
  <c r="O326" i="1"/>
  <c r="Q326" i="1"/>
  <c r="S326" i="1"/>
  <c r="AB326" i="1"/>
  <c r="AD326" i="1"/>
  <c r="AT326" i="1"/>
  <c r="G327" i="1"/>
  <c r="J327" i="1"/>
  <c r="M327" i="1"/>
  <c r="O327" i="1"/>
  <c r="Q327" i="1"/>
  <c r="S327" i="1"/>
  <c r="AB327" i="1"/>
  <c r="AD327" i="1"/>
  <c r="AT327" i="1"/>
  <c r="G328" i="1"/>
  <c r="J328" i="1"/>
  <c r="M328" i="1"/>
  <c r="O328" i="1"/>
  <c r="Q328" i="1"/>
  <c r="S328" i="1"/>
  <c r="AB328" i="1"/>
  <c r="AD328" i="1"/>
  <c r="AT328" i="1"/>
  <c r="G329" i="1"/>
  <c r="J329" i="1"/>
  <c r="M329" i="1"/>
  <c r="O329" i="1"/>
  <c r="Q329" i="1"/>
  <c r="S329" i="1"/>
  <c r="AB329" i="1"/>
  <c r="AD329" i="1"/>
  <c r="AT329" i="1"/>
  <c r="G330" i="1"/>
  <c r="J330" i="1"/>
  <c r="M330" i="1"/>
  <c r="O330" i="1"/>
  <c r="Q330" i="1"/>
  <c r="S330" i="1"/>
  <c r="AB330" i="1"/>
  <c r="AD330" i="1"/>
  <c r="AT330" i="1"/>
  <c r="G331" i="1"/>
  <c r="J331" i="1"/>
  <c r="M331" i="1"/>
  <c r="O331" i="1"/>
  <c r="Q331" i="1"/>
  <c r="S331" i="1"/>
  <c r="AB331" i="1"/>
  <c r="AD331" i="1"/>
  <c r="AT331" i="1"/>
  <c r="G332" i="1"/>
  <c r="J332" i="1"/>
  <c r="M332" i="1"/>
  <c r="O332" i="1"/>
  <c r="Q332" i="1"/>
  <c r="S332" i="1"/>
  <c r="AB332" i="1"/>
  <c r="AD332" i="1"/>
  <c r="AT332" i="1"/>
  <c r="G333" i="1"/>
  <c r="J333" i="1"/>
  <c r="M333" i="1"/>
  <c r="O333" i="1"/>
  <c r="Q333" i="1"/>
  <c r="S333" i="1"/>
  <c r="AB333" i="1"/>
  <c r="AD333" i="1"/>
  <c r="AT333" i="1"/>
  <c r="G334" i="1"/>
  <c r="J334" i="1"/>
  <c r="M334" i="1"/>
  <c r="O334" i="1"/>
  <c r="Q334" i="1"/>
  <c r="S334" i="1"/>
  <c r="AB334" i="1"/>
  <c r="AD334" i="1"/>
  <c r="AT334" i="1"/>
  <c r="G335" i="1"/>
  <c r="J335" i="1"/>
  <c r="M335" i="1"/>
  <c r="O335" i="1"/>
  <c r="Q335" i="1"/>
  <c r="S335" i="1"/>
  <c r="AB335" i="1"/>
  <c r="AD335" i="1"/>
  <c r="AT335" i="1"/>
  <c r="G336" i="1"/>
  <c r="J336" i="1"/>
  <c r="M336" i="1"/>
  <c r="O336" i="1"/>
  <c r="Q336" i="1"/>
  <c r="S336" i="1"/>
  <c r="AB336" i="1"/>
  <c r="AD336" i="1"/>
  <c r="AT336" i="1"/>
  <c r="G337" i="1"/>
  <c r="J337" i="1"/>
  <c r="M337" i="1"/>
  <c r="O337" i="1"/>
  <c r="Q337" i="1"/>
  <c r="S337" i="1"/>
  <c r="AB337" i="1"/>
  <c r="AD337" i="1"/>
  <c r="AT337" i="1"/>
  <c r="G338" i="1"/>
  <c r="J338" i="1"/>
  <c r="M338" i="1"/>
  <c r="O338" i="1"/>
  <c r="Q338" i="1"/>
  <c r="S338" i="1"/>
  <c r="AB338" i="1"/>
  <c r="AD338" i="1"/>
  <c r="AT338" i="1"/>
  <c r="G339" i="1"/>
  <c r="J339" i="1"/>
  <c r="M339" i="1"/>
  <c r="O339" i="1"/>
  <c r="Q339" i="1"/>
  <c r="S339" i="1"/>
  <c r="AB339" i="1"/>
  <c r="AD339" i="1"/>
  <c r="AT339" i="1"/>
  <c r="G340" i="1"/>
  <c r="J340" i="1"/>
  <c r="M340" i="1"/>
  <c r="O340" i="1"/>
  <c r="Q340" i="1"/>
  <c r="S340" i="1"/>
  <c r="AB340" i="1"/>
  <c r="AD340" i="1"/>
  <c r="AT340" i="1"/>
  <c r="G341" i="1"/>
  <c r="J341" i="1"/>
  <c r="M341" i="1"/>
  <c r="O341" i="1"/>
  <c r="Q341" i="1"/>
  <c r="S341" i="1"/>
  <c r="AB341" i="1"/>
  <c r="AD341" i="1"/>
  <c r="AT341" i="1"/>
  <c r="G342" i="1"/>
  <c r="J342" i="1"/>
  <c r="M342" i="1"/>
  <c r="O342" i="1"/>
  <c r="Q342" i="1"/>
  <c r="S342" i="1"/>
  <c r="AB342" i="1"/>
  <c r="AD342" i="1"/>
  <c r="AT342" i="1"/>
  <c r="G343" i="1"/>
  <c r="J343" i="1"/>
  <c r="M343" i="1"/>
  <c r="O343" i="1"/>
  <c r="Q343" i="1"/>
  <c r="S343" i="1"/>
  <c r="AB343" i="1"/>
  <c r="AD343" i="1"/>
  <c r="AT343" i="1"/>
  <c r="G344" i="1"/>
  <c r="J344" i="1"/>
  <c r="M344" i="1"/>
  <c r="O344" i="1"/>
  <c r="Q344" i="1"/>
  <c r="S344" i="1"/>
  <c r="AB344" i="1"/>
  <c r="AD344" i="1"/>
  <c r="AT344" i="1"/>
  <c r="G345" i="1"/>
  <c r="J345" i="1"/>
  <c r="M345" i="1"/>
  <c r="O345" i="1"/>
  <c r="Q345" i="1"/>
  <c r="S345" i="1"/>
  <c r="AB345" i="1"/>
  <c r="AD345" i="1"/>
  <c r="AT345" i="1"/>
  <c r="G346" i="1"/>
  <c r="J346" i="1"/>
  <c r="M346" i="1"/>
  <c r="O346" i="1"/>
  <c r="Q346" i="1"/>
  <c r="S346" i="1"/>
  <c r="AB346" i="1"/>
  <c r="AD346" i="1"/>
  <c r="AT346" i="1"/>
  <c r="G347" i="1"/>
  <c r="J347" i="1"/>
  <c r="M347" i="1"/>
  <c r="O347" i="1"/>
  <c r="Q347" i="1"/>
  <c r="S347" i="1"/>
  <c r="AB347" i="1"/>
  <c r="AD347" i="1"/>
  <c r="AT347" i="1"/>
  <c r="G348" i="1"/>
  <c r="J348" i="1"/>
  <c r="M348" i="1"/>
  <c r="O348" i="1"/>
  <c r="Q348" i="1"/>
  <c r="S348" i="1"/>
  <c r="AB348" i="1"/>
  <c r="AD348" i="1"/>
  <c r="AT348" i="1"/>
  <c r="G349" i="1"/>
  <c r="J349" i="1"/>
  <c r="M349" i="1"/>
  <c r="O349" i="1"/>
  <c r="Q349" i="1"/>
  <c r="S349" i="1"/>
  <c r="AB349" i="1"/>
  <c r="AD349" i="1"/>
  <c r="AT349" i="1"/>
  <c r="G350" i="1"/>
  <c r="J350" i="1"/>
  <c r="M350" i="1"/>
  <c r="O350" i="1"/>
  <c r="Q350" i="1"/>
  <c r="S350" i="1"/>
  <c r="AB350" i="1"/>
  <c r="AD350" i="1"/>
  <c r="AT350" i="1"/>
  <c r="G351" i="1"/>
  <c r="J351" i="1"/>
  <c r="M351" i="1"/>
  <c r="O351" i="1"/>
  <c r="Q351" i="1"/>
  <c r="S351" i="1"/>
  <c r="AB351" i="1"/>
  <c r="AD351" i="1"/>
  <c r="AT351" i="1"/>
  <c r="G352" i="1"/>
  <c r="J352" i="1"/>
  <c r="M352" i="1"/>
  <c r="O352" i="1"/>
  <c r="Q352" i="1"/>
  <c r="S352" i="1"/>
  <c r="AB352" i="1"/>
  <c r="AD352" i="1"/>
  <c r="AT352" i="1"/>
  <c r="G353" i="1"/>
  <c r="J353" i="1"/>
  <c r="M353" i="1"/>
  <c r="O353" i="1"/>
  <c r="Q353" i="1"/>
  <c r="S353" i="1"/>
  <c r="AB353" i="1"/>
  <c r="AD353" i="1"/>
  <c r="AT353" i="1"/>
  <c r="G354" i="1"/>
  <c r="J354" i="1"/>
  <c r="M354" i="1"/>
  <c r="O354" i="1"/>
  <c r="Q354" i="1"/>
  <c r="S354" i="1"/>
  <c r="AB354" i="1"/>
  <c r="AD354" i="1"/>
  <c r="AT354" i="1"/>
  <c r="G355" i="1"/>
  <c r="J355" i="1"/>
  <c r="M355" i="1"/>
  <c r="O355" i="1"/>
  <c r="Q355" i="1"/>
  <c r="S355" i="1"/>
  <c r="AB355" i="1"/>
  <c r="AD355" i="1"/>
  <c r="AT355" i="1"/>
  <c r="G356" i="1"/>
  <c r="J356" i="1"/>
  <c r="M356" i="1"/>
  <c r="O356" i="1"/>
  <c r="Q356" i="1"/>
  <c r="S356" i="1"/>
  <c r="AB356" i="1"/>
  <c r="AD356" i="1"/>
  <c r="AT356" i="1"/>
  <c r="G357" i="1"/>
  <c r="J357" i="1"/>
  <c r="M357" i="1"/>
  <c r="O357" i="1"/>
  <c r="Q357" i="1"/>
  <c r="S357" i="1"/>
  <c r="AB357" i="1"/>
  <c r="AD357" i="1"/>
  <c r="AT357" i="1"/>
  <c r="G358" i="1"/>
  <c r="J358" i="1"/>
  <c r="M358" i="1"/>
  <c r="O358" i="1"/>
  <c r="Q358" i="1"/>
  <c r="S358" i="1"/>
  <c r="AB358" i="1"/>
  <c r="AD358" i="1"/>
  <c r="AT358" i="1"/>
  <c r="G359" i="1"/>
  <c r="J359" i="1"/>
  <c r="M359" i="1"/>
  <c r="O359" i="1"/>
  <c r="Q359" i="1"/>
  <c r="S359" i="1"/>
  <c r="AB359" i="1"/>
  <c r="AD359" i="1"/>
  <c r="AT359" i="1"/>
  <c r="G360" i="1"/>
  <c r="J360" i="1"/>
  <c r="M360" i="1"/>
  <c r="O360" i="1"/>
  <c r="Q360" i="1"/>
  <c r="S360" i="1"/>
  <c r="AB360" i="1"/>
  <c r="AD360" i="1"/>
  <c r="AT360" i="1"/>
  <c r="G361" i="1"/>
  <c r="J361" i="1"/>
  <c r="M361" i="1"/>
  <c r="O361" i="1"/>
  <c r="Q361" i="1"/>
  <c r="S361" i="1"/>
  <c r="AB361" i="1"/>
  <c r="AD361" i="1"/>
  <c r="AT361" i="1"/>
  <c r="G362" i="1"/>
  <c r="J362" i="1"/>
  <c r="M362" i="1"/>
  <c r="O362" i="1"/>
  <c r="Q362" i="1"/>
  <c r="S362" i="1"/>
  <c r="AB362" i="1"/>
  <c r="AD362" i="1"/>
  <c r="AT362" i="1"/>
  <c r="G363" i="1"/>
  <c r="J363" i="1"/>
  <c r="M363" i="1"/>
  <c r="O363" i="1"/>
  <c r="Q363" i="1"/>
  <c r="S363" i="1"/>
  <c r="AB363" i="1"/>
  <c r="AD363" i="1"/>
  <c r="AT363" i="1"/>
  <c r="G364" i="1"/>
  <c r="J364" i="1"/>
  <c r="M364" i="1"/>
  <c r="O364" i="1"/>
  <c r="Q364" i="1"/>
  <c r="S364" i="1"/>
  <c r="AB364" i="1"/>
  <c r="AD364" i="1"/>
  <c r="AT364" i="1"/>
  <c r="G365" i="1"/>
  <c r="J365" i="1"/>
  <c r="M365" i="1"/>
  <c r="O365" i="1"/>
  <c r="Q365" i="1"/>
  <c r="S365" i="1"/>
  <c r="AB365" i="1"/>
  <c r="AD365" i="1"/>
  <c r="AT365" i="1"/>
  <c r="G366" i="1"/>
  <c r="J366" i="1"/>
  <c r="M366" i="1"/>
  <c r="O366" i="1"/>
  <c r="Q366" i="1"/>
  <c r="S366" i="1"/>
  <c r="AB366" i="1"/>
  <c r="AD366" i="1"/>
  <c r="AT366" i="1"/>
  <c r="G367" i="1"/>
  <c r="J367" i="1"/>
  <c r="M367" i="1"/>
  <c r="O367" i="1"/>
  <c r="Q367" i="1"/>
  <c r="S367" i="1"/>
  <c r="AB367" i="1"/>
  <c r="AD367" i="1"/>
  <c r="AT367" i="1"/>
  <c r="G368" i="1"/>
  <c r="J368" i="1"/>
  <c r="M368" i="1"/>
  <c r="O368" i="1"/>
  <c r="Q368" i="1"/>
  <c r="S368" i="1"/>
  <c r="AB368" i="1"/>
  <c r="AD368" i="1"/>
  <c r="AT368" i="1"/>
  <c r="G369" i="1"/>
  <c r="J369" i="1"/>
  <c r="M369" i="1"/>
  <c r="O369" i="1"/>
  <c r="Q369" i="1"/>
  <c r="S369" i="1"/>
  <c r="AB369" i="1"/>
  <c r="AD369" i="1"/>
  <c r="AT369" i="1"/>
  <c r="G370" i="1"/>
  <c r="J370" i="1"/>
  <c r="M370" i="1"/>
  <c r="O370" i="1"/>
  <c r="Q370" i="1"/>
  <c r="S370" i="1"/>
  <c r="AB370" i="1"/>
  <c r="AD370" i="1"/>
  <c r="AT370" i="1"/>
  <c r="G371" i="1"/>
  <c r="J371" i="1"/>
  <c r="M371" i="1"/>
  <c r="O371" i="1"/>
  <c r="Q371" i="1"/>
  <c r="S371" i="1"/>
  <c r="AB371" i="1"/>
  <c r="AD371" i="1"/>
  <c r="AT371" i="1"/>
  <c r="G372" i="1"/>
  <c r="J372" i="1"/>
  <c r="M372" i="1"/>
  <c r="O372" i="1"/>
  <c r="Q372" i="1"/>
  <c r="S372" i="1"/>
  <c r="AB372" i="1"/>
  <c r="AD372" i="1"/>
  <c r="AT372" i="1"/>
  <c r="G373" i="1"/>
  <c r="J373" i="1"/>
  <c r="M373" i="1"/>
  <c r="O373" i="1"/>
  <c r="Q373" i="1"/>
  <c r="S373" i="1"/>
  <c r="AB373" i="1"/>
  <c r="AD373" i="1"/>
  <c r="AT373" i="1"/>
  <c r="G374" i="1"/>
  <c r="J374" i="1"/>
  <c r="M374" i="1"/>
  <c r="O374" i="1"/>
  <c r="Q374" i="1"/>
  <c r="S374" i="1"/>
  <c r="AB374" i="1"/>
  <c r="AD374" i="1"/>
  <c r="AT374" i="1"/>
  <c r="G375" i="1"/>
  <c r="J375" i="1"/>
  <c r="M375" i="1"/>
  <c r="O375" i="1"/>
  <c r="Q375" i="1"/>
  <c r="S375" i="1"/>
  <c r="AB375" i="1"/>
  <c r="AD375" i="1"/>
  <c r="AT375" i="1"/>
  <c r="G376" i="1"/>
  <c r="J376" i="1"/>
  <c r="M376" i="1"/>
  <c r="O376" i="1"/>
  <c r="Q376" i="1"/>
  <c r="S376" i="1"/>
  <c r="AB376" i="1"/>
  <c r="AD376" i="1"/>
  <c r="AT376" i="1"/>
  <c r="G377" i="1"/>
  <c r="J377" i="1"/>
  <c r="M377" i="1"/>
  <c r="O377" i="1"/>
  <c r="Q377" i="1"/>
  <c r="S377" i="1"/>
  <c r="AB377" i="1"/>
  <c r="AD377" i="1"/>
  <c r="AT377" i="1"/>
  <c r="G378" i="1"/>
  <c r="J378" i="1"/>
  <c r="M378" i="1"/>
  <c r="O378" i="1"/>
  <c r="Q378" i="1"/>
  <c r="S378" i="1"/>
  <c r="AB378" i="1"/>
  <c r="AD378" i="1"/>
  <c r="AT378" i="1"/>
  <c r="G379" i="1"/>
  <c r="J379" i="1"/>
  <c r="M379" i="1"/>
  <c r="O379" i="1"/>
  <c r="Q379" i="1"/>
  <c r="S379" i="1"/>
  <c r="AB379" i="1"/>
  <c r="AD379" i="1"/>
  <c r="AT379" i="1"/>
  <c r="G380" i="1"/>
  <c r="J380" i="1"/>
  <c r="M380" i="1"/>
  <c r="O380" i="1"/>
  <c r="Q380" i="1"/>
  <c r="S380" i="1"/>
  <c r="AB380" i="1"/>
  <c r="AD380" i="1"/>
  <c r="AT380" i="1"/>
  <c r="G381" i="1"/>
  <c r="J381" i="1"/>
  <c r="M381" i="1"/>
  <c r="O381" i="1"/>
  <c r="Q381" i="1"/>
  <c r="S381" i="1"/>
  <c r="AB381" i="1"/>
  <c r="AD381" i="1"/>
  <c r="AT381" i="1"/>
  <c r="G382" i="1"/>
  <c r="J382" i="1"/>
  <c r="M382" i="1"/>
  <c r="O382" i="1"/>
  <c r="Q382" i="1"/>
  <c r="S382" i="1"/>
  <c r="AB382" i="1"/>
  <c r="AD382" i="1"/>
  <c r="AT382" i="1"/>
  <c r="G383" i="1"/>
  <c r="J383" i="1"/>
  <c r="M383" i="1"/>
  <c r="O383" i="1"/>
  <c r="Q383" i="1"/>
  <c r="S383" i="1"/>
  <c r="AB383" i="1"/>
  <c r="AD383" i="1"/>
  <c r="AT383" i="1"/>
  <c r="G384" i="1"/>
  <c r="J384" i="1"/>
  <c r="M384" i="1"/>
  <c r="O384" i="1"/>
  <c r="Q384" i="1"/>
  <c r="S384" i="1"/>
  <c r="AB384" i="1"/>
  <c r="AD384" i="1"/>
  <c r="AT384" i="1"/>
  <c r="G385" i="1"/>
  <c r="J385" i="1"/>
  <c r="M385" i="1"/>
  <c r="O385" i="1"/>
  <c r="Q385" i="1"/>
  <c r="S385" i="1"/>
  <c r="AB385" i="1"/>
  <c r="AD385" i="1"/>
  <c r="AT385" i="1"/>
  <c r="G386" i="1"/>
  <c r="J386" i="1"/>
  <c r="M386" i="1"/>
  <c r="O386" i="1"/>
  <c r="Q386" i="1"/>
  <c r="S386" i="1"/>
  <c r="AB386" i="1"/>
  <c r="AD386" i="1"/>
  <c r="AT386" i="1"/>
  <c r="G387" i="1"/>
  <c r="J387" i="1"/>
  <c r="M387" i="1"/>
  <c r="O387" i="1"/>
  <c r="Q387" i="1"/>
  <c r="S387" i="1"/>
  <c r="AB387" i="1"/>
  <c r="AD387" i="1"/>
  <c r="AT387" i="1"/>
  <c r="G388" i="1"/>
  <c r="J388" i="1"/>
  <c r="M388" i="1"/>
  <c r="O388" i="1"/>
  <c r="Q388" i="1"/>
  <c r="S388" i="1"/>
  <c r="AB388" i="1"/>
  <c r="AD388" i="1"/>
  <c r="AT388" i="1"/>
  <c r="G389" i="1"/>
  <c r="J389" i="1"/>
  <c r="M389" i="1"/>
  <c r="O389" i="1"/>
  <c r="Q389" i="1"/>
  <c r="S389" i="1"/>
  <c r="AB389" i="1"/>
  <c r="AD389" i="1"/>
  <c r="AT389" i="1"/>
  <c r="G390" i="1"/>
  <c r="J390" i="1"/>
  <c r="M390" i="1"/>
  <c r="O390" i="1"/>
  <c r="Q390" i="1"/>
  <c r="S390" i="1"/>
  <c r="AB390" i="1"/>
  <c r="AD390" i="1"/>
  <c r="AT390" i="1"/>
  <c r="G391" i="1"/>
  <c r="J391" i="1"/>
  <c r="M391" i="1"/>
  <c r="O391" i="1"/>
  <c r="Q391" i="1"/>
  <c r="S391" i="1"/>
  <c r="AB391" i="1"/>
  <c r="AD391" i="1"/>
  <c r="AT391" i="1"/>
  <c r="G392" i="1"/>
  <c r="J392" i="1"/>
  <c r="M392" i="1"/>
  <c r="O392" i="1"/>
  <c r="Q392" i="1"/>
  <c r="S392" i="1"/>
  <c r="AB392" i="1"/>
  <c r="AD392" i="1"/>
  <c r="AT392" i="1"/>
  <c r="G393" i="1"/>
  <c r="J393" i="1"/>
  <c r="M393" i="1"/>
  <c r="O393" i="1"/>
  <c r="Q393" i="1"/>
  <c r="S393" i="1"/>
  <c r="AB393" i="1"/>
  <c r="AD393" i="1"/>
  <c r="AT393" i="1"/>
  <c r="G394" i="1"/>
  <c r="J394" i="1"/>
  <c r="M394" i="1"/>
  <c r="O394" i="1"/>
  <c r="Q394" i="1"/>
  <c r="S394" i="1"/>
  <c r="AB394" i="1"/>
  <c r="AD394" i="1"/>
  <c r="AT394" i="1"/>
  <c r="G395" i="1"/>
  <c r="J395" i="1"/>
  <c r="M395" i="1"/>
  <c r="O395" i="1"/>
  <c r="Q395" i="1"/>
  <c r="S395" i="1"/>
  <c r="AB395" i="1"/>
  <c r="AD395" i="1"/>
  <c r="AT395" i="1"/>
  <c r="G396" i="1"/>
  <c r="J396" i="1"/>
  <c r="M396" i="1"/>
  <c r="O396" i="1"/>
  <c r="Q396" i="1"/>
  <c r="S396" i="1"/>
  <c r="AB396" i="1"/>
  <c r="AD396" i="1"/>
  <c r="AT396" i="1"/>
  <c r="G397" i="1"/>
  <c r="J397" i="1"/>
  <c r="M397" i="1"/>
  <c r="O397" i="1"/>
  <c r="Q397" i="1"/>
  <c r="S397" i="1"/>
  <c r="AB397" i="1"/>
  <c r="AD397" i="1"/>
  <c r="AT397" i="1"/>
  <c r="G398" i="1"/>
  <c r="J398" i="1"/>
  <c r="M398" i="1"/>
  <c r="O398" i="1"/>
  <c r="Q398" i="1"/>
  <c r="S398" i="1"/>
  <c r="AB398" i="1"/>
  <c r="AD398" i="1"/>
  <c r="AT398" i="1"/>
  <c r="G399" i="1"/>
  <c r="J399" i="1"/>
  <c r="M399" i="1"/>
  <c r="O399" i="1"/>
  <c r="Q399" i="1"/>
  <c r="S399" i="1"/>
  <c r="AB399" i="1"/>
  <c r="AD399" i="1"/>
  <c r="AT399" i="1"/>
  <c r="G400" i="1"/>
  <c r="J400" i="1"/>
  <c r="M400" i="1"/>
  <c r="O400" i="1"/>
  <c r="Q400" i="1"/>
  <c r="S400" i="1"/>
  <c r="AB400" i="1"/>
  <c r="AD400" i="1"/>
  <c r="AT400" i="1"/>
  <c r="G401" i="1"/>
  <c r="J401" i="1"/>
  <c r="M401" i="1"/>
  <c r="O401" i="1"/>
  <c r="Q401" i="1"/>
  <c r="S401" i="1"/>
  <c r="AB401" i="1"/>
  <c r="AD401" i="1"/>
  <c r="AT401" i="1"/>
  <c r="G402" i="1"/>
  <c r="J402" i="1"/>
  <c r="M402" i="1"/>
  <c r="O402" i="1"/>
  <c r="Q402" i="1"/>
  <c r="S402" i="1"/>
  <c r="AB402" i="1"/>
  <c r="AD402" i="1"/>
  <c r="AT402" i="1"/>
  <c r="G403" i="1"/>
  <c r="J403" i="1"/>
  <c r="M403" i="1"/>
  <c r="O403" i="1"/>
  <c r="Q403" i="1"/>
  <c r="S403" i="1"/>
  <c r="AB403" i="1"/>
  <c r="AD403" i="1"/>
  <c r="AT403" i="1"/>
  <c r="G404" i="1"/>
  <c r="J404" i="1"/>
  <c r="M404" i="1"/>
  <c r="O404" i="1"/>
  <c r="Q404" i="1"/>
  <c r="S404" i="1"/>
  <c r="AB404" i="1"/>
  <c r="AD404" i="1"/>
  <c r="AT404" i="1"/>
  <c r="G405" i="1"/>
  <c r="J405" i="1"/>
  <c r="M405" i="1"/>
  <c r="O405" i="1"/>
  <c r="Q405" i="1"/>
  <c r="S405" i="1"/>
  <c r="AB405" i="1"/>
  <c r="AD405" i="1"/>
  <c r="AT405" i="1"/>
  <c r="G406" i="1"/>
  <c r="J406" i="1"/>
  <c r="M406" i="1"/>
  <c r="O406" i="1"/>
  <c r="Q406" i="1"/>
  <c r="S406" i="1"/>
  <c r="AB406" i="1"/>
  <c r="AD406" i="1"/>
  <c r="AT406" i="1"/>
  <c r="G407" i="1"/>
  <c r="J407" i="1"/>
  <c r="M407" i="1"/>
  <c r="O407" i="1"/>
  <c r="Q407" i="1"/>
  <c r="S407" i="1"/>
  <c r="AB407" i="1"/>
  <c r="AD407" i="1"/>
  <c r="AT407" i="1"/>
  <c r="G408" i="1"/>
  <c r="J408" i="1"/>
  <c r="M408" i="1"/>
  <c r="O408" i="1"/>
  <c r="Q408" i="1"/>
  <c r="S408" i="1"/>
  <c r="AB408" i="1"/>
  <c r="AD408" i="1"/>
  <c r="AT408" i="1"/>
  <c r="G409" i="1"/>
  <c r="J409" i="1"/>
  <c r="M409" i="1"/>
  <c r="O409" i="1"/>
  <c r="Q409" i="1"/>
  <c r="S409" i="1"/>
  <c r="AB409" i="1"/>
  <c r="AD409" i="1"/>
  <c r="AT409" i="1"/>
  <c r="G410" i="1"/>
  <c r="J410" i="1"/>
  <c r="M410" i="1"/>
  <c r="O410" i="1"/>
  <c r="Q410" i="1"/>
  <c r="S410" i="1"/>
  <c r="AB410" i="1"/>
  <c r="AD410" i="1"/>
  <c r="AT410" i="1"/>
  <c r="G411" i="1"/>
  <c r="J411" i="1"/>
  <c r="M411" i="1"/>
  <c r="O411" i="1"/>
  <c r="Q411" i="1"/>
  <c r="S411" i="1"/>
  <c r="AB411" i="1"/>
  <c r="AD411" i="1"/>
  <c r="AT411" i="1"/>
  <c r="G412" i="1"/>
  <c r="J412" i="1"/>
  <c r="M412" i="1"/>
  <c r="O412" i="1"/>
  <c r="Q412" i="1"/>
  <c r="S412" i="1"/>
  <c r="AB412" i="1"/>
  <c r="AD412" i="1"/>
  <c r="AT412" i="1"/>
  <c r="G413" i="1"/>
  <c r="J413" i="1"/>
  <c r="M413" i="1"/>
  <c r="O413" i="1"/>
  <c r="Q413" i="1"/>
  <c r="S413" i="1"/>
  <c r="AB413" i="1"/>
  <c r="AD413" i="1"/>
  <c r="AT413" i="1"/>
  <c r="G414" i="1"/>
  <c r="J414" i="1"/>
  <c r="M414" i="1"/>
  <c r="O414" i="1"/>
  <c r="Q414" i="1"/>
  <c r="S414" i="1"/>
  <c r="AB414" i="1"/>
  <c r="AD414" i="1"/>
  <c r="AT414" i="1"/>
  <c r="G415" i="1"/>
  <c r="J415" i="1"/>
  <c r="M415" i="1"/>
  <c r="O415" i="1"/>
  <c r="Q415" i="1"/>
  <c r="S415" i="1"/>
  <c r="AB415" i="1"/>
  <c r="AD415" i="1"/>
  <c r="AT415" i="1"/>
  <c r="G416" i="1"/>
  <c r="J416" i="1"/>
  <c r="M416" i="1"/>
  <c r="O416" i="1"/>
  <c r="Q416" i="1"/>
  <c r="S416" i="1"/>
  <c r="AB416" i="1"/>
  <c r="AD416" i="1"/>
  <c r="AT416" i="1"/>
  <c r="G417" i="1"/>
  <c r="J417" i="1"/>
  <c r="M417" i="1"/>
  <c r="O417" i="1"/>
  <c r="Q417" i="1"/>
  <c r="S417" i="1"/>
  <c r="AB417" i="1"/>
  <c r="AD417" i="1"/>
  <c r="AT417" i="1"/>
  <c r="G418" i="1"/>
  <c r="J418" i="1"/>
  <c r="M418" i="1"/>
  <c r="O418" i="1"/>
  <c r="Q418" i="1"/>
  <c r="S418" i="1"/>
  <c r="AB418" i="1"/>
  <c r="AD418" i="1"/>
  <c r="AT418" i="1"/>
  <c r="G419" i="1"/>
  <c r="J419" i="1"/>
  <c r="M419" i="1"/>
  <c r="O419" i="1"/>
  <c r="Q419" i="1"/>
  <c r="S419" i="1"/>
  <c r="AB419" i="1"/>
  <c r="AD419" i="1"/>
  <c r="AT419" i="1"/>
  <c r="G420" i="1"/>
  <c r="J420" i="1"/>
  <c r="M420" i="1"/>
  <c r="O420" i="1"/>
  <c r="Q420" i="1"/>
  <c r="S420" i="1"/>
  <c r="AB420" i="1"/>
  <c r="AD420" i="1"/>
  <c r="AT420" i="1"/>
  <c r="G421" i="1"/>
  <c r="J421" i="1"/>
  <c r="M421" i="1"/>
  <c r="O421" i="1"/>
  <c r="Q421" i="1"/>
  <c r="S421" i="1"/>
  <c r="AB421" i="1"/>
  <c r="AD421" i="1"/>
  <c r="AT421" i="1"/>
  <c r="G422" i="1"/>
  <c r="J422" i="1"/>
  <c r="M422" i="1"/>
  <c r="O422" i="1"/>
  <c r="Q422" i="1"/>
  <c r="S422" i="1"/>
  <c r="AB422" i="1"/>
  <c r="AD422" i="1"/>
  <c r="AT422" i="1"/>
  <c r="G423" i="1"/>
  <c r="J423" i="1"/>
  <c r="M423" i="1"/>
  <c r="O423" i="1"/>
  <c r="Q423" i="1"/>
  <c r="S423" i="1"/>
  <c r="AB423" i="1"/>
  <c r="AD423" i="1"/>
  <c r="AT423" i="1"/>
  <c r="G424" i="1"/>
  <c r="J424" i="1"/>
  <c r="M424" i="1"/>
  <c r="O424" i="1"/>
  <c r="Q424" i="1"/>
  <c r="S424" i="1"/>
  <c r="AB424" i="1"/>
  <c r="AD424" i="1"/>
  <c r="AT424" i="1"/>
  <c r="G425" i="1"/>
  <c r="J425" i="1"/>
  <c r="M425" i="1"/>
  <c r="O425" i="1"/>
  <c r="Q425" i="1"/>
  <c r="S425" i="1"/>
  <c r="AB425" i="1"/>
  <c r="AD425" i="1"/>
  <c r="AT425" i="1"/>
  <c r="G426" i="1"/>
  <c r="J426" i="1"/>
  <c r="M426" i="1"/>
  <c r="O426" i="1"/>
  <c r="Q426" i="1"/>
  <c r="S426" i="1"/>
  <c r="AB426" i="1"/>
  <c r="AD426" i="1"/>
  <c r="AT426" i="1"/>
  <c r="G427" i="1"/>
  <c r="J427" i="1"/>
  <c r="M427" i="1"/>
  <c r="O427" i="1"/>
  <c r="Q427" i="1"/>
  <c r="S427" i="1"/>
  <c r="AB427" i="1"/>
  <c r="AD427" i="1"/>
  <c r="AT427" i="1"/>
  <c r="G428" i="1"/>
  <c r="J428" i="1"/>
  <c r="M428" i="1"/>
  <c r="O428" i="1"/>
  <c r="Q428" i="1"/>
  <c r="S428" i="1"/>
  <c r="AB428" i="1"/>
  <c r="AD428" i="1"/>
  <c r="AT428" i="1"/>
  <c r="G429" i="1"/>
  <c r="J429" i="1"/>
  <c r="M429" i="1"/>
  <c r="O429" i="1"/>
  <c r="Q429" i="1"/>
  <c r="S429" i="1"/>
  <c r="AB429" i="1"/>
  <c r="AD429" i="1"/>
  <c r="AT429" i="1"/>
  <c r="G430" i="1"/>
  <c r="J430" i="1"/>
  <c r="M430" i="1"/>
  <c r="O430" i="1"/>
  <c r="Q430" i="1"/>
  <c r="S430" i="1"/>
  <c r="AB430" i="1"/>
  <c r="AD430" i="1"/>
  <c r="AT430" i="1"/>
  <c r="G431" i="1"/>
  <c r="J431" i="1"/>
  <c r="M431" i="1"/>
  <c r="O431" i="1"/>
  <c r="Q431" i="1"/>
  <c r="S431" i="1"/>
  <c r="AB431" i="1"/>
  <c r="AD431" i="1"/>
  <c r="AT431" i="1"/>
  <c r="G432" i="1"/>
  <c r="J432" i="1"/>
  <c r="M432" i="1"/>
  <c r="O432" i="1"/>
  <c r="Q432" i="1"/>
  <c r="S432" i="1"/>
  <c r="AB432" i="1"/>
  <c r="AD432" i="1"/>
  <c r="AT432" i="1"/>
  <c r="G433" i="1"/>
  <c r="J433" i="1"/>
  <c r="M433" i="1"/>
  <c r="O433" i="1"/>
  <c r="Q433" i="1"/>
  <c r="S433" i="1"/>
  <c r="AB433" i="1"/>
  <c r="AD433" i="1"/>
  <c r="AT433" i="1"/>
  <c r="G434" i="1"/>
  <c r="J434" i="1"/>
  <c r="M434" i="1"/>
  <c r="O434" i="1"/>
  <c r="Q434" i="1"/>
  <c r="S434" i="1"/>
  <c r="AB434" i="1"/>
  <c r="AD434" i="1"/>
  <c r="AT434" i="1"/>
  <c r="G435" i="1"/>
  <c r="J435" i="1"/>
  <c r="M435" i="1"/>
  <c r="O435" i="1"/>
  <c r="Q435" i="1"/>
  <c r="S435" i="1"/>
  <c r="AB435" i="1"/>
  <c r="AD435" i="1"/>
  <c r="AT435" i="1"/>
  <c r="G436" i="1"/>
  <c r="J436" i="1"/>
  <c r="M436" i="1"/>
  <c r="O436" i="1"/>
  <c r="Q436" i="1"/>
  <c r="S436" i="1"/>
  <c r="AB436" i="1"/>
  <c r="AD436" i="1"/>
  <c r="AT436" i="1"/>
  <c r="G437" i="1"/>
  <c r="J437" i="1"/>
  <c r="M437" i="1"/>
  <c r="O437" i="1"/>
  <c r="Q437" i="1"/>
  <c r="S437" i="1"/>
  <c r="AB437" i="1"/>
  <c r="AD437" i="1"/>
  <c r="AT437" i="1"/>
  <c r="G438" i="1"/>
  <c r="J438" i="1"/>
  <c r="M438" i="1"/>
  <c r="O438" i="1"/>
  <c r="Q438" i="1"/>
  <c r="S438" i="1"/>
  <c r="AB438" i="1"/>
  <c r="AD438" i="1"/>
  <c r="AT438" i="1"/>
  <c r="G439" i="1"/>
  <c r="J439" i="1"/>
  <c r="M439" i="1"/>
  <c r="O439" i="1"/>
  <c r="Q439" i="1"/>
  <c r="S439" i="1"/>
  <c r="AB439" i="1"/>
  <c r="AD439" i="1"/>
  <c r="AT439" i="1"/>
  <c r="G440" i="1"/>
  <c r="J440" i="1"/>
  <c r="M440" i="1"/>
  <c r="O440" i="1"/>
  <c r="Q440" i="1"/>
  <c r="S440" i="1"/>
  <c r="AB440" i="1"/>
  <c r="AD440" i="1"/>
  <c r="AT440" i="1"/>
  <c r="G441" i="1"/>
  <c r="J441" i="1"/>
  <c r="M441" i="1"/>
  <c r="O441" i="1"/>
  <c r="Q441" i="1"/>
  <c r="S441" i="1"/>
  <c r="AB441" i="1"/>
  <c r="AD441" i="1"/>
  <c r="AT441" i="1"/>
  <c r="G442" i="1"/>
  <c r="J442" i="1"/>
  <c r="M442" i="1"/>
  <c r="O442" i="1"/>
  <c r="Q442" i="1"/>
  <c r="S442" i="1"/>
  <c r="AB442" i="1"/>
  <c r="AD442" i="1"/>
  <c r="AT442" i="1"/>
  <c r="G443" i="1"/>
  <c r="J443" i="1"/>
  <c r="M443" i="1"/>
  <c r="O443" i="1"/>
  <c r="Q443" i="1"/>
  <c r="S443" i="1"/>
  <c r="AB443" i="1"/>
  <c r="AD443" i="1"/>
  <c r="AT443" i="1"/>
  <c r="G444" i="1"/>
  <c r="J444" i="1"/>
  <c r="M444" i="1"/>
  <c r="O444" i="1"/>
  <c r="Q444" i="1"/>
  <c r="S444" i="1"/>
  <c r="AB444" i="1"/>
  <c r="AD444" i="1"/>
  <c r="AT444" i="1"/>
  <c r="G445" i="1"/>
  <c r="J445" i="1"/>
  <c r="M445" i="1"/>
  <c r="O445" i="1"/>
  <c r="Q445" i="1"/>
  <c r="S445" i="1"/>
  <c r="AB445" i="1"/>
  <c r="AD445" i="1"/>
  <c r="AT445" i="1"/>
  <c r="G446" i="1"/>
  <c r="J446" i="1"/>
  <c r="M446" i="1"/>
  <c r="O446" i="1"/>
  <c r="Q446" i="1"/>
  <c r="S446" i="1"/>
  <c r="AB446" i="1"/>
  <c r="AD446" i="1"/>
  <c r="AT446" i="1"/>
  <c r="G447" i="1"/>
  <c r="J447" i="1"/>
  <c r="M447" i="1"/>
  <c r="O447" i="1"/>
  <c r="Q447" i="1"/>
  <c r="S447" i="1"/>
  <c r="AB447" i="1"/>
  <c r="AD447" i="1"/>
  <c r="AT447" i="1"/>
  <c r="G448" i="1"/>
  <c r="J448" i="1"/>
  <c r="M448" i="1"/>
  <c r="O448" i="1"/>
  <c r="Q448" i="1"/>
  <c r="S448" i="1"/>
  <c r="AB448" i="1"/>
  <c r="AD448" i="1"/>
  <c r="AT448" i="1"/>
  <c r="G449" i="1"/>
  <c r="J449" i="1"/>
  <c r="M449" i="1"/>
  <c r="O449" i="1"/>
  <c r="Q449" i="1"/>
  <c r="S449" i="1"/>
  <c r="AB449" i="1"/>
  <c r="AD449" i="1"/>
  <c r="AT449" i="1"/>
  <c r="G450" i="1"/>
  <c r="J450" i="1"/>
  <c r="M450" i="1"/>
  <c r="O450" i="1"/>
  <c r="Q450" i="1"/>
  <c r="S450" i="1"/>
  <c r="AB450" i="1"/>
  <c r="AD450" i="1"/>
  <c r="AT450" i="1"/>
  <c r="G451" i="1"/>
  <c r="J451" i="1"/>
  <c r="M451" i="1"/>
  <c r="O451" i="1"/>
  <c r="Q451" i="1"/>
  <c r="S451" i="1"/>
  <c r="AB451" i="1"/>
  <c r="AD451" i="1"/>
  <c r="AT451" i="1"/>
  <c r="G452" i="1"/>
  <c r="J452" i="1"/>
  <c r="M452" i="1"/>
  <c r="O452" i="1"/>
  <c r="Q452" i="1"/>
  <c r="S452" i="1"/>
  <c r="AB452" i="1"/>
  <c r="AD452" i="1"/>
  <c r="AT452" i="1"/>
  <c r="G453" i="1"/>
  <c r="J453" i="1"/>
  <c r="M453" i="1"/>
  <c r="O453" i="1"/>
  <c r="Q453" i="1"/>
  <c r="S453" i="1"/>
  <c r="AB453" i="1"/>
  <c r="AD453" i="1"/>
  <c r="AT453" i="1"/>
  <c r="G454" i="1"/>
  <c r="J454" i="1"/>
  <c r="M454" i="1"/>
  <c r="O454" i="1"/>
  <c r="Q454" i="1"/>
  <c r="S454" i="1"/>
  <c r="AB454" i="1"/>
  <c r="AD454" i="1"/>
  <c r="AT454" i="1"/>
  <c r="G455" i="1"/>
  <c r="J455" i="1"/>
  <c r="M455" i="1"/>
  <c r="O455" i="1"/>
  <c r="Q455" i="1"/>
  <c r="S455" i="1"/>
  <c r="AB455" i="1"/>
  <c r="AD455" i="1"/>
  <c r="AT455" i="1"/>
  <c r="G456" i="1"/>
  <c r="J456" i="1"/>
  <c r="M456" i="1"/>
  <c r="O456" i="1"/>
  <c r="Q456" i="1"/>
  <c r="S456" i="1"/>
  <c r="AB456" i="1"/>
  <c r="AD456" i="1"/>
  <c r="AT456" i="1"/>
  <c r="G457" i="1"/>
  <c r="J457" i="1"/>
  <c r="M457" i="1"/>
  <c r="O457" i="1"/>
  <c r="Q457" i="1"/>
  <c r="S457" i="1"/>
  <c r="AB457" i="1"/>
  <c r="AD457" i="1"/>
  <c r="AT457" i="1"/>
  <c r="G458" i="1"/>
  <c r="J458" i="1"/>
  <c r="M458" i="1"/>
  <c r="O458" i="1"/>
  <c r="Q458" i="1"/>
  <c r="S458" i="1"/>
  <c r="AB458" i="1"/>
  <c r="AD458" i="1"/>
  <c r="AT458" i="1"/>
  <c r="G459" i="1"/>
  <c r="J459" i="1"/>
  <c r="M459" i="1"/>
  <c r="O459" i="1"/>
  <c r="Q459" i="1"/>
  <c r="S459" i="1"/>
  <c r="AB459" i="1"/>
  <c r="AD459" i="1"/>
  <c r="AT459" i="1"/>
  <c r="G460" i="1"/>
  <c r="J460" i="1"/>
  <c r="M460" i="1"/>
  <c r="O460" i="1"/>
  <c r="Q460" i="1"/>
  <c r="S460" i="1"/>
  <c r="AB460" i="1"/>
  <c r="AD460" i="1"/>
  <c r="AT460" i="1"/>
  <c r="G461" i="1"/>
  <c r="J461" i="1"/>
  <c r="M461" i="1"/>
  <c r="O461" i="1"/>
  <c r="Q461" i="1"/>
  <c r="S461" i="1"/>
  <c r="AB461" i="1"/>
  <c r="AD461" i="1"/>
  <c r="AT461" i="1"/>
  <c r="G462" i="1"/>
  <c r="J462" i="1"/>
  <c r="M462" i="1"/>
  <c r="O462" i="1"/>
  <c r="Q462" i="1"/>
  <c r="S462" i="1"/>
  <c r="AB462" i="1"/>
  <c r="AD462" i="1"/>
  <c r="AT462" i="1"/>
  <c r="G463" i="1"/>
  <c r="J463" i="1"/>
  <c r="M463" i="1"/>
  <c r="O463" i="1"/>
  <c r="Q463" i="1"/>
  <c r="S463" i="1"/>
  <c r="AB463" i="1"/>
  <c r="AD463" i="1"/>
  <c r="AT463" i="1"/>
  <c r="G464" i="1"/>
  <c r="J464" i="1"/>
  <c r="M464" i="1"/>
  <c r="O464" i="1"/>
  <c r="Q464" i="1"/>
  <c r="S464" i="1"/>
  <c r="AB464" i="1"/>
  <c r="AD464" i="1"/>
  <c r="AT464" i="1"/>
  <c r="G465" i="1"/>
  <c r="J465" i="1"/>
  <c r="M465" i="1"/>
  <c r="O465" i="1"/>
  <c r="Q465" i="1"/>
  <c r="S465" i="1"/>
  <c r="AB465" i="1"/>
  <c r="AD465" i="1"/>
  <c r="AT465" i="1"/>
  <c r="G466" i="1"/>
  <c r="J466" i="1"/>
  <c r="M466" i="1"/>
  <c r="O466" i="1"/>
  <c r="Q466" i="1"/>
  <c r="S466" i="1"/>
  <c r="AB466" i="1"/>
  <c r="AD466" i="1"/>
  <c r="AT466" i="1"/>
  <c r="G467" i="1"/>
  <c r="J467" i="1"/>
  <c r="M467" i="1"/>
  <c r="O467" i="1"/>
  <c r="Q467" i="1"/>
  <c r="S467" i="1"/>
  <c r="AB467" i="1"/>
  <c r="AD467" i="1"/>
  <c r="AT467" i="1"/>
  <c r="G468" i="1"/>
  <c r="J468" i="1"/>
  <c r="M468" i="1"/>
  <c r="O468" i="1"/>
  <c r="Q468" i="1"/>
  <c r="S468" i="1"/>
  <c r="AB468" i="1"/>
  <c r="AD468" i="1"/>
  <c r="AT468" i="1"/>
  <c r="G469" i="1"/>
  <c r="J469" i="1"/>
  <c r="M469" i="1"/>
  <c r="O469" i="1"/>
  <c r="Q469" i="1"/>
  <c r="S469" i="1"/>
  <c r="AB469" i="1"/>
  <c r="AD469" i="1"/>
  <c r="AT469" i="1"/>
  <c r="G470" i="1"/>
  <c r="J470" i="1"/>
  <c r="M470" i="1"/>
  <c r="O470" i="1"/>
  <c r="Q470" i="1"/>
  <c r="S470" i="1"/>
  <c r="AB470" i="1"/>
  <c r="AD470" i="1"/>
  <c r="AT470" i="1"/>
  <c r="G471" i="1"/>
  <c r="J471" i="1"/>
  <c r="M471" i="1"/>
  <c r="O471" i="1"/>
  <c r="Q471" i="1"/>
  <c r="S471" i="1"/>
  <c r="AB471" i="1"/>
  <c r="AD471" i="1"/>
  <c r="AT471" i="1"/>
  <c r="G472" i="1"/>
  <c r="J472" i="1"/>
  <c r="M472" i="1"/>
  <c r="O472" i="1"/>
  <c r="Q472" i="1"/>
  <c r="S472" i="1"/>
  <c r="AB472" i="1"/>
  <c r="AD472" i="1"/>
  <c r="AT472" i="1"/>
  <c r="G473" i="1"/>
  <c r="J473" i="1"/>
  <c r="M473" i="1"/>
  <c r="O473" i="1"/>
  <c r="Q473" i="1"/>
  <c r="S473" i="1"/>
  <c r="AB473" i="1"/>
  <c r="AD473" i="1"/>
  <c r="AT473" i="1"/>
  <c r="G474" i="1"/>
  <c r="J474" i="1"/>
  <c r="M474" i="1"/>
  <c r="O474" i="1"/>
  <c r="Q474" i="1"/>
  <c r="S474" i="1"/>
  <c r="AB474" i="1"/>
  <c r="AD474" i="1"/>
  <c r="AT474" i="1"/>
  <c r="G475" i="1"/>
  <c r="J475" i="1"/>
  <c r="M475" i="1"/>
  <c r="O475" i="1"/>
  <c r="Q475" i="1"/>
  <c r="S475" i="1"/>
  <c r="AB475" i="1"/>
  <c r="AD475" i="1"/>
  <c r="AT475" i="1"/>
  <c r="G476" i="1"/>
  <c r="J476" i="1"/>
  <c r="M476" i="1"/>
  <c r="O476" i="1"/>
  <c r="Q476" i="1"/>
  <c r="S476" i="1"/>
  <c r="AB476" i="1"/>
  <c r="AD476" i="1"/>
  <c r="AT476" i="1"/>
  <c r="G477" i="1"/>
  <c r="J477" i="1"/>
  <c r="M477" i="1"/>
  <c r="O477" i="1"/>
  <c r="Q477" i="1"/>
  <c r="S477" i="1"/>
  <c r="AB477" i="1"/>
  <c r="AD477" i="1"/>
  <c r="AT477" i="1"/>
  <c r="G478" i="1"/>
  <c r="J478" i="1"/>
  <c r="M478" i="1"/>
  <c r="O478" i="1"/>
  <c r="Q478" i="1"/>
  <c r="S478" i="1"/>
  <c r="AB478" i="1"/>
  <c r="AD478" i="1"/>
  <c r="AT478" i="1"/>
  <c r="G479" i="1"/>
  <c r="J479" i="1"/>
  <c r="M479" i="1"/>
  <c r="O479" i="1"/>
  <c r="Q479" i="1"/>
  <c r="S479" i="1"/>
  <c r="AB479" i="1"/>
  <c r="AD479" i="1"/>
  <c r="AT479" i="1"/>
  <c r="G480" i="1"/>
  <c r="J480" i="1"/>
  <c r="M480" i="1"/>
  <c r="O480" i="1"/>
  <c r="Q480" i="1"/>
  <c r="S480" i="1"/>
  <c r="AB480" i="1"/>
  <c r="AD480" i="1"/>
  <c r="AT480" i="1"/>
  <c r="G481" i="1"/>
  <c r="J481" i="1"/>
  <c r="M481" i="1"/>
  <c r="O481" i="1"/>
  <c r="Q481" i="1"/>
  <c r="S481" i="1"/>
  <c r="AB481" i="1"/>
  <c r="AD481" i="1"/>
  <c r="AT481" i="1"/>
  <c r="G482" i="1"/>
  <c r="J482" i="1"/>
  <c r="M482" i="1"/>
  <c r="O482" i="1"/>
  <c r="Q482" i="1"/>
  <c r="S482" i="1"/>
  <c r="AB482" i="1"/>
  <c r="AD482" i="1"/>
  <c r="AT482" i="1"/>
  <c r="G483" i="1"/>
  <c r="J483" i="1"/>
  <c r="M483" i="1"/>
  <c r="O483" i="1"/>
  <c r="Q483" i="1"/>
  <c r="S483" i="1"/>
  <c r="AB483" i="1"/>
  <c r="AD483" i="1"/>
  <c r="AT483" i="1"/>
  <c r="G484" i="1"/>
  <c r="J484" i="1"/>
  <c r="M484" i="1"/>
  <c r="O484" i="1"/>
  <c r="Q484" i="1"/>
  <c r="S484" i="1"/>
  <c r="AB484" i="1"/>
  <c r="AD484" i="1"/>
  <c r="AT484" i="1"/>
  <c r="G485" i="1"/>
  <c r="J485" i="1"/>
  <c r="M485" i="1"/>
  <c r="O485" i="1"/>
  <c r="Q485" i="1"/>
  <c r="S485" i="1"/>
  <c r="AB485" i="1"/>
  <c r="AD485" i="1"/>
  <c r="AT485" i="1"/>
  <c r="G486" i="1"/>
  <c r="J486" i="1"/>
  <c r="M486" i="1"/>
  <c r="O486" i="1"/>
  <c r="Q486" i="1"/>
  <c r="S486" i="1"/>
  <c r="AB486" i="1"/>
  <c r="AD486" i="1"/>
  <c r="AT486" i="1"/>
  <c r="G487" i="1"/>
  <c r="J487" i="1"/>
  <c r="M487" i="1"/>
  <c r="O487" i="1"/>
  <c r="Q487" i="1"/>
  <c r="S487" i="1"/>
  <c r="AB487" i="1"/>
  <c r="AD487" i="1"/>
  <c r="AT487" i="1"/>
  <c r="G488" i="1"/>
  <c r="J488" i="1"/>
  <c r="M488" i="1"/>
  <c r="O488" i="1"/>
  <c r="Q488" i="1"/>
  <c r="S488" i="1"/>
  <c r="AB488" i="1"/>
  <c r="AD488" i="1"/>
  <c r="AT488" i="1"/>
  <c r="G489" i="1"/>
  <c r="J489" i="1"/>
  <c r="M489" i="1"/>
  <c r="O489" i="1"/>
  <c r="Q489" i="1"/>
  <c r="S489" i="1"/>
  <c r="AB489" i="1"/>
  <c r="AD489" i="1"/>
  <c r="AT489" i="1"/>
  <c r="G490" i="1"/>
  <c r="J490" i="1"/>
  <c r="M490" i="1"/>
  <c r="O490" i="1"/>
  <c r="Q490" i="1"/>
  <c r="S490" i="1"/>
  <c r="AB490" i="1"/>
  <c r="AD490" i="1"/>
  <c r="AT490" i="1"/>
  <c r="G491" i="1"/>
  <c r="J491" i="1"/>
  <c r="M491" i="1"/>
  <c r="O491" i="1"/>
  <c r="Q491" i="1"/>
  <c r="S491" i="1"/>
  <c r="AB491" i="1"/>
  <c r="AD491" i="1"/>
  <c r="AT491" i="1"/>
  <c r="G492" i="1"/>
  <c r="J492" i="1"/>
  <c r="M492" i="1"/>
  <c r="O492" i="1"/>
  <c r="Q492" i="1"/>
  <c r="S492" i="1"/>
  <c r="AB492" i="1"/>
  <c r="AD492" i="1"/>
  <c r="AT492" i="1"/>
  <c r="G493" i="1"/>
  <c r="J493" i="1"/>
  <c r="M493" i="1"/>
  <c r="O493" i="1"/>
  <c r="Q493" i="1"/>
  <c r="S493" i="1"/>
  <c r="AB493" i="1"/>
  <c r="AD493" i="1"/>
  <c r="AT493" i="1"/>
  <c r="G494" i="1"/>
  <c r="J494" i="1"/>
  <c r="M494" i="1"/>
  <c r="O494" i="1"/>
  <c r="Q494" i="1"/>
  <c r="S494" i="1"/>
  <c r="AB494" i="1"/>
  <c r="AD494" i="1"/>
  <c r="AT494" i="1"/>
  <c r="G495" i="1"/>
  <c r="J495" i="1"/>
  <c r="M495" i="1"/>
  <c r="O495" i="1"/>
  <c r="Q495" i="1"/>
  <c r="S495" i="1"/>
  <c r="AB495" i="1"/>
  <c r="AD495" i="1"/>
  <c r="AT495" i="1"/>
  <c r="G496" i="1"/>
  <c r="J496" i="1"/>
  <c r="M496" i="1"/>
  <c r="O496" i="1"/>
  <c r="Q496" i="1"/>
  <c r="S496" i="1"/>
  <c r="AB496" i="1"/>
  <c r="AD496" i="1"/>
  <c r="AT496" i="1"/>
  <c r="G497" i="1"/>
  <c r="J497" i="1"/>
  <c r="M497" i="1"/>
  <c r="O497" i="1"/>
  <c r="Q497" i="1"/>
  <c r="S497" i="1"/>
  <c r="AB497" i="1"/>
  <c r="AD497" i="1"/>
  <c r="AT497" i="1"/>
  <c r="G498" i="1"/>
  <c r="J498" i="1"/>
  <c r="M498" i="1"/>
  <c r="O498" i="1"/>
  <c r="Q498" i="1"/>
  <c r="S498" i="1"/>
  <c r="AB498" i="1"/>
  <c r="AD498" i="1"/>
  <c r="AT498" i="1"/>
  <c r="G499" i="1"/>
  <c r="J499" i="1"/>
  <c r="M499" i="1"/>
  <c r="O499" i="1"/>
  <c r="Q499" i="1"/>
  <c r="S499" i="1"/>
  <c r="AB499" i="1"/>
  <c r="AD499" i="1"/>
  <c r="AT499" i="1"/>
  <c r="G500" i="1"/>
  <c r="J500" i="1"/>
  <c r="M500" i="1"/>
  <c r="O500" i="1"/>
  <c r="Q500" i="1"/>
  <c r="S500" i="1"/>
  <c r="AB500" i="1"/>
  <c r="AD500" i="1"/>
  <c r="AT500" i="1"/>
  <c r="G501" i="1"/>
  <c r="J501" i="1"/>
  <c r="M501" i="1"/>
  <c r="O501" i="1"/>
  <c r="Q501" i="1"/>
  <c r="S501" i="1"/>
  <c r="AB501" i="1"/>
  <c r="AD501" i="1"/>
  <c r="AT501" i="1"/>
  <c r="G502" i="1"/>
  <c r="J502" i="1"/>
  <c r="M502" i="1"/>
  <c r="O502" i="1"/>
  <c r="Q502" i="1"/>
  <c r="S502" i="1"/>
  <c r="AB502" i="1"/>
  <c r="AD502" i="1"/>
  <c r="AT502" i="1"/>
  <c r="G503" i="1"/>
  <c r="J503" i="1"/>
  <c r="M503" i="1"/>
  <c r="O503" i="1"/>
  <c r="Q503" i="1"/>
  <c r="S503" i="1"/>
  <c r="AB503" i="1"/>
  <c r="AD503" i="1"/>
  <c r="AT503" i="1"/>
  <c r="Q4" i="1" l="1"/>
  <c r="Q5" i="1"/>
  <c r="AB5" i="1" l="1"/>
  <c r="AB6" i="1"/>
  <c r="AB7" i="1"/>
  <c r="AB8" i="1"/>
  <c r="AB9" i="1"/>
  <c r="AB10" i="1"/>
  <c r="AB11" i="1"/>
  <c r="AB12" i="1"/>
  <c r="AB13" i="1"/>
  <c r="AT7" i="1" l="1"/>
  <c r="AT8" i="1"/>
  <c r="AT9" i="1"/>
  <c r="AT10" i="1"/>
  <c r="AT11" i="1"/>
  <c r="AT12" i="1"/>
  <c r="AT13" i="1"/>
  <c r="AT5" i="1"/>
  <c r="AT6" i="1"/>
  <c r="AD13" i="1" l="1"/>
  <c r="S13" i="1"/>
  <c r="Q13" i="1"/>
  <c r="O13" i="1"/>
  <c r="M13" i="1"/>
  <c r="J13" i="1"/>
  <c r="G13" i="1"/>
  <c r="AD12" i="1"/>
  <c r="S12" i="1"/>
  <c r="Q12" i="1"/>
  <c r="O12" i="1"/>
  <c r="M12" i="1"/>
  <c r="J12" i="1"/>
  <c r="G12" i="1"/>
  <c r="AD11" i="1"/>
  <c r="S11" i="1"/>
  <c r="Q11" i="1"/>
  <c r="O11" i="1"/>
  <c r="M11" i="1"/>
  <c r="J11" i="1"/>
  <c r="G11" i="1"/>
  <c r="AD10" i="1"/>
  <c r="S10" i="1"/>
  <c r="Q10" i="1"/>
  <c r="O10" i="1"/>
  <c r="M10" i="1"/>
  <c r="J10" i="1"/>
  <c r="G10" i="1"/>
  <c r="AD9" i="1"/>
  <c r="S9" i="1"/>
  <c r="Q9" i="1"/>
  <c r="O9" i="1"/>
  <c r="M9" i="1"/>
  <c r="J9" i="1"/>
  <c r="G9" i="1"/>
  <c r="AD8" i="1"/>
  <c r="S8" i="1"/>
  <c r="Q8" i="1"/>
  <c r="O8" i="1"/>
  <c r="M8" i="1"/>
  <c r="J8" i="1"/>
  <c r="G8" i="1"/>
  <c r="AD7" i="1"/>
  <c r="S7" i="1"/>
  <c r="Q7" i="1"/>
  <c r="O7" i="1"/>
  <c r="M7" i="1"/>
  <c r="J7" i="1"/>
  <c r="G7" i="1"/>
  <c r="AD6" i="1"/>
  <c r="S6" i="1"/>
  <c r="Q6" i="1"/>
  <c r="O6" i="1"/>
  <c r="M6" i="1"/>
  <c r="J6" i="1"/>
  <c r="G6" i="1"/>
  <c r="AD5" i="1"/>
  <c r="S5" i="1"/>
  <c r="O5" i="1"/>
  <c r="M5" i="1"/>
  <c r="J5" i="1"/>
  <c r="G5" i="1"/>
  <c r="AD4" i="1"/>
  <c r="AB4" i="1"/>
  <c r="S4" i="1"/>
  <c r="O4" i="1"/>
  <c r="M4" i="1"/>
  <c r="G4" i="1"/>
</calcChain>
</file>

<file path=xl/comments1.xml><?xml version="1.0" encoding="utf-8"?>
<comments xmlns="http://schemas.openxmlformats.org/spreadsheetml/2006/main">
  <authors>
    <author>Administrator</author>
    <author>HP</author>
    <author>Admin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Vui lòng nhập đúng định dạng YYYYMMDD
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 xml:space="preserve">Vui lòng chọn:
01: Nam
02: Nữ
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>Nhập tối đa 10 ký tự</t>
        </r>
      </text>
    </comment>
    <comment ref="L3" authorId="1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>Vui lòng chọn
Y: Cư trú
N: Không cư trú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 xml:space="preserve">Vui lòng chọn:
1001: Cá nhân
5012: Khác
</t>
        </r>
      </text>
    </comment>
    <comment ref="O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Vui lòng chọn: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101: Tư nhân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104: Cá nhân EKYC
105: Cá nhân ATM EKYC
</t>
        </r>
      </text>
    </comment>
    <comment ref="Q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>Vui lòng chọn
01: Công nhân
02: Bác sỹ
03: Sinh viên
04: Nông dân
05: Công nhân/Viên chức
06: Giáo viên
07: Nhân viên
99: Khác</t>
        </r>
      </text>
    </comment>
    <comment ref="W3" authorId="0" shapeId="0">
      <text>
        <r>
          <rPr>
            <b/>
            <sz val="9"/>
            <color indexed="81"/>
            <rFont val="Tahoma"/>
            <family val="2"/>
          </rPr>
          <t xml:space="preserve">HP: 
</t>
        </r>
        <r>
          <rPr>
            <sz val="9"/>
            <color indexed="81"/>
            <rFont val="Tahoma"/>
            <family val="2"/>
          </rPr>
          <t>Nhập ngày cấp theo định dạng YYYYMMDD</t>
        </r>
      </text>
    </comment>
    <comment ref="X3" authorId="0" shapeId="0">
      <text>
        <r>
          <rPr>
            <b/>
            <sz val="9"/>
            <color indexed="81"/>
            <rFont val="Tahoma"/>
            <family val="2"/>
          </rPr>
          <t xml:space="preserve">HP: </t>
        </r>
        <r>
          <rPr>
            <sz val="9"/>
            <color indexed="81"/>
            <rFont val="Tahoma"/>
            <family val="2"/>
          </rPr>
          <t xml:space="preserve">
Nhập ngày hết hạn theo định dạng YYYYMMDD</t>
        </r>
      </text>
    </comment>
    <comment ref="AB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Vui lòng chọn:
01: Nơi ở
02: Nơi làm việc
</t>
        </r>
      </text>
    </comment>
    <comment ref="AN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 xml:space="preserve">Y: Đăng ký mở tài khoản
Bỏ trống: Không đăng ký mở tài khoản
</t>
        </r>
      </text>
    </comment>
    <comment ref="AO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 xml:space="preserve">Nhập mã sản phẩm tài khoản cần mở
</t>
        </r>
      </text>
    </comment>
    <comment ref="AP3" authorId="2" shapeId="0">
      <text>
        <r>
          <rPr>
            <b/>
            <sz val="9"/>
            <color indexed="81"/>
            <rFont val="Tahoma"/>
            <family val="2"/>
          </rPr>
          <t>Admin:
- Nhập tối đa 200 ký tự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>Y: Đăng ký SMS
Bỏ trống: Không đăng ký SMS</t>
        </r>
      </text>
    </comment>
    <comment ref="AR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>Y: Đăng ký Agribankplus
Bỏ trống: Không đăng kýAgribankplus</t>
        </r>
      </text>
    </comment>
    <comment ref="AS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>Y: Đăng ký phát hành thẻ
Bỏ trống: Không đăng kýphát hành thẻ</t>
        </r>
      </text>
    </comment>
    <comment ref="AT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 xml:space="preserve">Vui lòng chọn loại thẻ cần phát hành
</t>
        </r>
      </text>
    </comment>
    <comment ref="AV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Vui lòng chọn giá trị:
SITE: Nhận tại ngân hàng
POST: Nhận tại bưu điện
</t>
        </r>
      </text>
    </comment>
    <comment ref="AW3" authorId="0" shapeId="0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>Vui lòng chọn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NORMAL: Thường
FAST: Nhanh
</t>
        </r>
      </text>
    </comment>
    <comment ref="AX3" authorId="2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Vui lòng chọn: 
1: Có
0: Không
</t>
        </r>
      </text>
    </comment>
  </commentList>
</comments>
</file>

<file path=xl/sharedStrings.xml><?xml version="1.0" encoding="utf-8"?>
<sst xmlns="http://schemas.openxmlformats.org/spreadsheetml/2006/main" count="18226" uniqueCount="13842">
  <si>
    <t>KHÁCH HÀNG</t>
  </si>
  <si>
    <t>Phát hành thẻ ghi nợ</t>
  </si>
  <si>
    <t>STT</t>
  </si>
  <si>
    <t>Vô thời hạn</t>
  </si>
  <si>
    <t>Địa chỉ 2</t>
  </si>
  <si>
    <t>Địa chỉ 3</t>
  </si>
  <si>
    <t>Đăng ký TKTT</t>
  </si>
  <si>
    <t>Loại sản phẩm</t>
  </si>
  <si>
    <t>Đăng ký SMS</t>
  </si>
  <si>
    <t>Đăng ký AgribankPlus</t>
  </si>
  <si>
    <t>1</t>
  </si>
  <si>
    <t>20000901</t>
  </si>
  <si>
    <t>Nữ</t>
  </si>
  <si>
    <t>VIETNAM</t>
  </si>
  <si>
    <t>Y</t>
  </si>
  <si>
    <t>Cá nhân</t>
  </si>
  <si>
    <t>Tư nhân</t>
  </si>
  <si>
    <t>Nhân viên</t>
  </si>
  <si>
    <t>Chứng minh thư/Thẻ căn cước công dân</t>
  </si>
  <si>
    <t>20240901</t>
  </si>
  <si>
    <t>N</t>
  </si>
  <si>
    <t>Cục CSQLHC về TTXH</t>
  </si>
  <si>
    <t>Nơi ở</t>
  </si>
  <si>
    <t>Thành phố Hà Nội</t>
  </si>
  <si>
    <t>205</t>
  </si>
  <si>
    <t>2</t>
  </si>
  <si>
    <t>3</t>
  </si>
  <si>
    <t>Nam</t>
  </si>
  <si>
    <t>4</t>
  </si>
  <si>
    <t>5</t>
  </si>
  <si>
    <t>6</t>
  </si>
  <si>
    <t>7</t>
  </si>
  <si>
    <t>8</t>
  </si>
  <si>
    <t>9</t>
  </si>
  <si>
    <t>10</t>
  </si>
  <si>
    <t>Code</t>
  </si>
  <si>
    <t>Name</t>
  </si>
  <si>
    <t>01</t>
  </si>
  <si>
    <t>02</t>
  </si>
  <si>
    <t>CODE</t>
  </si>
  <si>
    <t>NAME</t>
  </si>
  <si>
    <t>Nơi làm việc</t>
  </si>
  <si>
    <t>1001</t>
  </si>
  <si>
    <t>5012</t>
  </si>
  <si>
    <t>Khác</t>
  </si>
  <si>
    <t>101</t>
  </si>
  <si>
    <t>104</t>
  </si>
  <si>
    <t>Cá nhân EKYC</t>
  </si>
  <si>
    <t>105</t>
  </si>
  <si>
    <t>Cá nhân ATM EKYC</t>
  </si>
  <si>
    <t>07</t>
  </si>
  <si>
    <t>06</t>
  </si>
  <si>
    <t>Giáo viên</t>
  </si>
  <si>
    <t>Công nhân</t>
  </si>
  <si>
    <t>Bác sỹ</t>
  </si>
  <si>
    <t>03</t>
  </si>
  <si>
    <t>Sinh viên</t>
  </si>
  <si>
    <t>04</t>
  </si>
  <si>
    <t>Nông dân</t>
  </si>
  <si>
    <t>05</t>
  </si>
  <si>
    <t>Công chức/Viên chức</t>
  </si>
  <si>
    <t>99</t>
  </si>
  <si>
    <t>001</t>
  </si>
  <si>
    <t>Văn phòng Chủ tịch nước</t>
  </si>
  <si>
    <t>002</t>
  </si>
  <si>
    <t>Văn phòng quốc hội</t>
  </si>
  <si>
    <t>003</t>
  </si>
  <si>
    <t>Văn phòng Chính phủ</t>
  </si>
  <si>
    <t>004</t>
  </si>
  <si>
    <t>Bộ Công An</t>
  </si>
  <si>
    <t>005</t>
  </si>
  <si>
    <t>Bộ Quốc phòng</t>
  </si>
  <si>
    <t>006</t>
  </si>
  <si>
    <t>Bộ Ngoại giao</t>
  </si>
  <si>
    <t>007</t>
  </si>
  <si>
    <t>Bộ NN và PTNT</t>
  </si>
  <si>
    <t>008</t>
  </si>
  <si>
    <t>Bộ Kế hoạch và Đầu tư</t>
  </si>
  <si>
    <t>009</t>
  </si>
  <si>
    <t>Bộ tư pháp</t>
  </si>
  <si>
    <t>010</t>
  </si>
  <si>
    <t>Bộ Thuỷ sản</t>
  </si>
  <si>
    <t>011</t>
  </si>
  <si>
    <t>Bộ Công nghiệp</t>
  </si>
  <si>
    <t>012</t>
  </si>
  <si>
    <t>Bộ Khoa học công nghệ</t>
  </si>
  <si>
    <t>013</t>
  </si>
  <si>
    <t>Bộ Tài chính</t>
  </si>
  <si>
    <t>014</t>
  </si>
  <si>
    <t>Bộ Xây dựng</t>
  </si>
  <si>
    <t>015</t>
  </si>
  <si>
    <t>Bộ Thương mại</t>
  </si>
  <si>
    <t>016</t>
  </si>
  <si>
    <t>Bộ giao thông vận tải</t>
  </si>
  <si>
    <t>017</t>
  </si>
  <si>
    <t>Bộ giáo dục và đào tạo</t>
  </si>
  <si>
    <t>018</t>
  </si>
  <si>
    <t>Bộ Y tế</t>
  </si>
  <si>
    <t>019</t>
  </si>
  <si>
    <t>Bộ LĐ và TBXH</t>
  </si>
  <si>
    <t>020</t>
  </si>
  <si>
    <t>Bộ Văn hoá và thông tin</t>
  </si>
  <si>
    <t>021</t>
  </si>
  <si>
    <t>Bộ Nội vụ</t>
  </si>
  <si>
    <t>022</t>
  </si>
  <si>
    <t>Bộ tài nguyên môi trường</t>
  </si>
  <si>
    <t>023</t>
  </si>
  <si>
    <t>Bộ Bưu chính viễn thông</t>
  </si>
  <si>
    <t>024</t>
  </si>
  <si>
    <t>NHNN Việt Nam</t>
  </si>
  <si>
    <t>025</t>
  </si>
  <si>
    <t>Tổng thanh tra Nhà nước</t>
  </si>
  <si>
    <t>026</t>
  </si>
  <si>
    <t>Đài tiếng nói Việt Nam</t>
  </si>
  <si>
    <t>027</t>
  </si>
  <si>
    <t>Đài Truyền hình Việt Nam</t>
  </si>
  <si>
    <t>028</t>
  </si>
  <si>
    <t>Thông tấn xã Việt Nam</t>
  </si>
  <si>
    <t>029</t>
  </si>
  <si>
    <t>Hội đồng LM các HTX Việt nam</t>
  </si>
  <si>
    <t>030</t>
  </si>
  <si>
    <t>Phòng TM và CN Việt Nam</t>
  </si>
  <si>
    <t>031</t>
  </si>
  <si>
    <t>Tổng cục Hải quan</t>
  </si>
  <si>
    <t>032</t>
  </si>
  <si>
    <t>Tổng cục địa chính</t>
  </si>
  <si>
    <t>033</t>
  </si>
  <si>
    <t>Tổng cục khí tượng thủy văn</t>
  </si>
  <si>
    <t>034</t>
  </si>
  <si>
    <t>Tổng cục thống kê</t>
  </si>
  <si>
    <t>035</t>
  </si>
  <si>
    <t>Tổng cục Bưu điện</t>
  </si>
  <si>
    <t>036</t>
  </si>
  <si>
    <t>Tổng cục Du lịch</t>
  </si>
  <si>
    <t>037</t>
  </si>
  <si>
    <t>Tổng cục thể dục thể thao</t>
  </si>
  <si>
    <t>038</t>
  </si>
  <si>
    <t>Tổng cục TCĐL và CL</t>
  </si>
  <si>
    <t>039</t>
  </si>
  <si>
    <t>Tổng cục Dầu khí</t>
  </si>
  <si>
    <t>040</t>
  </si>
  <si>
    <t>Cục Hàng hải Việt Nam</t>
  </si>
  <si>
    <t>041</t>
  </si>
  <si>
    <t>Cục HK dân dụng Việt Nam</t>
  </si>
  <si>
    <t>042</t>
  </si>
  <si>
    <t>Cục dự trữ quốc gia</t>
  </si>
  <si>
    <t>043</t>
  </si>
  <si>
    <t>UB chứng khoán Nhà nước</t>
  </si>
  <si>
    <t>044</t>
  </si>
  <si>
    <t>UB Dân tộc</t>
  </si>
  <si>
    <t>045</t>
  </si>
  <si>
    <t>UB Dân số gia đình và trẻ em</t>
  </si>
  <si>
    <t>046</t>
  </si>
  <si>
    <t>Ban Tài chính - Quản trị Trung ương</t>
  </si>
  <si>
    <t>047</t>
  </si>
  <si>
    <t>UB Mặt trận Tổ quốc Việt Nam</t>
  </si>
  <si>
    <t>048</t>
  </si>
  <si>
    <t>Trung ương Đoàn TNCS HCM</t>
  </si>
  <si>
    <t>049</t>
  </si>
  <si>
    <t>Trung ương Hội LHPN Việt nam</t>
  </si>
  <si>
    <t>050</t>
  </si>
  <si>
    <t>Hội nông dân Việt nam</t>
  </si>
  <si>
    <t>051</t>
  </si>
  <si>
    <t>Hội cựu chiến binh Việt Nam</t>
  </si>
  <si>
    <t>052</t>
  </si>
  <si>
    <t>Tổng liên đoàn LĐ Việt nam</t>
  </si>
  <si>
    <t>053</t>
  </si>
  <si>
    <t>UBND TP Hà Nội</t>
  </si>
  <si>
    <t>054</t>
  </si>
  <si>
    <t>UBND Tỉnh Tuyên Quang</t>
  </si>
  <si>
    <t>055</t>
  </si>
  <si>
    <t>UBND Tỉnh Hà Giang</t>
  </si>
  <si>
    <t>056</t>
  </si>
  <si>
    <t>UBND Tỉnh Cao Bằng</t>
  </si>
  <si>
    <t>057</t>
  </si>
  <si>
    <t>UBND Tỉnh Lạng Sơn</t>
  </si>
  <si>
    <t>058</t>
  </si>
  <si>
    <t>UBND Tỉnh Bắc Cạn</t>
  </si>
  <si>
    <t>059</t>
  </si>
  <si>
    <t>UBND Tỉnh Thái Nguyên</t>
  </si>
  <si>
    <t>060</t>
  </si>
  <si>
    <t>UBND Tỉnh Yên Bái</t>
  </si>
  <si>
    <t>061</t>
  </si>
  <si>
    <t>UBND Tỉnh Lào Cai</t>
  </si>
  <si>
    <t>062</t>
  </si>
  <si>
    <t>UBND Tỉnh Lai Châu</t>
  </si>
  <si>
    <t>063</t>
  </si>
  <si>
    <t>UBND Tỉnh Sơn La</t>
  </si>
  <si>
    <t>064</t>
  </si>
  <si>
    <t>UBND Tỉnh Quảng Ninh</t>
  </si>
  <si>
    <t>065</t>
  </si>
  <si>
    <t>UBND TP Hải Phòng</t>
  </si>
  <si>
    <t>066</t>
  </si>
  <si>
    <t>UBND Tỉnh Hải Dương</t>
  </si>
  <si>
    <t>067</t>
  </si>
  <si>
    <t>UBND Tỉnh Hưng Yên</t>
  </si>
  <si>
    <t>068</t>
  </si>
  <si>
    <t>UBND Tỉnh Bắc Giang</t>
  </si>
  <si>
    <t>069</t>
  </si>
  <si>
    <t>UBND Tỉnh Bắc Ninh</t>
  </si>
  <si>
    <t>070</t>
  </si>
  <si>
    <t>UBND Tỉnh Phú Thọ</t>
  </si>
  <si>
    <t>071</t>
  </si>
  <si>
    <t>UBND Tỉnh Vĩnh Phúc</t>
  </si>
  <si>
    <t>072</t>
  </si>
  <si>
    <t>UBND Tỉnh Hà Tây</t>
  </si>
  <si>
    <t>073</t>
  </si>
  <si>
    <t>UBND Tỉnh Hoà Bình</t>
  </si>
  <si>
    <t>074</t>
  </si>
  <si>
    <t>UBND Tỉnh Hà Nam</t>
  </si>
  <si>
    <t>075</t>
  </si>
  <si>
    <t>UBND Tỉnh Nam Định</t>
  </si>
  <si>
    <t>076</t>
  </si>
  <si>
    <t>UBND Tỉnh Ninh Bình</t>
  </si>
  <si>
    <t>077</t>
  </si>
  <si>
    <t>UBND Tỉnh Thái Bình</t>
  </si>
  <si>
    <t>078</t>
  </si>
  <si>
    <t>UBND Tỉnh Thanh Hoá</t>
  </si>
  <si>
    <t>079</t>
  </si>
  <si>
    <t>UBND Tỉnh Nghệ An</t>
  </si>
  <si>
    <t>080</t>
  </si>
  <si>
    <t>UBND Tỉnh Hà Tĩnh</t>
  </si>
  <si>
    <t>081</t>
  </si>
  <si>
    <t>UBND Tỉnh Quảng Bình</t>
  </si>
  <si>
    <t>082</t>
  </si>
  <si>
    <t>UBND Tỉnh Quảng Trị</t>
  </si>
  <si>
    <t>083</t>
  </si>
  <si>
    <t>UBND Tỉnh Thừa Thiên Huế</t>
  </si>
  <si>
    <t>084</t>
  </si>
  <si>
    <t>UBND TP Hồ Chí Minh</t>
  </si>
  <si>
    <t>085</t>
  </si>
  <si>
    <t>UBND TP Đà Nẵng</t>
  </si>
  <si>
    <t>086</t>
  </si>
  <si>
    <t>UBND Tỉnh Quảng Nam</t>
  </si>
  <si>
    <t>087</t>
  </si>
  <si>
    <t>UBND Tỉnh Quảng Ngãi</t>
  </si>
  <si>
    <t>088</t>
  </si>
  <si>
    <t>UBND Tỉnh Bình Định</t>
  </si>
  <si>
    <t>089</t>
  </si>
  <si>
    <t>UBND Tỉnh Phú Yên</t>
  </si>
  <si>
    <t>090</t>
  </si>
  <si>
    <t>UBND Tỉnh Khánh Hoà</t>
  </si>
  <si>
    <t>091</t>
  </si>
  <si>
    <t>UBND Tỉnh Bình Thuận</t>
  </si>
  <si>
    <t>092</t>
  </si>
  <si>
    <t>UBND Tỉnh Ninh Thuận</t>
  </si>
  <si>
    <t>093</t>
  </si>
  <si>
    <t>UBND Tỉnh Gia Lai</t>
  </si>
  <si>
    <t>094</t>
  </si>
  <si>
    <t>UBND Tỉnh Kon Tum</t>
  </si>
  <si>
    <t>095</t>
  </si>
  <si>
    <t>UBND Tỉnh Đắk Lắk</t>
  </si>
  <si>
    <t>096</t>
  </si>
  <si>
    <t>UBND Tỉnh Lâm Đồng</t>
  </si>
  <si>
    <t>097</t>
  </si>
  <si>
    <t>UBND Tỉnh Bình Dương</t>
  </si>
  <si>
    <t>098</t>
  </si>
  <si>
    <t>UBND Tỉnh Bình Phước</t>
  </si>
  <si>
    <t>099</t>
  </si>
  <si>
    <t>UBND Tỉnh Tây Ninh</t>
  </si>
  <si>
    <t>100</t>
  </si>
  <si>
    <t>UBND Tỉnh Đồng Nai</t>
  </si>
  <si>
    <t>UBND Tỉnh Bà Rịa Vũng Tàu</t>
  </si>
  <si>
    <t>102</t>
  </si>
  <si>
    <t>UBND Tỉnh Long An</t>
  </si>
  <si>
    <t>103</t>
  </si>
  <si>
    <t>UBND Tỉnh Đồng Tháp</t>
  </si>
  <si>
    <t>UBND Tỉnh An Giang</t>
  </si>
  <si>
    <t>UBND Tỉnh Tiền Giang</t>
  </si>
  <si>
    <t>106</t>
  </si>
  <si>
    <t>UBND Tỉnh Bến Tre</t>
  </si>
  <si>
    <t>107</t>
  </si>
  <si>
    <t>UBND Tỉnh Vĩnh Long</t>
  </si>
  <si>
    <t>108</t>
  </si>
  <si>
    <t>UBND Tỉnh Trà Vinh</t>
  </si>
  <si>
    <t>109</t>
  </si>
  <si>
    <t>UBND TP Cần Thơ</t>
  </si>
  <si>
    <t>110</t>
  </si>
  <si>
    <t>UBND Tỉnh Sóc Trăng</t>
  </si>
  <si>
    <t>111</t>
  </si>
  <si>
    <t>UBND Tỉnh Kiên Giang</t>
  </si>
  <si>
    <t>112</t>
  </si>
  <si>
    <t>UBND Tỉnh Bạc Liêu</t>
  </si>
  <si>
    <t>113</t>
  </si>
  <si>
    <t>UBND Tỉnh Cà Mau</t>
  </si>
  <si>
    <t>114</t>
  </si>
  <si>
    <t>Công an TP Hà Nội</t>
  </si>
  <si>
    <t>115</t>
  </si>
  <si>
    <t>Công an Tỉnh Tuyên Quang</t>
  </si>
  <si>
    <t>116</t>
  </si>
  <si>
    <t>Công an Tỉnh Hà Giang</t>
  </si>
  <si>
    <t>117</t>
  </si>
  <si>
    <t>Công an Tỉnh Cao Bằng</t>
  </si>
  <si>
    <t>118</t>
  </si>
  <si>
    <t>Công an Tỉnh Lạng Sơn</t>
  </si>
  <si>
    <t>119</t>
  </si>
  <si>
    <t>Công an Tỉnh Bắc Kạn</t>
  </si>
  <si>
    <t>120</t>
  </si>
  <si>
    <t>Công an Tỉnh Thái Nguyên</t>
  </si>
  <si>
    <t>121</t>
  </si>
  <si>
    <t>Công an Tỉnh Yên Bái</t>
  </si>
  <si>
    <t>122</t>
  </si>
  <si>
    <t>Công an Tỉnh Lào Cai</t>
  </si>
  <si>
    <t>123</t>
  </si>
  <si>
    <t>Công an Tỉnh Lai Châu</t>
  </si>
  <si>
    <t>124</t>
  </si>
  <si>
    <t>Công an Tỉnh Sơn La</t>
  </si>
  <si>
    <t>125</t>
  </si>
  <si>
    <t>Công an Tỉnh Quảng Ninh</t>
  </si>
  <si>
    <t>126</t>
  </si>
  <si>
    <t>Công an TP Hải Phòng</t>
  </si>
  <si>
    <t>127</t>
  </si>
  <si>
    <t>Công an Tỉnh Hải Dương</t>
  </si>
  <si>
    <t>128</t>
  </si>
  <si>
    <t>Công an Tỉnh Hưng Yên</t>
  </si>
  <si>
    <t>129</t>
  </si>
  <si>
    <t>Công an Tỉnh Bắc Giang</t>
  </si>
  <si>
    <t>130</t>
  </si>
  <si>
    <t>Công an Tỉnh Bắc Ninh</t>
  </si>
  <si>
    <t>131</t>
  </si>
  <si>
    <t>Công an Tỉnh Phú Thọ</t>
  </si>
  <si>
    <t>132</t>
  </si>
  <si>
    <t>Công an Tỉnh Vĩnh Phúc</t>
  </si>
  <si>
    <t>133</t>
  </si>
  <si>
    <t>Công an Tỉnh Hà Tây</t>
  </si>
  <si>
    <t>134</t>
  </si>
  <si>
    <t>Công an Tỉnh Hoà Bình</t>
  </si>
  <si>
    <t>135</t>
  </si>
  <si>
    <t>Công an Tỉnh Hà Nam</t>
  </si>
  <si>
    <t>136</t>
  </si>
  <si>
    <t>Công an Tỉnh Nam Định</t>
  </si>
  <si>
    <t>137</t>
  </si>
  <si>
    <t>Công an Tỉnh Ninh Bình</t>
  </si>
  <si>
    <t>138</t>
  </si>
  <si>
    <t>Công an Tỉnh Thái Bình</t>
  </si>
  <si>
    <t>139</t>
  </si>
  <si>
    <t>Công an Tỉnh Thanh Hoá</t>
  </si>
  <si>
    <t>140</t>
  </si>
  <si>
    <t>Công an Tỉnh Nghệ An</t>
  </si>
  <si>
    <t>141</t>
  </si>
  <si>
    <t>Công an Tỉnh Hà Tĩnh</t>
  </si>
  <si>
    <t>142</t>
  </si>
  <si>
    <t>Công an Tỉnh Quảng Bình</t>
  </si>
  <si>
    <t>143</t>
  </si>
  <si>
    <t>Công an Tỉnh Quảng Trị</t>
  </si>
  <si>
    <t>144</t>
  </si>
  <si>
    <t>Công an Tỉnh Thừa Thiên Huế</t>
  </si>
  <si>
    <t>145</t>
  </si>
  <si>
    <t>Công an TP Hồ Chí Minh</t>
  </si>
  <si>
    <t>146</t>
  </si>
  <si>
    <t>Công an TP Đà Nẵng</t>
  </si>
  <si>
    <t>147</t>
  </si>
  <si>
    <t>Công an Tỉnh Quảng Nam</t>
  </si>
  <si>
    <t>148</t>
  </si>
  <si>
    <t>Công an Tỉnh Quảng Ngãi</t>
  </si>
  <si>
    <t>149</t>
  </si>
  <si>
    <t>Công an tỉnh Bình Định</t>
  </si>
  <si>
    <t>150</t>
  </si>
  <si>
    <t>Công an Tỉnh Phú Yên</t>
  </si>
  <si>
    <t>151</t>
  </si>
  <si>
    <t>Công an Tỉnh Khánh Hoà</t>
  </si>
  <si>
    <t>152</t>
  </si>
  <si>
    <t>Công an Tỉnh Bình Thuận</t>
  </si>
  <si>
    <t>153</t>
  </si>
  <si>
    <t>Công an Tỉnh Ninh Thuận</t>
  </si>
  <si>
    <t>154</t>
  </si>
  <si>
    <t>Công an Tỉnh Gia Lai</t>
  </si>
  <si>
    <t>155</t>
  </si>
  <si>
    <t>Công an Tỉnh Kon Tum</t>
  </si>
  <si>
    <t>156</t>
  </si>
  <si>
    <t>Công an Tỉnh Đắk Lắk</t>
  </si>
  <si>
    <t>157</t>
  </si>
  <si>
    <t>Công an Tỉnh Lâm Đồng</t>
  </si>
  <si>
    <t>158</t>
  </si>
  <si>
    <t>Công an Tỉnh Bình Dương</t>
  </si>
  <si>
    <t>159</t>
  </si>
  <si>
    <t>Công an Tỉnh Bình Phước</t>
  </si>
  <si>
    <t>160</t>
  </si>
  <si>
    <t>Công an Tỉnh Tây Ninh</t>
  </si>
  <si>
    <t>161</t>
  </si>
  <si>
    <t>Công an Tỉnh Đồng Nai</t>
  </si>
  <si>
    <t>162</t>
  </si>
  <si>
    <t>Công an Tỉnh Bà Rịa Vũng Tàu</t>
  </si>
  <si>
    <t>163</t>
  </si>
  <si>
    <t>Công an Tỉnh Long An</t>
  </si>
  <si>
    <t>164</t>
  </si>
  <si>
    <t>Công an Tỉnh Đồng Tháp</t>
  </si>
  <si>
    <t>165</t>
  </si>
  <si>
    <t>Công an Tỉnh An Giang</t>
  </si>
  <si>
    <t>166</t>
  </si>
  <si>
    <t>Công an Tỉnh Tiền Giang</t>
  </si>
  <si>
    <t>167</t>
  </si>
  <si>
    <t>Công an Tỉnh Bến Tre</t>
  </si>
  <si>
    <t>168</t>
  </si>
  <si>
    <t>Công an Tỉnh Vĩnh Long</t>
  </si>
  <si>
    <t>169</t>
  </si>
  <si>
    <t>Hội liên hiệp Phụ nữ Việt Nam</t>
  </si>
  <si>
    <t>170</t>
  </si>
  <si>
    <t>Công an Tỉnh Trà Vinh</t>
  </si>
  <si>
    <t>171</t>
  </si>
  <si>
    <t>Công an TP Cần Thơ</t>
  </si>
  <si>
    <t>172</t>
  </si>
  <si>
    <t>Công an Tỉnh Sóc Trăng</t>
  </si>
  <si>
    <t>173</t>
  </si>
  <si>
    <t>Công an Tỉnh Kiên Giang</t>
  </si>
  <si>
    <t>174</t>
  </si>
  <si>
    <t>Công an Tỉnh Bạc Liêu</t>
  </si>
  <si>
    <t>175</t>
  </si>
  <si>
    <t>Công an Tỉnh Cà Mau</t>
  </si>
  <si>
    <t>176</t>
  </si>
  <si>
    <t>Cục thuế TP Hà Nội</t>
  </si>
  <si>
    <t>177</t>
  </si>
  <si>
    <t>Cục thuế Tỉnh Tuyên Quang</t>
  </si>
  <si>
    <t>178</t>
  </si>
  <si>
    <t>Cục thuế Tỉnh Hà Giang</t>
  </si>
  <si>
    <t>179</t>
  </si>
  <si>
    <t>Cục thuế Tỉnh Cao Bằng</t>
  </si>
  <si>
    <t>180</t>
  </si>
  <si>
    <t>Cục thuế Tỉnh Lạng sơn</t>
  </si>
  <si>
    <t>181</t>
  </si>
  <si>
    <t>Cục thuế Tỉnh Bắc Kạn</t>
  </si>
  <si>
    <t>182</t>
  </si>
  <si>
    <t>Cục thuế Tỉnh Thái Nguyên</t>
  </si>
  <si>
    <t>183</t>
  </si>
  <si>
    <t>Cục thuế Tỉnh Yên Bái</t>
  </si>
  <si>
    <t>184</t>
  </si>
  <si>
    <t>Cục thuế Tỉnh Lào Cai</t>
  </si>
  <si>
    <t>185</t>
  </si>
  <si>
    <t>Cục thuế Tỉnh Lai Châu</t>
  </si>
  <si>
    <t>186</t>
  </si>
  <si>
    <t>Cục thuế Tỉnh Sơn La</t>
  </si>
  <si>
    <t>187</t>
  </si>
  <si>
    <t>Cục thuế Tỉnh Quảng Ninh</t>
  </si>
  <si>
    <t>188</t>
  </si>
  <si>
    <t>Cục thuế TP Hải Phòng</t>
  </si>
  <si>
    <t>189</t>
  </si>
  <si>
    <t>Cục thuế Tỉnh Hải Dương</t>
  </si>
  <si>
    <t>190</t>
  </si>
  <si>
    <t>Cục thuế Tỉnh Hưng Yên</t>
  </si>
  <si>
    <t>191</t>
  </si>
  <si>
    <t>Cục thuế Tỉnh Bắc Giang</t>
  </si>
  <si>
    <t>192</t>
  </si>
  <si>
    <t>Cục thuế Tỉnh Bắc Ninh</t>
  </si>
  <si>
    <t>193</t>
  </si>
  <si>
    <t>Cục thuế Tỉnh Phú Thọ</t>
  </si>
  <si>
    <t>194</t>
  </si>
  <si>
    <t>Cục thuế Tỉnh Vĩnh Phúc</t>
  </si>
  <si>
    <t>195</t>
  </si>
  <si>
    <t>Cục thuế Tỉnh Hà Tây</t>
  </si>
  <si>
    <t>196</t>
  </si>
  <si>
    <t>Cục thuế Tỉnh Hoà Bình</t>
  </si>
  <si>
    <t>197</t>
  </si>
  <si>
    <t>Cục thuế Tỉnh Hà Nam</t>
  </si>
  <si>
    <t>198</t>
  </si>
  <si>
    <t>Cục thuế Tỉnh Nam Định</t>
  </si>
  <si>
    <t>199</t>
  </si>
  <si>
    <t>Cục thuế Tỉnh Ninh Bình</t>
  </si>
  <si>
    <t>200</t>
  </si>
  <si>
    <t>Cục thuế Tỉnh Thái Bình</t>
  </si>
  <si>
    <t>201</t>
  </si>
  <si>
    <t>Cục thuế Tỉnh Thanh Hoá</t>
  </si>
  <si>
    <t>202</t>
  </si>
  <si>
    <t>Cục thuế Tỉnh Nghệ An</t>
  </si>
  <si>
    <t>203</t>
  </si>
  <si>
    <t>Cục thuế Tỉnh Hà Tĩnh</t>
  </si>
  <si>
    <t>204</t>
  </si>
  <si>
    <t>Cục thuế Tỉnh Quảng Bình</t>
  </si>
  <si>
    <t>Cục thuế Tỉnh Quảng Trị</t>
  </si>
  <si>
    <t>206</t>
  </si>
  <si>
    <t>Cục thuế Tỉnh Thừa Thiên Huế</t>
  </si>
  <si>
    <t>207</t>
  </si>
  <si>
    <t>Cục thuế TP Hồ Chí Minh</t>
  </si>
  <si>
    <t>208</t>
  </si>
  <si>
    <t>Cục thuế TP Đà Nẵng</t>
  </si>
  <si>
    <t>209</t>
  </si>
  <si>
    <t>Cục thuế Tỉnh Quảng Nam</t>
  </si>
  <si>
    <t>210</t>
  </si>
  <si>
    <t>Cục thuế Tỉnh Quảng Ngãi</t>
  </si>
  <si>
    <t>211</t>
  </si>
  <si>
    <t>Cục thuế Tỉnh Bình Định</t>
  </si>
  <si>
    <t>212</t>
  </si>
  <si>
    <t>Cục thuế Tỉnh Phú Yên</t>
  </si>
  <si>
    <t>213</t>
  </si>
  <si>
    <t>Cục thuế Tỉnh Khánh Hoà</t>
  </si>
  <si>
    <t>214</t>
  </si>
  <si>
    <t>Cục thuế Tỉnh Bình Thuận</t>
  </si>
  <si>
    <t>215</t>
  </si>
  <si>
    <t>Cục thuế Tỉnh Ninh Thuận</t>
  </si>
  <si>
    <t>216</t>
  </si>
  <si>
    <t>Cục thuế Tỉnh Gia Lai</t>
  </si>
  <si>
    <t>217</t>
  </si>
  <si>
    <t>Cục thuế Tỉnh Kon Tum</t>
  </si>
  <si>
    <t>218</t>
  </si>
  <si>
    <t>Cục thuế Tỉnh Đắk Lắk</t>
  </si>
  <si>
    <t>219</t>
  </si>
  <si>
    <t>Cục thuế Tỉnh Lâm Đồng</t>
  </si>
  <si>
    <t>220</t>
  </si>
  <si>
    <t>Cục thuế Tỉnh Bình Dương</t>
  </si>
  <si>
    <t>221</t>
  </si>
  <si>
    <t>Cục thuế Tỉnh Bình Phước</t>
  </si>
  <si>
    <t>222</t>
  </si>
  <si>
    <t>Cục thuế Tỉnh Tây Ninh</t>
  </si>
  <si>
    <t>223</t>
  </si>
  <si>
    <t>Cục thuế Tỉnh Đồng Nai</t>
  </si>
  <si>
    <t>224</t>
  </si>
  <si>
    <t>Cục thuế Tỉnh Bà Rịa Vũng Tàu</t>
  </si>
  <si>
    <t>225</t>
  </si>
  <si>
    <t>Cục thuế Tỉnh Long An</t>
  </si>
  <si>
    <t>226</t>
  </si>
  <si>
    <t>Cục thuế Tỉnh Đồng Tháp</t>
  </si>
  <si>
    <t>227</t>
  </si>
  <si>
    <t>Cục thuế Tỉnh An Giang</t>
  </si>
  <si>
    <t>228</t>
  </si>
  <si>
    <t>Cục thuế Tỉnh Tiền Giang</t>
  </si>
  <si>
    <t>229</t>
  </si>
  <si>
    <t>Cục thuế Tỉnh Bến Tre</t>
  </si>
  <si>
    <t>230</t>
  </si>
  <si>
    <t>Cục thuế Tỉnh Vĩnh Long</t>
  </si>
  <si>
    <t>231</t>
  </si>
  <si>
    <t>Cục thuế Tỉnh Trà Vinh</t>
  </si>
  <si>
    <t>232</t>
  </si>
  <si>
    <t>Cục thuế TP Cần Thơ</t>
  </si>
  <si>
    <t>233</t>
  </si>
  <si>
    <t>Cục thuế Tỉnh Sóc Trăng</t>
  </si>
  <si>
    <t>234</t>
  </si>
  <si>
    <t>Cục thuế Tỉnh Kiên Giang</t>
  </si>
  <si>
    <t>235</t>
  </si>
  <si>
    <t>Cục thuế Tỉnh Bạc Liêu</t>
  </si>
  <si>
    <t>236</t>
  </si>
  <si>
    <t>Cục thuế Tỉnh Cà Mau</t>
  </si>
  <si>
    <t>237</t>
  </si>
  <si>
    <t>Sở KHĐT TP Hà Nội</t>
  </si>
  <si>
    <t>238</t>
  </si>
  <si>
    <t>Sở KHĐT Tỉnh Tuyên Quang</t>
  </si>
  <si>
    <t>239</t>
  </si>
  <si>
    <t>Sở KHĐT Tỉnh Hà Giang</t>
  </si>
  <si>
    <t>240</t>
  </si>
  <si>
    <t>Sở KHĐT Tỉnh Cao Bằng</t>
  </si>
  <si>
    <t>241</t>
  </si>
  <si>
    <t>Sở KHĐT Tỉnh Lạng sơn</t>
  </si>
  <si>
    <t>242</t>
  </si>
  <si>
    <t>Sở KHĐT Tỉnh Bắc Kạn</t>
  </si>
  <si>
    <t>243</t>
  </si>
  <si>
    <t>Sở KHĐT Tỉnh Thái Nguyên</t>
  </si>
  <si>
    <t>244</t>
  </si>
  <si>
    <t>Sở KHĐT Tỉnh Yên Bái</t>
  </si>
  <si>
    <t>245</t>
  </si>
  <si>
    <t>Sở KHĐT Tỉnh Lào Cai</t>
  </si>
  <si>
    <t>246</t>
  </si>
  <si>
    <t>Sở KHĐT Tỉnh Lai Châu</t>
  </si>
  <si>
    <t>247</t>
  </si>
  <si>
    <t>Sở KHĐT Tỉnh Sơn La</t>
  </si>
  <si>
    <t>248</t>
  </si>
  <si>
    <t>Sở KHĐT Tỉnh Quảng Ninh</t>
  </si>
  <si>
    <t>249</t>
  </si>
  <si>
    <t>Sở KHĐT TP Hải Phòng</t>
  </si>
  <si>
    <t>250</t>
  </si>
  <si>
    <t>Sở KHĐT Tỉnh Hải Dương</t>
  </si>
  <si>
    <t>251</t>
  </si>
  <si>
    <t>Sở KHĐT Tỉnh Hưng Yên</t>
  </si>
  <si>
    <t>252</t>
  </si>
  <si>
    <t>Sở KHĐT Tỉnh Bắc Giang</t>
  </si>
  <si>
    <t>253</t>
  </si>
  <si>
    <t>Sở KHĐT Tỉnh Bắc Ninh</t>
  </si>
  <si>
    <t>254</t>
  </si>
  <si>
    <t>Sở KHĐT Tỉnh Phú Thọ</t>
  </si>
  <si>
    <t>255</t>
  </si>
  <si>
    <t>Sở KHĐT Tỉnh Vĩnh Phúc</t>
  </si>
  <si>
    <t>256</t>
  </si>
  <si>
    <t>Sở KHĐT Tỉnh Hà Tây</t>
  </si>
  <si>
    <t>257</t>
  </si>
  <si>
    <t>Sở KHĐT Tỉnh Hoà Bình</t>
  </si>
  <si>
    <t>258</t>
  </si>
  <si>
    <t>Sở KHĐT Tỉnh Hà Nam</t>
  </si>
  <si>
    <t>259</t>
  </si>
  <si>
    <t>Sở KHĐT Tỉnh Nam Định</t>
  </si>
  <si>
    <t>260</t>
  </si>
  <si>
    <t>Sở KHĐT Tỉnh Ninh Bình</t>
  </si>
  <si>
    <t>261</t>
  </si>
  <si>
    <t>Sở KHĐT Tỉnh Thái Bình</t>
  </si>
  <si>
    <t>262</t>
  </si>
  <si>
    <t>Sở KHĐT Tỉnh Thanh Hoá</t>
  </si>
  <si>
    <t>263</t>
  </si>
  <si>
    <t>Sở KHĐT Tỉnh Nghệ An</t>
  </si>
  <si>
    <t>264</t>
  </si>
  <si>
    <t>Sở KHĐT Tỉnh Hà Tĩnh</t>
  </si>
  <si>
    <t>265</t>
  </si>
  <si>
    <t>Sở KHĐT Tỉnh Quảng Bình</t>
  </si>
  <si>
    <t>266</t>
  </si>
  <si>
    <t>Sở KHĐT Tỉnh Quảng Trị</t>
  </si>
  <si>
    <t>267</t>
  </si>
  <si>
    <t>Sở KHĐT Tỉnh Thừa Thiên Huế</t>
  </si>
  <si>
    <t>268</t>
  </si>
  <si>
    <t>Sở KHĐT TP Hồ Chí Minh</t>
  </si>
  <si>
    <t>269</t>
  </si>
  <si>
    <t>Sở KHĐT TP Đà Nẵng</t>
  </si>
  <si>
    <t>270</t>
  </si>
  <si>
    <t>Sở KHĐT Tỉnh Quảng Nam</t>
  </si>
  <si>
    <t>271</t>
  </si>
  <si>
    <t>Sở KHĐT Tỉnh Quảng Ngãi</t>
  </si>
  <si>
    <t>272</t>
  </si>
  <si>
    <t>Sở KHĐT Tỉnh Bình Định</t>
  </si>
  <si>
    <t>273</t>
  </si>
  <si>
    <t>Sở KHĐT Tỉnh Phú Yên</t>
  </si>
  <si>
    <t>274</t>
  </si>
  <si>
    <t>Sở KHĐT Tỉnh  Khánh Hoà</t>
  </si>
  <si>
    <t>275</t>
  </si>
  <si>
    <t>Sở KHĐT Tỉnh Bình Thuận</t>
  </si>
  <si>
    <t>276</t>
  </si>
  <si>
    <t>Sở KHĐT Tỉnh Ninh Thuận</t>
  </si>
  <si>
    <t>277</t>
  </si>
  <si>
    <t>Sở KHĐT Tỉnh Gia Lai</t>
  </si>
  <si>
    <t>278</t>
  </si>
  <si>
    <t>Sở KHĐT Tỉnh Kon Tum</t>
  </si>
  <si>
    <t>279</t>
  </si>
  <si>
    <t>Sở KHĐT Tỉnh Đắk Lắk</t>
  </si>
  <si>
    <t>280</t>
  </si>
  <si>
    <t>Sở KHĐT Tỉnh Lâm Đồng</t>
  </si>
  <si>
    <t>281</t>
  </si>
  <si>
    <t>Sở KHĐT Tỉnh Bình Dương</t>
  </si>
  <si>
    <t>282</t>
  </si>
  <si>
    <t>Sở KHĐT Tỉnh Bình Phước</t>
  </si>
  <si>
    <t>283</t>
  </si>
  <si>
    <t>Sở KHĐT Tỉnh Tây Ninh</t>
  </si>
  <si>
    <t>284</t>
  </si>
  <si>
    <t>Sở KHĐT Tỉnh Đồng Nai</t>
  </si>
  <si>
    <t>285</t>
  </si>
  <si>
    <t>Sở KHĐT Tỉnh Bà Rịa Vũng Tàu</t>
  </si>
  <si>
    <t>286</t>
  </si>
  <si>
    <t>Sở KHĐT Tỉnh Long An</t>
  </si>
  <si>
    <t>287</t>
  </si>
  <si>
    <t>Sở KHĐT Tỉnh Đồng Tháp</t>
  </si>
  <si>
    <t>288</t>
  </si>
  <si>
    <t>Sở KHĐT Tỉnh An Giang</t>
  </si>
  <si>
    <t>289</t>
  </si>
  <si>
    <t>Sở KHĐT Tỉnh Tiền Giang</t>
  </si>
  <si>
    <t>290</t>
  </si>
  <si>
    <t>Sở KHĐT Tỉnh Bến Tre</t>
  </si>
  <si>
    <t>291</t>
  </si>
  <si>
    <t>Sở KHĐT Tỉnh Vĩnh Long</t>
  </si>
  <si>
    <t>292</t>
  </si>
  <si>
    <t>Sở KHĐT Tỉnh Trà Vinh</t>
  </si>
  <si>
    <t>293</t>
  </si>
  <si>
    <t>Sở KHĐT TP Cần Thơ</t>
  </si>
  <si>
    <t>294</t>
  </si>
  <si>
    <t>Sở KHĐT Tỉnh Sóc Trăng</t>
  </si>
  <si>
    <t>295</t>
  </si>
  <si>
    <t>Sở KHĐT Tỉnh Kiên Giang</t>
  </si>
  <si>
    <t>296</t>
  </si>
  <si>
    <t>Sở KHĐT Tỉnh Bạc Liêu</t>
  </si>
  <si>
    <t>297</t>
  </si>
  <si>
    <t>Sở KHĐT Tỉnh Cà Mau</t>
  </si>
  <si>
    <t>298</t>
  </si>
  <si>
    <t>UBND Tỉnh Điện Biên</t>
  </si>
  <si>
    <t>299</t>
  </si>
  <si>
    <t>UBND Tỉnh Đắc Nông</t>
  </si>
  <si>
    <t>300</t>
  </si>
  <si>
    <t>UBND Tỉnh Hậu Giang</t>
  </si>
  <si>
    <t>301</t>
  </si>
  <si>
    <t>Công an Tỉnh Điện Biên</t>
  </si>
  <si>
    <t>302</t>
  </si>
  <si>
    <t>Công an Tỉnh Đắk Nông</t>
  </si>
  <si>
    <t>303</t>
  </si>
  <si>
    <t>Công an Tỉnh Hậu Giang</t>
  </si>
  <si>
    <t>304</t>
  </si>
  <si>
    <t>Sở KHĐT Tỉnh Điện Biên</t>
  </si>
  <si>
    <t>305</t>
  </si>
  <si>
    <t>Sở KHĐT Tỉnh Đắk Nông</t>
  </si>
  <si>
    <t>306</t>
  </si>
  <si>
    <t>Sở KHĐT Tỉnh Hậu Giang</t>
  </si>
  <si>
    <t>307</t>
  </si>
  <si>
    <t>Cục thuế Tỉnh Điện Biên</t>
  </si>
  <si>
    <t>308</t>
  </si>
  <si>
    <t>Cục thuế Tỉnh Đắk Nông</t>
  </si>
  <si>
    <t>309</t>
  </si>
  <si>
    <t>Cục thuế Tỉnh Hậu Giang</t>
  </si>
  <si>
    <t>310</t>
  </si>
  <si>
    <t>Sở Y tế</t>
  </si>
  <si>
    <t>311</t>
  </si>
  <si>
    <t>Liên đoàn Lao động</t>
  </si>
  <si>
    <t>312</t>
  </si>
  <si>
    <t>Cục/Phòng QL XNC Công an Tỉnh/TP</t>
  </si>
  <si>
    <t>313</t>
  </si>
  <si>
    <t>Ban QLDA khu CN Bình Thuận</t>
  </si>
  <si>
    <t>314</t>
  </si>
  <si>
    <t>Tổng cục hậu cần</t>
  </si>
  <si>
    <t>315</t>
  </si>
  <si>
    <t>NHNo&amp;PTNT Việt Nam</t>
  </si>
  <si>
    <t>316</t>
  </si>
  <si>
    <t>Ban QLDA Khu CN Bình Dương</t>
  </si>
  <si>
    <t>317</t>
  </si>
  <si>
    <t>Bảo hiểm Xã hội Việt Nam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</si>
  <si>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</si>
  <si>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</si>
  <si>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</si>
  <si>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</si>
  <si>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</si>
  <si>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</si>
  <si>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</si>
  <si>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</si>
  <si>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</si>
  <si>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</si>
  <si>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</si>
  <si>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</si>
  <si>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</si>
  <si>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</si>
  <si>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</si>
  <si>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</si>
  <si>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</si>
  <si>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</si>
  <si>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</si>
  <si>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</si>
  <si>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</si>
  <si>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</si>
  <si>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</si>
  <si>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</si>
  <si>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</si>
  <si>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</si>
  <si>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</si>
  <si>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</si>
  <si>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350</t>
  </si>
  <si>
    <t>Ban QLDA Khu CN Đồng Nai</t>
  </si>
  <si>
    <t>351</t>
  </si>
  <si>
    <t>BQL KCN Long An</t>
  </si>
  <si>
    <t>352</t>
  </si>
  <si>
    <t>Cục CSĐKQLCT và DLQG về DC</t>
  </si>
  <si>
    <t>353</t>
  </si>
  <si>
    <t>354</t>
  </si>
  <si>
    <t>BQL Khu KT Bình Định</t>
  </si>
  <si>
    <t>355</t>
  </si>
  <si>
    <t>Giáo hội Phật giáo Việt Nam</t>
  </si>
  <si>
    <t>356</t>
  </si>
  <si>
    <t>Sở Tư Pháp</t>
  </si>
  <si>
    <t>357</t>
  </si>
  <si>
    <t>Hội Chữ thập đỏ</t>
  </si>
  <si>
    <t>358</t>
  </si>
  <si>
    <t>Tòa án Nhân dân tối cao</t>
  </si>
  <si>
    <t>359</t>
  </si>
  <si>
    <t>Đại sứ quán/Lãnh sự quán VN tại các nước</t>
  </si>
  <si>
    <t>360</t>
  </si>
  <si>
    <t>Công an cửa khẩu</t>
  </si>
  <si>
    <t>361</t>
  </si>
  <si>
    <t>Hiệp hội Doanh nghiệp nhỏ và vừa Việt Nam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</si>
  <si>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</si>
  <si>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</si>
  <si>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</si>
  <si>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</si>
  <si>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</si>
  <si>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</si>
  <si>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</si>
  <si>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</si>
  <si>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</si>
  <si>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UBND TP Từ Sơn</t>
  </si>
  <si>
    <t>371</t>
  </si>
  <si>
    <t>Tỉnh ủy Sóc Trăng</t>
  </si>
  <si>
    <t>372</t>
  </si>
  <si>
    <t>373</t>
  </si>
  <si>
    <t>374</t>
  </si>
  <si>
    <t>375</t>
  </si>
  <si>
    <t>376</t>
  </si>
  <si>
    <t>377</t>
  </si>
  <si>
    <t>378</t>
  </si>
  <si>
    <t>379</t>
  </si>
  <si>
    <t>Đảng Bộ Khối DN TW</t>
  </si>
  <si>
    <t>A01</t>
  </si>
  <si>
    <t>Bộ Công Thương</t>
  </si>
  <si>
    <t>UBND Xã Chiến Thắng</t>
  </si>
  <si>
    <t>UBND Xã Nhân Lý</t>
  </si>
  <si>
    <t>UBND Xã Bằng Mạc</t>
  </si>
  <si>
    <t>UBND Xã Vạn Linh</t>
  </si>
  <si>
    <t>UBND Xã Đồng Đăng</t>
  </si>
  <si>
    <t>UBND Xã Cao Lộc</t>
  </si>
  <si>
    <t>UBND Xã Công Sơn</t>
  </si>
  <si>
    <t>UBND Xã Ba Sơn</t>
  </si>
  <si>
    <t>UBND Phường Tam Thanh</t>
  </si>
  <si>
    <t>UBND Phường Lương Văn Tri</t>
  </si>
  <si>
    <t>UBND Phường Kỳ Lừa</t>
  </si>
  <si>
    <t>UBND Phường Đông Kinh</t>
  </si>
  <si>
    <t>UBND Xã Bình Lục</t>
  </si>
  <si>
    <t>UBND Xã Bình Mỹ</t>
  </si>
  <si>
    <t>UBND Xã Bình An</t>
  </si>
  <si>
    <t>UBND Xã Bình Giang</t>
  </si>
  <si>
    <t>UBND Xã Bình Sơn</t>
  </si>
  <si>
    <t>UBND Xã Liêm Hà</t>
  </si>
  <si>
    <t>UBND Xã Tân Thanh</t>
  </si>
  <si>
    <t>UBND Xã Thanh Bình</t>
  </si>
  <si>
    <t>UBND Xã Thanh Lâm</t>
  </si>
  <si>
    <t>UBND Xã Thanh Liêm</t>
  </si>
  <si>
    <t>UBND Xã Lý Nhân</t>
  </si>
  <si>
    <t>UBND Xã Nam Xang</t>
  </si>
  <si>
    <t>UBND Xã Bắc Lý</t>
  </si>
  <si>
    <t>UBND Xã Vĩnh Trụ</t>
  </si>
  <si>
    <t>Cư trú</t>
  </si>
  <si>
    <t>Không cư trú</t>
  </si>
  <si>
    <t>VN</t>
  </si>
  <si>
    <t>COUNTRY_CODE</t>
  </si>
  <si>
    <t>Tỉnh Tuyên Quang</t>
  </si>
  <si>
    <t>Tỉnh Cao Bằng</t>
  </si>
  <si>
    <t>Tỉnh Lạng Sơn</t>
  </si>
  <si>
    <t>Tỉnh Thái Nguyên</t>
  </si>
  <si>
    <t>Tỉnh Lào Cai</t>
  </si>
  <si>
    <t>Tỉnh Điện Biên</t>
  </si>
  <si>
    <t>Tỉnh Sơn La</t>
  </si>
  <si>
    <t>Tỉnh Lai Châu</t>
  </si>
  <si>
    <t>Tỉnh Hải Phòng</t>
  </si>
  <si>
    <t>Tỉnh Hưng Yên</t>
  </si>
  <si>
    <t>Tỉnh Phú Thọ</t>
  </si>
  <si>
    <t>Tỉnh Ninh Bình</t>
  </si>
  <si>
    <t>Tỉnh Thanh Hóa</t>
  </si>
  <si>
    <t>Tỉnh Nghệ An</t>
  </si>
  <si>
    <t>Tinh Hà Tĩnh</t>
  </si>
  <si>
    <t>391</t>
  </si>
  <si>
    <t>Tỉnh Quảng Trị</t>
  </si>
  <si>
    <t>401</t>
  </si>
  <si>
    <t>TP Huế</t>
  </si>
  <si>
    <t>411</t>
  </si>
  <si>
    <t>TP Đà Nẵng</t>
  </si>
  <si>
    <t>431</t>
  </si>
  <si>
    <t>Tỉnh Quảng Ngãi</t>
  </si>
  <si>
    <t>461</t>
  </si>
  <si>
    <t>Tỉnh Khánh Hòa</t>
  </si>
  <si>
    <t>491</t>
  </si>
  <si>
    <t>Tỉnh Gia Lai</t>
  </si>
  <si>
    <t>501</t>
  </si>
  <si>
    <t>TP Hồ Chí Minh</t>
  </si>
  <si>
    <t>521</t>
  </si>
  <si>
    <t>Tỉnh Đắk Lắk</t>
  </si>
  <si>
    <t>541</t>
  </si>
  <si>
    <t>Tỉnh Lâm Đồng</t>
  </si>
  <si>
    <t>571</t>
  </si>
  <si>
    <t>Tỉnh Tây Ninh</t>
  </si>
  <si>
    <t>581</t>
  </si>
  <si>
    <t>611</t>
  </si>
  <si>
    <t>Tỉnh Đồng Tháp</t>
  </si>
  <si>
    <t>621</t>
  </si>
  <si>
    <t>Tỉnh An Giang</t>
  </si>
  <si>
    <t>661</t>
  </si>
  <si>
    <t>Tỉnh Vĩnh Long</t>
  </si>
  <si>
    <t>681</t>
  </si>
  <si>
    <t>TP Cần Thơ</t>
  </si>
  <si>
    <t>721</t>
  </si>
  <si>
    <t>Tỉnh Cà Mau</t>
  </si>
  <si>
    <t>CITY_CODE</t>
  </si>
  <si>
    <t>1010001</t>
  </si>
  <si>
    <t>1010002</t>
  </si>
  <si>
    <t>1010003</t>
  </si>
  <si>
    <t>1010004</t>
  </si>
  <si>
    <t>1010005</t>
  </si>
  <si>
    <t>1010006</t>
  </si>
  <si>
    <t>1010007</t>
  </si>
  <si>
    <t>1010008</t>
  </si>
  <si>
    <t>1010009</t>
  </si>
  <si>
    <t>1010010</t>
  </si>
  <si>
    <t>1010011</t>
  </si>
  <si>
    <t>1010012</t>
  </si>
  <si>
    <t>1010013</t>
  </si>
  <si>
    <t>1010014</t>
  </si>
  <si>
    <t>1010015</t>
  </si>
  <si>
    <t>1010016</t>
  </si>
  <si>
    <t>1010017</t>
  </si>
  <si>
    <t>1010018</t>
  </si>
  <si>
    <t>1010019</t>
  </si>
  <si>
    <t>1010020</t>
  </si>
  <si>
    <t>1010021</t>
  </si>
  <si>
    <t>1010022</t>
  </si>
  <si>
    <t>1010023</t>
  </si>
  <si>
    <t>1010024</t>
  </si>
  <si>
    <t>1010025</t>
  </si>
  <si>
    <t>1010026</t>
  </si>
  <si>
    <t>1010027</t>
  </si>
  <si>
    <t>1010028</t>
  </si>
  <si>
    <t>1010029</t>
  </si>
  <si>
    <t>1010030</t>
  </si>
  <si>
    <t>1010031</t>
  </si>
  <si>
    <t>1010032</t>
  </si>
  <si>
    <t>1010033</t>
  </si>
  <si>
    <t>1010034</t>
  </si>
  <si>
    <t>1010035</t>
  </si>
  <si>
    <t>1010036</t>
  </si>
  <si>
    <t>1010037</t>
  </si>
  <si>
    <t>1010038</t>
  </si>
  <si>
    <t>1010039</t>
  </si>
  <si>
    <t>1010040</t>
  </si>
  <si>
    <t>1010041</t>
  </si>
  <si>
    <t>1010042</t>
  </si>
  <si>
    <t>1010043</t>
  </si>
  <si>
    <t>1010044</t>
  </si>
  <si>
    <t>1010045</t>
  </si>
  <si>
    <t>1010046</t>
  </si>
  <si>
    <t>1010047</t>
  </si>
  <si>
    <t>1010048</t>
  </si>
  <si>
    <t>1010049</t>
  </si>
  <si>
    <t>1010050</t>
  </si>
  <si>
    <t>1010051</t>
  </si>
  <si>
    <t>1010052</t>
  </si>
  <si>
    <t>Xã An Khánh</t>
  </si>
  <si>
    <t>1010053</t>
  </si>
  <si>
    <t>Xã Ba Vì</t>
  </si>
  <si>
    <t>1010054</t>
  </si>
  <si>
    <t>Xã Bất Bạt</t>
  </si>
  <si>
    <t>1010055</t>
  </si>
  <si>
    <t>Xã Bát Tràng</t>
  </si>
  <si>
    <t>1010056</t>
  </si>
  <si>
    <t>Xã Bình Minh</t>
  </si>
  <si>
    <t>1010057</t>
  </si>
  <si>
    <t>1010058</t>
  </si>
  <si>
    <t>Xã Chuyên Mỹ</t>
  </si>
  <si>
    <t>1010059</t>
  </si>
  <si>
    <t>1010060</t>
  </si>
  <si>
    <t>Xã Đa Phúc</t>
  </si>
  <si>
    <t>1010062</t>
  </si>
  <si>
    <t>Xã Đại Xuyên</t>
  </si>
  <si>
    <t>1010063</t>
  </si>
  <si>
    <t>Xã Dân Hòa</t>
  </si>
  <si>
    <t>1010064</t>
  </si>
  <si>
    <t>1010065</t>
  </si>
  <si>
    <t>1010066</t>
  </si>
  <si>
    <t>1010067</t>
  </si>
  <si>
    <t>1010068</t>
  </si>
  <si>
    <t>Xã Gia Lâm</t>
  </si>
  <si>
    <t>1010070</t>
  </si>
  <si>
    <t>1010071</t>
  </si>
  <si>
    <t>Xã Hòa Lạc</t>
  </si>
  <si>
    <t>1010072</t>
  </si>
  <si>
    <t>Xã Hòa Phú</t>
  </si>
  <si>
    <t>1010073</t>
  </si>
  <si>
    <t>Xã Hòa Xá</t>
  </si>
  <si>
    <t>1010074</t>
  </si>
  <si>
    <t>Xã Hoài Đức</t>
  </si>
  <si>
    <t>1010075</t>
  </si>
  <si>
    <t>1010076</t>
  </si>
  <si>
    <t>Xã Hồng Vân</t>
  </si>
  <si>
    <t>1010077</t>
  </si>
  <si>
    <t>1010078</t>
  </si>
  <si>
    <t>1010079</t>
  </si>
  <si>
    <t>Xã Kiều Phú</t>
  </si>
  <si>
    <t>1010080</t>
  </si>
  <si>
    <t>Xã Kim Anh</t>
  </si>
  <si>
    <t>1010081</t>
  </si>
  <si>
    <t>Xã Liên Minh</t>
  </si>
  <si>
    <t>1010082</t>
  </si>
  <si>
    <t>Xã Mê Linh</t>
  </si>
  <si>
    <t>1010083</t>
  </si>
  <si>
    <t>Xã Minh Châu</t>
  </si>
  <si>
    <t>1010084</t>
  </si>
  <si>
    <t>Xã Mỹ Đức</t>
  </si>
  <si>
    <t>1010085</t>
  </si>
  <si>
    <t>Xã Nam Phù</t>
  </si>
  <si>
    <t>1010086</t>
  </si>
  <si>
    <t>Xã Ngọc Hồi</t>
  </si>
  <si>
    <t>1010087</t>
  </si>
  <si>
    <t>Xã Nội Bài</t>
  </si>
  <si>
    <t>1010088</t>
  </si>
  <si>
    <t>Xã Ô Diên</t>
  </si>
  <si>
    <t>1010089</t>
  </si>
  <si>
    <t>Xã Phú Cát</t>
  </si>
  <si>
    <t>1010090</t>
  </si>
  <si>
    <t>Xã Phù Đổng</t>
  </si>
  <si>
    <t>1010091</t>
  </si>
  <si>
    <t>Xã Phú Nghĩa</t>
  </si>
  <si>
    <t>1010092</t>
  </si>
  <si>
    <t>Xã Phú Xuyên</t>
  </si>
  <si>
    <t>1010093</t>
  </si>
  <si>
    <t>Xã Phúc Lộc</t>
  </si>
  <si>
    <t>1010094</t>
  </si>
  <si>
    <t>1010095</t>
  </si>
  <si>
    <t>Xã Phúc Thịnh</t>
  </si>
  <si>
    <t>1010096</t>
  </si>
  <si>
    <t>Xã Phúc Thọ</t>
  </si>
  <si>
    <t>1010097</t>
  </si>
  <si>
    <t>1010098</t>
  </si>
  <si>
    <t>1010099</t>
  </si>
  <si>
    <t>Xã Quang Minh</t>
  </si>
  <si>
    <t>1010100</t>
  </si>
  <si>
    <t>1010101</t>
  </si>
  <si>
    <t>Xã Quốc Oai</t>
  </si>
  <si>
    <t>1010102</t>
  </si>
  <si>
    <t>1010103</t>
  </si>
  <si>
    <t>1010104</t>
  </si>
  <si>
    <t>Xã Suối Hai</t>
  </si>
  <si>
    <t>1010105</t>
  </si>
  <si>
    <t>1010106</t>
  </si>
  <si>
    <t>1010107</t>
  </si>
  <si>
    <t>Xã Thạch Thất</t>
  </si>
  <si>
    <t>1010108</t>
  </si>
  <si>
    <t>Xã Thanh Oai</t>
  </si>
  <si>
    <t>1010109</t>
  </si>
  <si>
    <t>Xã Thanh Trì</t>
  </si>
  <si>
    <t>1010110</t>
  </si>
  <si>
    <t>Xã Thiên Lộc</t>
  </si>
  <si>
    <t>1010111</t>
  </si>
  <si>
    <t>1010112</t>
  </si>
  <si>
    <t>Xã Thuận An</t>
  </si>
  <si>
    <t>1010113</t>
  </si>
  <si>
    <t>1010114</t>
  </si>
  <si>
    <t>1010115</t>
  </si>
  <si>
    <t>Xã Tiến Thắng</t>
  </si>
  <si>
    <t>1010116</t>
  </si>
  <si>
    <t>Xã Trần Phú</t>
  </si>
  <si>
    <t>1010117</t>
  </si>
  <si>
    <t>Xã Trung Giã</t>
  </si>
  <si>
    <t>1010118</t>
  </si>
  <si>
    <t>Xã ứng Hòa</t>
  </si>
  <si>
    <t>1010119</t>
  </si>
  <si>
    <t>Xã ứng Thiên</t>
  </si>
  <si>
    <t>1010120</t>
  </si>
  <si>
    <t>Xã Vân Đình</t>
  </si>
  <si>
    <t>1010121</t>
  </si>
  <si>
    <t>Xã Vật Lại</t>
  </si>
  <si>
    <t>1010122</t>
  </si>
  <si>
    <t>Xã Vĩnh Thanh</t>
  </si>
  <si>
    <t>1010123</t>
  </si>
  <si>
    <t>Xã Xuân Mai</t>
  </si>
  <si>
    <t>1010124</t>
  </si>
  <si>
    <t>Xã Yên Bài</t>
  </si>
  <si>
    <t>1010125</t>
  </si>
  <si>
    <t>Xã Yên Lãng</t>
  </si>
  <si>
    <t>1010126</t>
  </si>
  <si>
    <t>Xã Yên Xuân</t>
  </si>
  <si>
    <t>1010127</t>
  </si>
  <si>
    <t>1010128</t>
  </si>
  <si>
    <t>1110001</t>
  </si>
  <si>
    <t>Xã Quyết Thắng</t>
  </si>
  <si>
    <t>1110002</t>
  </si>
  <si>
    <t>1110003</t>
  </si>
  <si>
    <t>1110004</t>
  </si>
  <si>
    <t>1110005</t>
  </si>
  <si>
    <t>1110006</t>
  </si>
  <si>
    <t>1110007</t>
  </si>
  <si>
    <t>1110008</t>
  </si>
  <si>
    <t>Xã Tam Hồng</t>
  </si>
  <si>
    <t>1110009</t>
  </si>
  <si>
    <t>1110010</t>
  </si>
  <si>
    <t>1110011</t>
  </si>
  <si>
    <t>Xã Tân Lạc</t>
  </si>
  <si>
    <t>1110012</t>
  </si>
  <si>
    <t>Xã Tân Mai</t>
  </si>
  <si>
    <t>1110013</t>
  </si>
  <si>
    <t>1110014</t>
  </si>
  <si>
    <t>1110015</t>
  </si>
  <si>
    <t>1110016</t>
  </si>
  <si>
    <t>1110017</t>
  </si>
  <si>
    <t>Xã Thanh Thủy</t>
  </si>
  <si>
    <t>1110018</t>
  </si>
  <si>
    <t>Xã Thịnh Minh</t>
  </si>
  <si>
    <t>1110019</t>
  </si>
  <si>
    <t>Xã Thổ Tang</t>
  </si>
  <si>
    <t>1110020</t>
  </si>
  <si>
    <t>Xã Thọ Văn</t>
  </si>
  <si>
    <t>1110021</t>
  </si>
  <si>
    <t>Xã Thu Cúc</t>
  </si>
  <si>
    <t>1110022</t>
  </si>
  <si>
    <t>Xã Thung Nai</t>
  </si>
  <si>
    <t>1110023</t>
  </si>
  <si>
    <t>1110024</t>
  </si>
  <si>
    <t>1110025</t>
  </si>
  <si>
    <t>1110026</t>
  </si>
  <si>
    <t>Xã Yên Phú</t>
  </si>
  <si>
    <t>1110027</t>
  </si>
  <si>
    <t>1110028</t>
  </si>
  <si>
    <t>Xã Yên Thủy</t>
  </si>
  <si>
    <t>1110029</t>
  </si>
  <si>
    <t>Xã Yên Trị</t>
  </si>
  <si>
    <t>1110030</t>
  </si>
  <si>
    <t>Xã Đào Xá</t>
  </si>
  <si>
    <t>1110031</t>
  </si>
  <si>
    <t>Xã Đoan Hùng</t>
  </si>
  <si>
    <t>1110032</t>
  </si>
  <si>
    <t>1110033</t>
  </si>
  <si>
    <t>Xã Mai Châu</t>
  </si>
  <si>
    <t>1110034</t>
  </si>
  <si>
    <t>Xã Mai Hạ</t>
  </si>
  <si>
    <t>1110035</t>
  </si>
  <si>
    <t>Xã Minh Đài</t>
  </si>
  <si>
    <t>1110036</t>
  </si>
  <si>
    <t>Xã Minh Hòa</t>
  </si>
  <si>
    <t>1110037</t>
  </si>
  <si>
    <t>1110038</t>
  </si>
  <si>
    <t>1110039</t>
  </si>
  <si>
    <t>1110040</t>
  </si>
  <si>
    <t>1110041</t>
  </si>
  <si>
    <t>1110042</t>
  </si>
  <si>
    <t>1110043</t>
  </si>
  <si>
    <t>1110044</t>
  </si>
  <si>
    <t>Xã Nguyệt Đức</t>
  </si>
  <si>
    <t>1110045</t>
  </si>
  <si>
    <t>Xã Nhân Nghĩa</t>
  </si>
  <si>
    <t>1110046</t>
  </si>
  <si>
    <t>Xã Pà Cò</t>
  </si>
  <si>
    <t>1110047</t>
  </si>
  <si>
    <t>Xã Tân Pheo</t>
  </si>
  <si>
    <t>1110048</t>
  </si>
  <si>
    <t>1110049</t>
  </si>
  <si>
    <t>Xã Tây Cốc</t>
  </si>
  <si>
    <t>1110050</t>
  </si>
  <si>
    <t>Xã Tề Lỗ</t>
  </si>
  <si>
    <t>1110051</t>
  </si>
  <si>
    <t>Xã Thái Hòa</t>
  </si>
  <si>
    <t>1110052</t>
  </si>
  <si>
    <t>Xã Thanh Ba</t>
  </si>
  <si>
    <t>1110053</t>
  </si>
  <si>
    <t>Xã Tiên Lữ</t>
  </si>
  <si>
    <t>1110054</t>
  </si>
  <si>
    <t>1110055</t>
  </si>
  <si>
    <t>Xã Tiền Phong</t>
  </si>
  <si>
    <t>1110056</t>
  </si>
  <si>
    <t>Xã Toàn Thắng</t>
  </si>
  <si>
    <t>1110057</t>
  </si>
  <si>
    <t>1110058</t>
  </si>
  <si>
    <t>1110059</t>
  </si>
  <si>
    <t>Xã Tu Vũ</t>
  </si>
  <si>
    <t>1110060</t>
  </si>
  <si>
    <t>Xã Vân Bán</t>
  </si>
  <si>
    <t>1110061</t>
  </si>
  <si>
    <t>Xã Định Hòa</t>
  </si>
  <si>
    <t>1110062</t>
  </si>
  <si>
    <t>Xã Định Tân</t>
  </si>
  <si>
    <t>1110063</t>
  </si>
  <si>
    <t>1110064</t>
  </si>
  <si>
    <t>1110065</t>
  </si>
  <si>
    <t>Xã Đồng Tiến</t>
  </si>
  <si>
    <t>1110066</t>
  </si>
  <si>
    <t>Xã Giao An</t>
  </si>
  <si>
    <t>1110067</t>
  </si>
  <si>
    <t>Xã Hà Long</t>
  </si>
  <si>
    <t>1110068</t>
  </si>
  <si>
    <t>Xã Hà Trung</t>
  </si>
  <si>
    <t>1110069</t>
  </si>
  <si>
    <t>Xã Hậu Lộc</t>
  </si>
  <si>
    <t>1110070</t>
  </si>
  <si>
    <t>Xã Hiền Kiệt</t>
  </si>
  <si>
    <t>1110071</t>
  </si>
  <si>
    <t>1110072</t>
  </si>
  <si>
    <t>Xã Hoa Lộc</t>
  </si>
  <si>
    <t>1110073</t>
  </si>
  <si>
    <t>Xã Hóa Quỳ</t>
  </si>
  <si>
    <t>1110074</t>
  </si>
  <si>
    <t>1110075</t>
  </si>
  <si>
    <t>1110076</t>
  </si>
  <si>
    <t>1110077</t>
  </si>
  <si>
    <t>1110078</t>
  </si>
  <si>
    <t>1110079</t>
  </si>
  <si>
    <t>1110080</t>
  </si>
  <si>
    <t>1110081</t>
  </si>
  <si>
    <t>1110082</t>
  </si>
  <si>
    <t>1110083</t>
  </si>
  <si>
    <t>1110084</t>
  </si>
  <si>
    <t>1110085</t>
  </si>
  <si>
    <t>1110086</t>
  </si>
  <si>
    <t>1110087</t>
  </si>
  <si>
    <t>1110088</t>
  </si>
  <si>
    <t>1110089</t>
  </si>
  <si>
    <t>1110090</t>
  </si>
  <si>
    <t>1110091</t>
  </si>
  <si>
    <t>1110092</t>
  </si>
  <si>
    <t>1110093</t>
  </si>
  <si>
    <t>1110094</t>
  </si>
  <si>
    <t>1110095</t>
  </si>
  <si>
    <t>1110096</t>
  </si>
  <si>
    <t>1110097</t>
  </si>
  <si>
    <t>Xã Gia Phúc</t>
  </si>
  <si>
    <t>1110098</t>
  </si>
  <si>
    <t>Xã Hà Bắc</t>
  </si>
  <si>
    <t>1110099</t>
  </si>
  <si>
    <t>1110100</t>
  </si>
  <si>
    <t>Xã Hà Nam</t>
  </si>
  <si>
    <t>1110101</t>
  </si>
  <si>
    <t>Xã Hà Tây</t>
  </si>
  <si>
    <t>1110102</t>
  </si>
  <si>
    <t>Xã Phú Khê</t>
  </si>
  <si>
    <t>1110103</t>
  </si>
  <si>
    <t>Xã Phú Mỹ</t>
  </si>
  <si>
    <t>1110104</t>
  </si>
  <si>
    <t>Xã Phù Ninh</t>
  </si>
  <si>
    <t>1110105</t>
  </si>
  <si>
    <t>Xã Phùng Nguyên</t>
  </si>
  <si>
    <t>1110106</t>
  </si>
  <si>
    <t>1110107</t>
  </si>
  <si>
    <t>Xã Quy Đức</t>
  </si>
  <si>
    <t>1110108</t>
  </si>
  <si>
    <t>Xã Khúc Thừa Dụ</t>
  </si>
  <si>
    <t>1110109</t>
  </si>
  <si>
    <t>1110110</t>
  </si>
  <si>
    <t>1110111</t>
  </si>
  <si>
    <t>Xã Kiến Minh</t>
  </si>
  <si>
    <t>1110112</t>
  </si>
  <si>
    <t>Xã Kiến Thụy</t>
  </si>
  <si>
    <t>1110113</t>
  </si>
  <si>
    <t>Xã Kim Thành</t>
  </si>
  <si>
    <t>1110114</t>
  </si>
  <si>
    <t>1110115</t>
  </si>
  <si>
    <t>Xã Lai Khê</t>
  </si>
  <si>
    <t>1110116</t>
  </si>
  <si>
    <t>Xã Mao Điền</t>
  </si>
  <si>
    <t>1110117</t>
  </si>
  <si>
    <t>Xã Nam An Phụ</t>
  </si>
  <si>
    <t>1110118</t>
  </si>
  <si>
    <t>Xã Nam Sách</t>
  </si>
  <si>
    <t>1110119</t>
  </si>
  <si>
    <t>Xã Nam Thanh Miện</t>
  </si>
  <si>
    <t>1110120</t>
  </si>
  <si>
    <t>1110121</t>
  </si>
  <si>
    <t>Xã Hồng Châu</t>
  </si>
  <si>
    <t>1110122</t>
  </si>
  <si>
    <t>Xã Hợp Tiến</t>
  </si>
  <si>
    <t>1110123</t>
  </si>
  <si>
    <t>Xã Hùng Thắng</t>
  </si>
  <si>
    <t>1110124</t>
  </si>
  <si>
    <t>Xã Kẻ Sặt</t>
  </si>
  <si>
    <t>1310001</t>
  </si>
  <si>
    <t>1310002</t>
  </si>
  <si>
    <t>1310003</t>
  </si>
  <si>
    <t>1310004</t>
  </si>
  <si>
    <t>1310005</t>
  </si>
  <si>
    <t>1310006</t>
  </si>
  <si>
    <t>1310007</t>
  </si>
  <si>
    <t>1310008</t>
  </si>
  <si>
    <t>1310009</t>
  </si>
  <si>
    <t>1310010</t>
  </si>
  <si>
    <t>1310011</t>
  </si>
  <si>
    <t>1310012</t>
  </si>
  <si>
    <t>1310013</t>
  </si>
  <si>
    <t>1310014</t>
  </si>
  <si>
    <t>1310015</t>
  </si>
  <si>
    <t>1310016</t>
  </si>
  <si>
    <t>1310017</t>
  </si>
  <si>
    <t>1310018</t>
  </si>
  <si>
    <t>Xã Vị Thanh 1</t>
  </si>
  <si>
    <t>1310019</t>
  </si>
  <si>
    <t>Xã Vị Thủy</t>
  </si>
  <si>
    <t>1310020</t>
  </si>
  <si>
    <t>1310021</t>
  </si>
  <si>
    <t>Xã Vĩnh Lợi</t>
  </si>
  <si>
    <t>1310022</t>
  </si>
  <si>
    <t>Xã Vĩnh Thạnh</t>
  </si>
  <si>
    <t>1310023</t>
  </si>
  <si>
    <t>1310024</t>
  </si>
  <si>
    <t>1310025</t>
  </si>
  <si>
    <t>1310026</t>
  </si>
  <si>
    <t>1310027</t>
  </si>
  <si>
    <t>1310028</t>
  </si>
  <si>
    <t>1310029</t>
  </si>
  <si>
    <t>1310030</t>
  </si>
  <si>
    <t>1310031</t>
  </si>
  <si>
    <t>1310032</t>
  </si>
  <si>
    <t>1310033</t>
  </si>
  <si>
    <t>1310034</t>
  </si>
  <si>
    <t>1310035</t>
  </si>
  <si>
    <t>1310036</t>
  </si>
  <si>
    <t>Xã An Ninh</t>
  </si>
  <si>
    <t>1310037</t>
  </si>
  <si>
    <t>1310038</t>
  </si>
  <si>
    <t>1310039</t>
  </si>
  <si>
    <t>1310040</t>
  </si>
  <si>
    <t>1310041</t>
  </si>
  <si>
    <t>1310042</t>
  </si>
  <si>
    <t>1310043</t>
  </si>
  <si>
    <t>1310044</t>
  </si>
  <si>
    <t>Xã An Trạch</t>
  </si>
  <si>
    <t>1310045</t>
  </si>
  <si>
    <t>Xã Biển Bạch</t>
  </si>
  <si>
    <t>1310046</t>
  </si>
  <si>
    <t>1310047</t>
  </si>
  <si>
    <t>1310048</t>
  </si>
  <si>
    <t>Xã Vĩnh Trinh</t>
  </si>
  <si>
    <t>1310049</t>
  </si>
  <si>
    <t>1310050</t>
  </si>
  <si>
    <t>Xã Vĩnh Viễn</t>
  </si>
  <si>
    <t>1310051</t>
  </si>
  <si>
    <t>Xã Xà Phiên</t>
  </si>
  <si>
    <t>1310052</t>
  </si>
  <si>
    <t>1310053</t>
  </si>
  <si>
    <t>1310054</t>
  </si>
  <si>
    <t>1310055</t>
  </si>
  <si>
    <t>1310056</t>
  </si>
  <si>
    <t>1410001</t>
  </si>
  <si>
    <t>1410002</t>
  </si>
  <si>
    <t>1410003</t>
  </si>
  <si>
    <t>1410004</t>
  </si>
  <si>
    <t>1410005</t>
  </si>
  <si>
    <t>1410006</t>
  </si>
  <si>
    <t>1410007</t>
  </si>
  <si>
    <t>1410008</t>
  </si>
  <si>
    <t>1410009</t>
  </si>
  <si>
    <t>1410010</t>
  </si>
  <si>
    <t>1410011</t>
  </si>
  <si>
    <t>1410012</t>
  </si>
  <si>
    <t>1410013</t>
  </si>
  <si>
    <t>1410014</t>
  </si>
  <si>
    <t>1410015</t>
  </si>
  <si>
    <t>1410016</t>
  </si>
  <si>
    <t>1410017</t>
  </si>
  <si>
    <t>1410018</t>
  </si>
  <si>
    <t>1410019</t>
  </si>
  <si>
    <t>1410020</t>
  </si>
  <si>
    <t>1410021</t>
  </si>
  <si>
    <t>1410022</t>
  </si>
  <si>
    <t>1410023</t>
  </si>
  <si>
    <t>1410024</t>
  </si>
  <si>
    <t>1410025</t>
  </si>
  <si>
    <t>1410026</t>
  </si>
  <si>
    <t>1410027</t>
  </si>
  <si>
    <t>1410028</t>
  </si>
  <si>
    <t>1410029</t>
  </si>
  <si>
    <t>1410030</t>
  </si>
  <si>
    <t>1410031</t>
  </si>
  <si>
    <t>1410032</t>
  </si>
  <si>
    <t>1410033</t>
  </si>
  <si>
    <t>1410034</t>
  </si>
  <si>
    <t>1410035</t>
  </si>
  <si>
    <t>1410036</t>
  </si>
  <si>
    <t>1410037</t>
  </si>
  <si>
    <t>1410038</t>
  </si>
  <si>
    <t>1410039</t>
  </si>
  <si>
    <t>1410040</t>
  </si>
  <si>
    <t>1410041</t>
  </si>
  <si>
    <t>1410042</t>
  </si>
  <si>
    <t>1410043</t>
  </si>
  <si>
    <t>1410044</t>
  </si>
  <si>
    <t>1410045</t>
  </si>
  <si>
    <t>1410046</t>
  </si>
  <si>
    <t>1410047</t>
  </si>
  <si>
    <t>1410048</t>
  </si>
  <si>
    <t>1410049</t>
  </si>
  <si>
    <t>1410050</t>
  </si>
  <si>
    <t>1410051</t>
  </si>
  <si>
    <t>1410052</t>
  </si>
  <si>
    <t>1410053</t>
  </si>
  <si>
    <t>1410054</t>
  </si>
  <si>
    <t>1410055</t>
  </si>
  <si>
    <t>1410056</t>
  </si>
  <si>
    <t>1410057</t>
  </si>
  <si>
    <t>1410058</t>
  </si>
  <si>
    <t>1410059</t>
  </si>
  <si>
    <t>1410060</t>
  </si>
  <si>
    <t>1410061</t>
  </si>
  <si>
    <t>1410062</t>
  </si>
  <si>
    <t>1410063</t>
  </si>
  <si>
    <t>1410064</t>
  </si>
  <si>
    <t>1410065</t>
  </si>
  <si>
    <t>1610001</t>
  </si>
  <si>
    <t>1610002</t>
  </si>
  <si>
    <t>1610003</t>
  </si>
  <si>
    <t>1610004</t>
  </si>
  <si>
    <t>1610005</t>
  </si>
  <si>
    <t>1610006</t>
  </si>
  <si>
    <t>1610007</t>
  </si>
  <si>
    <t>1610008</t>
  </si>
  <si>
    <t>1610009</t>
  </si>
  <si>
    <t>1610010</t>
  </si>
  <si>
    <t>1610011</t>
  </si>
  <si>
    <t>1610012</t>
  </si>
  <si>
    <t>1610013</t>
  </si>
  <si>
    <t>1610014</t>
  </si>
  <si>
    <t>1610015</t>
  </si>
  <si>
    <t>1610016</t>
  </si>
  <si>
    <t>1610017</t>
  </si>
  <si>
    <t>1610018</t>
  </si>
  <si>
    <t>1610019</t>
  </si>
  <si>
    <t>1610020</t>
  </si>
  <si>
    <t>1610021</t>
  </si>
  <si>
    <t>1610022</t>
  </si>
  <si>
    <t>1610023</t>
  </si>
  <si>
    <t>1610024</t>
  </si>
  <si>
    <t>1610025</t>
  </si>
  <si>
    <t>1610026</t>
  </si>
  <si>
    <t>1610027</t>
  </si>
  <si>
    <t>1610028</t>
  </si>
  <si>
    <t>1610029</t>
  </si>
  <si>
    <t>1610030</t>
  </si>
  <si>
    <t>1610031</t>
  </si>
  <si>
    <t>1610032</t>
  </si>
  <si>
    <t>1610033</t>
  </si>
  <si>
    <t>1610034</t>
  </si>
  <si>
    <t>1610035</t>
  </si>
  <si>
    <t>1610036</t>
  </si>
  <si>
    <t>1610037</t>
  </si>
  <si>
    <t>1610038</t>
  </si>
  <si>
    <t>1610039</t>
  </si>
  <si>
    <t>1610040</t>
  </si>
  <si>
    <t>1610041</t>
  </si>
  <si>
    <t>1610042</t>
  </si>
  <si>
    <t>1610043</t>
  </si>
  <si>
    <t>1610044</t>
  </si>
  <si>
    <t>1610045</t>
  </si>
  <si>
    <t>1610046</t>
  </si>
  <si>
    <t>1610047</t>
  </si>
  <si>
    <t>1610048</t>
  </si>
  <si>
    <t>1610049</t>
  </si>
  <si>
    <t>1610050</t>
  </si>
  <si>
    <t>1610051</t>
  </si>
  <si>
    <t>1610052</t>
  </si>
  <si>
    <t>1610053</t>
  </si>
  <si>
    <t>1610054</t>
  </si>
  <si>
    <t>1610055</t>
  </si>
  <si>
    <t>1610056</t>
  </si>
  <si>
    <t>1610057</t>
  </si>
  <si>
    <t>1610058</t>
  </si>
  <si>
    <t>1610059</t>
  </si>
  <si>
    <t>1610060</t>
  </si>
  <si>
    <t>1610061</t>
  </si>
  <si>
    <t>1610062</t>
  </si>
  <si>
    <t>1610063</t>
  </si>
  <si>
    <t>1610064</t>
  </si>
  <si>
    <t>1610065</t>
  </si>
  <si>
    <t>1610066</t>
  </si>
  <si>
    <t>1610067</t>
  </si>
  <si>
    <t>1610068</t>
  </si>
  <si>
    <t>1610069</t>
  </si>
  <si>
    <t>1610070</t>
  </si>
  <si>
    <t>1610071</t>
  </si>
  <si>
    <t>1610072</t>
  </si>
  <si>
    <t>1610073</t>
  </si>
  <si>
    <t>1610074</t>
  </si>
  <si>
    <t>1610075</t>
  </si>
  <si>
    <t>1610076</t>
  </si>
  <si>
    <t>1610077</t>
  </si>
  <si>
    <t>1610078</t>
  </si>
  <si>
    <t>1610079</t>
  </si>
  <si>
    <t>1610080</t>
  </si>
  <si>
    <t>1610081</t>
  </si>
  <si>
    <t>1610082</t>
  </si>
  <si>
    <t>1610083</t>
  </si>
  <si>
    <t>1610084</t>
  </si>
  <si>
    <t>1610085</t>
  </si>
  <si>
    <t>1610086</t>
  </si>
  <si>
    <t>1610087</t>
  </si>
  <si>
    <t>1610088</t>
  </si>
  <si>
    <t>1610089</t>
  </si>
  <si>
    <t>1610090</t>
  </si>
  <si>
    <t>1610091</t>
  </si>
  <si>
    <t>1810001</t>
  </si>
  <si>
    <t>1810002</t>
  </si>
  <si>
    <t>1810003</t>
  </si>
  <si>
    <t>1810004</t>
  </si>
  <si>
    <t>1810005</t>
  </si>
  <si>
    <t>1810006</t>
  </si>
  <si>
    <t>1810007</t>
  </si>
  <si>
    <t>1810008</t>
  </si>
  <si>
    <t>1810009</t>
  </si>
  <si>
    <t>1810010</t>
  </si>
  <si>
    <t>1810011</t>
  </si>
  <si>
    <t>1810012</t>
  </si>
  <si>
    <t>1810013</t>
  </si>
  <si>
    <t>1810014</t>
  </si>
  <si>
    <t>1810015</t>
  </si>
  <si>
    <t>1810016</t>
  </si>
  <si>
    <t>1810017</t>
  </si>
  <si>
    <t>1810018</t>
  </si>
  <si>
    <t>1810019</t>
  </si>
  <si>
    <t>1810020</t>
  </si>
  <si>
    <t>1810021</t>
  </si>
  <si>
    <t>1810022</t>
  </si>
  <si>
    <t>1810023</t>
  </si>
  <si>
    <t>1810024</t>
  </si>
  <si>
    <t>1810025</t>
  </si>
  <si>
    <t>1810026</t>
  </si>
  <si>
    <t>1810027</t>
  </si>
  <si>
    <t>1810028</t>
  </si>
  <si>
    <t>1810029</t>
  </si>
  <si>
    <t>1810030</t>
  </si>
  <si>
    <t>1810031</t>
  </si>
  <si>
    <t>1810032</t>
  </si>
  <si>
    <t>1810033</t>
  </si>
  <si>
    <t>1810034</t>
  </si>
  <si>
    <t>1810035</t>
  </si>
  <si>
    <t>1810036</t>
  </si>
  <si>
    <t>1810037</t>
  </si>
  <si>
    <t>1810038</t>
  </si>
  <si>
    <t>1810039</t>
  </si>
  <si>
    <t>1810040</t>
  </si>
  <si>
    <t>1810041</t>
  </si>
  <si>
    <t>1810042</t>
  </si>
  <si>
    <t>1810043</t>
  </si>
  <si>
    <t>1810044</t>
  </si>
  <si>
    <t>1810045</t>
  </si>
  <si>
    <t>1810046</t>
  </si>
  <si>
    <t>1810047</t>
  </si>
  <si>
    <t>1810048</t>
  </si>
  <si>
    <t>1810049</t>
  </si>
  <si>
    <t>1810050</t>
  </si>
  <si>
    <t>1810051</t>
  </si>
  <si>
    <t>1810052</t>
  </si>
  <si>
    <t>1810053</t>
  </si>
  <si>
    <t>1810054</t>
  </si>
  <si>
    <t>1810055</t>
  </si>
  <si>
    <t>1810056</t>
  </si>
  <si>
    <t>1810057</t>
  </si>
  <si>
    <t>1810058</t>
  </si>
  <si>
    <t>1810059</t>
  </si>
  <si>
    <t>1810060</t>
  </si>
  <si>
    <t>1810061</t>
  </si>
  <si>
    <t>1810062</t>
  </si>
  <si>
    <t>1810063</t>
  </si>
  <si>
    <t>1810064</t>
  </si>
  <si>
    <t>1810065</t>
  </si>
  <si>
    <t>1810066</t>
  </si>
  <si>
    <t>1810067</t>
  </si>
  <si>
    <t>1810068</t>
  </si>
  <si>
    <t>1810069</t>
  </si>
  <si>
    <t>1810070</t>
  </si>
  <si>
    <t>1810071</t>
  </si>
  <si>
    <t>1810072</t>
  </si>
  <si>
    <t>1810073</t>
  </si>
  <si>
    <t>1810074</t>
  </si>
  <si>
    <t>1810075</t>
  </si>
  <si>
    <t>1810076</t>
  </si>
  <si>
    <t>1810077</t>
  </si>
  <si>
    <t>1810078</t>
  </si>
  <si>
    <t>1810079</t>
  </si>
  <si>
    <t>1810080</t>
  </si>
  <si>
    <t>1810081</t>
  </si>
  <si>
    <t>1810082</t>
  </si>
  <si>
    <t>1810083</t>
  </si>
  <si>
    <t>1810084</t>
  </si>
  <si>
    <t>1810085</t>
  </si>
  <si>
    <t>1810086</t>
  </si>
  <si>
    <t>1810087</t>
  </si>
  <si>
    <t>1810088</t>
  </si>
  <si>
    <t>1810089</t>
  </si>
  <si>
    <t>1810090</t>
  </si>
  <si>
    <t>1810091</t>
  </si>
  <si>
    <t>1810092</t>
  </si>
  <si>
    <t>1810093</t>
  </si>
  <si>
    <t>1810094</t>
  </si>
  <si>
    <t>1810095</t>
  </si>
  <si>
    <t>1810096</t>
  </si>
  <si>
    <t>1810097</t>
  </si>
  <si>
    <t>1810098</t>
  </si>
  <si>
    <t>1810099</t>
  </si>
  <si>
    <t>1910001</t>
  </si>
  <si>
    <t>1910002</t>
  </si>
  <si>
    <t>1910003</t>
  </si>
  <si>
    <t>1910004</t>
  </si>
  <si>
    <t>1910005</t>
  </si>
  <si>
    <t>1910006</t>
  </si>
  <si>
    <t>1910007</t>
  </si>
  <si>
    <t>1910008</t>
  </si>
  <si>
    <t>1910009</t>
  </si>
  <si>
    <t>1910010</t>
  </si>
  <si>
    <t>1910011</t>
  </si>
  <si>
    <t>1910012</t>
  </si>
  <si>
    <t>1910013</t>
  </si>
  <si>
    <t>1910014</t>
  </si>
  <si>
    <t>1910015</t>
  </si>
  <si>
    <t>1910016</t>
  </si>
  <si>
    <t>1910017</t>
  </si>
  <si>
    <t>1910018</t>
  </si>
  <si>
    <t>1910019</t>
  </si>
  <si>
    <t>1910020</t>
  </si>
  <si>
    <t>1910021</t>
  </si>
  <si>
    <t>1910022</t>
  </si>
  <si>
    <t>1910023</t>
  </si>
  <si>
    <t>1910024</t>
  </si>
  <si>
    <t>1910025</t>
  </si>
  <si>
    <t>1910026</t>
  </si>
  <si>
    <t>1910027</t>
  </si>
  <si>
    <t>1910028</t>
  </si>
  <si>
    <t>1910029</t>
  </si>
  <si>
    <t>1910030</t>
  </si>
  <si>
    <t>1910031</t>
  </si>
  <si>
    <t>1910032</t>
  </si>
  <si>
    <t>1910033</t>
  </si>
  <si>
    <t>1910034</t>
  </si>
  <si>
    <t>1910035</t>
  </si>
  <si>
    <t>1910036</t>
  </si>
  <si>
    <t>1910037</t>
  </si>
  <si>
    <t>1910038</t>
  </si>
  <si>
    <t>1910039</t>
  </si>
  <si>
    <t>1910040</t>
  </si>
  <si>
    <t>1910041</t>
  </si>
  <si>
    <t>1910042</t>
  </si>
  <si>
    <t>1910043</t>
  </si>
  <si>
    <t>1910044</t>
  </si>
  <si>
    <t>1910045</t>
  </si>
  <si>
    <t>2010001</t>
  </si>
  <si>
    <t>2010002</t>
  </si>
  <si>
    <t>2010003</t>
  </si>
  <si>
    <t>2010004</t>
  </si>
  <si>
    <t>2010005</t>
  </si>
  <si>
    <t>2010006</t>
  </si>
  <si>
    <t>2010007</t>
  </si>
  <si>
    <t>2010008</t>
  </si>
  <si>
    <t>2010009</t>
  </si>
  <si>
    <t>2010010</t>
  </si>
  <si>
    <t>2010011</t>
  </si>
  <si>
    <t>2010012</t>
  </si>
  <si>
    <t>2010013</t>
  </si>
  <si>
    <t>2010014</t>
  </si>
  <si>
    <t>2010015</t>
  </si>
  <si>
    <t>2010016</t>
  </si>
  <si>
    <t>2010017</t>
  </si>
  <si>
    <t>2010018</t>
  </si>
  <si>
    <t>2010019</t>
  </si>
  <si>
    <t>2010020</t>
  </si>
  <si>
    <t>2010021</t>
  </si>
  <si>
    <t>2010022</t>
  </si>
  <si>
    <t>2010023</t>
  </si>
  <si>
    <t>2010024</t>
  </si>
  <si>
    <t>2010025</t>
  </si>
  <si>
    <t>2010026</t>
  </si>
  <si>
    <t>2010027</t>
  </si>
  <si>
    <t>2010028</t>
  </si>
  <si>
    <t>2010029</t>
  </si>
  <si>
    <t>2010030</t>
  </si>
  <si>
    <t>2010031</t>
  </si>
  <si>
    <t>2010032</t>
  </si>
  <si>
    <t>2010033</t>
  </si>
  <si>
    <t>2010034</t>
  </si>
  <si>
    <t>2010035</t>
  </si>
  <si>
    <t>2010036</t>
  </si>
  <si>
    <t>2010037</t>
  </si>
  <si>
    <t>2010038</t>
  </si>
  <si>
    <t>2010039</t>
  </si>
  <si>
    <t>2010040</t>
  </si>
  <si>
    <t>2010041</t>
  </si>
  <si>
    <t>2010042</t>
  </si>
  <si>
    <t>2010043</t>
  </si>
  <si>
    <t>2010044</t>
  </si>
  <si>
    <t>2010045</t>
  </si>
  <si>
    <t>2010046</t>
  </si>
  <si>
    <t>2010047</t>
  </si>
  <si>
    <t>2010048</t>
  </si>
  <si>
    <t>2010049</t>
  </si>
  <si>
    <t>2010061</t>
  </si>
  <si>
    <t>2010062</t>
  </si>
  <si>
    <t>2010063</t>
  </si>
  <si>
    <t>2010064</t>
  </si>
  <si>
    <t>2010065</t>
  </si>
  <si>
    <t>2010066</t>
  </si>
  <si>
    <t>2010067</t>
  </si>
  <si>
    <t>2010068</t>
  </si>
  <si>
    <t>2010069</t>
  </si>
  <si>
    <t>2010070</t>
  </si>
  <si>
    <t>2010071</t>
  </si>
  <si>
    <t>2010072</t>
  </si>
  <si>
    <t>2010073</t>
  </si>
  <si>
    <t>2010074</t>
  </si>
  <si>
    <t>2010075</t>
  </si>
  <si>
    <t>2110001</t>
  </si>
  <si>
    <t>2110002</t>
  </si>
  <si>
    <t>2110003</t>
  </si>
  <si>
    <t>2110004</t>
  </si>
  <si>
    <t>2110005</t>
  </si>
  <si>
    <t>2110006</t>
  </si>
  <si>
    <t>2110007</t>
  </si>
  <si>
    <t>2110008</t>
  </si>
  <si>
    <t>2110009</t>
  </si>
  <si>
    <t>2110010</t>
  </si>
  <si>
    <t>2110011</t>
  </si>
  <si>
    <t>2110012</t>
  </si>
  <si>
    <t>2110013</t>
  </si>
  <si>
    <t>2110014</t>
  </si>
  <si>
    <t>2110015</t>
  </si>
  <si>
    <t>2110016</t>
  </si>
  <si>
    <t>2110017</t>
  </si>
  <si>
    <t>2110018</t>
  </si>
  <si>
    <t>2110019</t>
  </si>
  <si>
    <t>2110020</t>
  </si>
  <si>
    <t>2110021</t>
  </si>
  <si>
    <t>2110022</t>
  </si>
  <si>
    <t>2110023</t>
  </si>
  <si>
    <t>2110024</t>
  </si>
  <si>
    <t>2110025</t>
  </si>
  <si>
    <t>2110026</t>
  </si>
  <si>
    <t>2110027</t>
  </si>
  <si>
    <t>2110028</t>
  </si>
  <si>
    <t>2110029</t>
  </si>
  <si>
    <t>2110030</t>
  </si>
  <si>
    <t>2110031</t>
  </si>
  <si>
    <t>2110032</t>
  </si>
  <si>
    <t>2110033</t>
  </si>
  <si>
    <t>2110034</t>
  </si>
  <si>
    <t>2110035</t>
  </si>
  <si>
    <t>2110036</t>
  </si>
  <si>
    <t>2110037</t>
  </si>
  <si>
    <t>2110038</t>
  </si>
  <si>
    <t>2210001</t>
  </si>
  <si>
    <t>2210002</t>
  </si>
  <si>
    <t>2210003</t>
  </si>
  <si>
    <t>2210004</t>
  </si>
  <si>
    <t>2210005</t>
  </si>
  <si>
    <t>2210006</t>
  </si>
  <si>
    <t>2210007</t>
  </si>
  <si>
    <t>2210008</t>
  </si>
  <si>
    <t>2210009</t>
  </si>
  <si>
    <t>2210010</t>
  </si>
  <si>
    <t>2210011</t>
  </si>
  <si>
    <t>2210012</t>
  </si>
  <si>
    <t>2210013</t>
  </si>
  <si>
    <t>2210014</t>
  </si>
  <si>
    <t>2210015</t>
  </si>
  <si>
    <t>2210016</t>
  </si>
  <si>
    <t>2210017</t>
  </si>
  <si>
    <t>2210018</t>
  </si>
  <si>
    <t>2210019</t>
  </si>
  <si>
    <t>2210020</t>
  </si>
  <si>
    <t>2210021</t>
  </si>
  <si>
    <t>2210022</t>
  </si>
  <si>
    <t>2210023</t>
  </si>
  <si>
    <t>2210024</t>
  </si>
  <si>
    <t>2210025</t>
  </si>
  <si>
    <t>2210026</t>
  </si>
  <si>
    <t>2210027</t>
  </si>
  <si>
    <t>2210028</t>
  </si>
  <si>
    <t>2210029</t>
  </si>
  <si>
    <t>2210030</t>
  </si>
  <si>
    <t>2210031</t>
  </si>
  <si>
    <t>2210032</t>
  </si>
  <si>
    <t>2210033</t>
  </si>
  <si>
    <t>2210034</t>
  </si>
  <si>
    <t>2210035</t>
  </si>
  <si>
    <t>2210036</t>
  </si>
  <si>
    <t>2210037</t>
  </si>
  <si>
    <t>2210038</t>
  </si>
  <si>
    <t>2210039</t>
  </si>
  <si>
    <t>2210040</t>
  </si>
  <si>
    <t>2210041</t>
  </si>
  <si>
    <t>2210042</t>
  </si>
  <si>
    <t>2210043</t>
  </si>
  <si>
    <t>2210044</t>
  </si>
  <si>
    <t>2210045</t>
  </si>
  <si>
    <t>2210046</t>
  </si>
  <si>
    <t>2210047</t>
  </si>
  <si>
    <t>2210048</t>
  </si>
  <si>
    <t>2210049</t>
  </si>
  <si>
    <t>2210050</t>
  </si>
  <si>
    <t>2210051</t>
  </si>
  <si>
    <t>2210052</t>
  </si>
  <si>
    <t>2210053</t>
  </si>
  <si>
    <t>2210054</t>
  </si>
  <si>
    <t>2310001</t>
  </si>
  <si>
    <t>2310002</t>
  </si>
  <si>
    <t>2310003</t>
  </si>
  <si>
    <t>2310004</t>
  </si>
  <si>
    <t>2310005</t>
  </si>
  <si>
    <t>2310006</t>
  </si>
  <si>
    <t>2310007</t>
  </si>
  <si>
    <t>2310008</t>
  </si>
  <si>
    <t>2310009</t>
  </si>
  <si>
    <t>2310010</t>
  </si>
  <si>
    <t>2310011</t>
  </si>
  <si>
    <t>2310012</t>
  </si>
  <si>
    <t>2310013</t>
  </si>
  <si>
    <t>2310014</t>
  </si>
  <si>
    <t>2310015</t>
  </si>
  <si>
    <t>2310016</t>
  </si>
  <si>
    <t>2310017</t>
  </si>
  <si>
    <t>2310018</t>
  </si>
  <si>
    <t>2310019</t>
  </si>
  <si>
    <t>2310020</t>
  </si>
  <si>
    <t>2310021</t>
  </si>
  <si>
    <t>2310022</t>
  </si>
  <si>
    <t>2310023</t>
  </si>
  <si>
    <t>2310024</t>
  </si>
  <si>
    <t>2310025</t>
  </si>
  <si>
    <t>2310026</t>
  </si>
  <si>
    <t>2310027</t>
  </si>
  <si>
    <t>2310028</t>
  </si>
  <si>
    <t>2310029</t>
  </si>
  <si>
    <t>2310030</t>
  </si>
  <si>
    <t>2310031</t>
  </si>
  <si>
    <t>2310032</t>
  </si>
  <si>
    <t>2310033</t>
  </si>
  <si>
    <t>2310034</t>
  </si>
  <si>
    <t>2310035</t>
  </si>
  <si>
    <t>2310036</t>
  </si>
  <si>
    <t>2310037</t>
  </si>
  <si>
    <t>2310038</t>
  </si>
  <si>
    <t>2310039</t>
  </si>
  <si>
    <t>2310040</t>
  </si>
  <si>
    <t>2310041</t>
  </si>
  <si>
    <t>2310042</t>
  </si>
  <si>
    <t>2310043</t>
  </si>
  <si>
    <t>2310044</t>
  </si>
  <si>
    <t>2310045</t>
  </si>
  <si>
    <t>2310046</t>
  </si>
  <si>
    <t>2310047</t>
  </si>
  <si>
    <t>2310048</t>
  </si>
  <si>
    <t>2310049</t>
  </si>
  <si>
    <t>2310050</t>
  </si>
  <si>
    <t>2310051</t>
  </si>
  <si>
    <t>2310052</t>
  </si>
  <si>
    <t>2310053</t>
  </si>
  <si>
    <t>2310054</t>
  </si>
  <si>
    <t>2310055</t>
  </si>
  <si>
    <t>2310056</t>
  </si>
  <si>
    <t>2310057</t>
  </si>
  <si>
    <t>2310058</t>
  </si>
  <si>
    <t>2310059</t>
  </si>
  <si>
    <t>2310060</t>
  </si>
  <si>
    <t>2310061</t>
  </si>
  <si>
    <t>2310062</t>
  </si>
  <si>
    <t>2310063</t>
  </si>
  <si>
    <t>2310064</t>
  </si>
  <si>
    <t>2310065</t>
  </si>
  <si>
    <t>2310066</t>
  </si>
  <si>
    <t>2310067</t>
  </si>
  <si>
    <t>2310068</t>
  </si>
  <si>
    <t>2310069</t>
  </si>
  <si>
    <t>2310070</t>
  </si>
  <si>
    <t>2310071</t>
  </si>
  <si>
    <t>2310072</t>
  </si>
  <si>
    <t>2310073</t>
  </si>
  <si>
    <t>2310074</t>
  </si>
  <si>
    <t>2310075</t>
  </si>
  <si>
    <t>2310076</t>
  </si>
  <si>
    <t>2310077</t>
  </si>
  <si>
    <t>2310078</t>
  </si>
  <si>
    <t>2310079</t>
  </si>
  <si>
    <t>2310080</t>
  </si>
  <si>
    <t>2310081</t>
  </si>
  <si>
    <t>2310082</t>
  </si>
  <si>
    <t>2310083</t>
  </si>
  <si>
    <t>2310084</t>
  </si>
  <si>
    <t>2310085</t>
  </si>
  <si>
    <t>2310086</t>
  </si>
  <si>
    <t>2310087</t>
  </si>
  <si>
    <t>2310088</t>
  </si>
  <si>
    <t>2310089</t>
  </si>
  <si>
    <t>2310090</t>
  </si>
  <si>
    <t>2310091</t>
  </si>
  <si>
    <t>2310092</t>
  </si>
  <si>
    <t>2310093</t>
  </si>
  <si>
    <t>2310094</t>
  </si>
  <si>
    <t>2310095</t>
  </si>
  <si>
    <t>2310096</t>
  </si>
  <si>
    <t>2310097</t>
  </si>
  <si>
    <t>2310098</t>
  </si>
  <si>
    <t>2310099</t>
  </si>
  <si>
    <t>2310100</t>
  </si>
  <si>
    <t>2310101</t>
  </si>
  <si>
    <t>2310102</t>
  </si>
  <si>
    <t>2310103</t>
  </si>
  <si>
    <t>2310104</t>
  </si>
  <si>
    <t>2310105</t>
  </si>
  <si>
    <t>2310106</t>
  </si>
  <si>
    <t>2310107</t>
  </si>
  <si>
    <t>2310108</t>
  </si>
  <si>
    <t>2310109</t>
  </si>
  <si>
    <t>2310110</t>
  </si>
  <si>
    <t>2310111</t>
  </si>
  <si>
    <t>2310112</t>
  </si>
  <si>
    <t>2310113</t>
  </si>
  <si>
    <t>2310114</t>
  </si>
  <si>
    <t>2510001</t>
  </si>
  <si>
    <t>2510002</t>
  </si>
  <si>
    <t>2510003</t>
  </si>
  <si>
    <t>2510004</t>
  </si>
  <si>
    <t>2510005</t>
  </si>
  <si>
    <t>2510006</t>
  </si>
  <si>
    <t>2510007</t>
  </si>
  <si>
    <t>2510008</t>
  </si>
  <si>
    <t>2510009</t>
  </si>
  <si>
    <t>2510010</t>
  </si>
  <si>
    <t>2510011</t>
  </si>
  <si>
    <t>2510012</t>
  </si>
  <si>
    <t>2510013</t>
  </si>
  <si>
    <t>2510014</t>
  </si>
  <si>
    <t>2510015</t>
  </si>
  <si>
    <t>2510016</t>
  </si>
  <si>
    <t>2510017</t>
  </si>
  <si>
    <t>2510018</t>
  </si>
  <si>
    <t>2510019</t>
  </si>
  <si>
    <t>2510020</t>
  </si>
  <si>
    <t>2510021</t>
  </si>
  <si>
    <t>2510022</t>
  </si>
  <si>
    <t>2510023</t>
  </si>
  <si>
    <t>2510024</t>
  </si>
  <si>
    <t>2510025</t>
  </si>
  <si>
    <t>2510026</t>
  </si>
  <si>
    <t>2510027</t>
  </si>
  <si>
    <t>2510028</t>
  </si>
  <si>
    <t>2510029</t>
  </si>
  <si>
    <t>2510030</t>
  </si>
  <si>
    <t>2510031</t>
  </si>
  <si>
    <t>2510032</t>
  </si>
  <si>
    <t>2510033</t>
  </si>
  <si>
    <t>2510034</t>
  </si>
  <si>
    <t>2510035</t>
  </si>
  <si>
    <t>2510036</t>
  </si>
  <si>
    <t>2510037</t>
  </si>
  <si>
    <t>2510038</t>
  </si>
  <si>
    <t>2510039</t>
  </si>
  <si>
    <t>2510040</t>
  </si>
  <si>
    <t>2510041</t>
  </si>
  <si>
    <t>2510042</t>
  </si>
  <si>
    <t>2510043</t>
  </si>
  <si>
    <t>2510044</t>
  </si>
  <si>
    <t>2510045</t>
  </si>
  <si>
    <t>2510046</t>
  </si>
  <si>
    <t>2510047</t>
  </si>
  <si>
    <t>2510048</t>
  </si>
  <si>
    <t>2510049</t>
  </si>
  <si>
    <t>2510050</t>
  </si>
  <si>
    <t>2510051</t>
  </si>
  <si>
    <t>2510052</t>
  </si>
  <si>
    <t>2510053</t>
  </si>
  <si>
    <t>2510054</t>
  </si>
  <si>
    <t>2510055</t>
  </si>
  <si>
    <t>2510056</t>
  </si>
  <si>
    <t>2510057</t>
  </si>
  <si>
    <t>2510058</t>
  </si>
  <si>
    <t>2510059</t>
  </si>
  <si>
    <t>2510060</t>
  </si>
  <si>
    <t>2510061</t>
  </si>
  <si>
    <t>2510062</t>
  </si>
  <si>
    <t>2510063</t>
  </si>
  <si>
    <t>2510064</t>
  </si>
  <si>
    <t>2510065</t>
  </si>
  <si>
    <t>2510066</t>
  </si>
  <si>
    <t>2510067</t>
  </si>
  <si>
    <t>2510068</t>
  </si>
  <si>
    <t>2510069</t>
  </si>
  <si>
    <t>2510070</t>
  </si>
  <si>
    <t>2510071</t>
  </si>
  <si>
    <t>2510072</t>
  </si>
  <si>
    <t>2510073</t>
  </si>
  <si>
    <t>2510074</t>
  </si>
  <si>
    <t>2510075</t>
  </si>
  <si>
    <t>2510076</t>
  </si>
  <si>
    <t>2510077</t>
  </si>
  <si>
    <t>2510078</t>
  </si>
  <si>
    <t>2510079</t>
  </si>
  <si>
    <t>2510080</t>
  </si>
  <si>
    <t>2510081</t>
  </si>
  <si>
    <t>2510082</t>
  </si>
  <si>
    <t>2510083</t>
  </si>
  <si>
    <t>2510084</t>
  </si>
  <si>
    <t>2510085</t>
  </si>
  <si>
    <t>2510086</t>
  </si>
  <si>
    <t>2510087</t>
  </si>
  <si>
    <t>2510088</t>
  </si>
  <si>
    <t>2510089</t>
  </si>
  <si>
    <t>2510090</t>
  </si>
  <si>
    <t>2510091</t>
  </si>
  <si>
    <t>2510092</t>
  </si>
  <si>
    <t>2510093</t>
  </si>
  <si>
    <t>2510094</t>
  </si>
  <si>
    <t>2510095</t>
  </si>
  <si>
    <t>2510096</t>
  </si>
  <si>
    <t>2510097</t>
  </si>
  <si>
    <t>2510098</t>
  </si>
  <si>
    <t>2510099</t>
  </si>
  <si>
    <t>2510100</t>
  </si>
  <si>
    <t>2510101</t>
  </si>
  <si>
    <t>2510102</t>
  </si>
  <si>
    <t>2510103</t>
  </si>
  <si>
    <t>2510104</t>
  </si>
  <si>
    <t>2710001</t>
  </si>
  <si>
    <t>2710002</t>
  </si>
  <si>
    <t>2710003</t>
  </si>
  <si>
    <t>2710004</t>
  </si>
  <si>
    <t>2710005</t>
  </si>
  <si>
    <t>2710006</t>
  </si>
  <si>
    <t>2710007</t>
  </si>
  <si>
    <t>2710008</t>
  </si>
  <si>
    <t>2710009</t>
  </si>
  <si>
    <t>2710010</t>
  </si>
  <si>
    <t>2710011</t>
  </si>
  <si>
    <t>2710012</t>
  </si>
  <si>
    <t>2710013</t>
  </si>
  <si>
    <t>2710014</t>
  </si>
  <si>
    <t>2710015</t>
  </si>
  <si>
    <t>2710016</t>
  </si>
  <si>
    <t>2710017</t>
  </si>
  <si>
    <t>2710018</t>
  </si>
  <si>
    <t>2710019</t>
  </si>
  <si>
    <t>2710020</t>
  </si>
  <si>
    <t>2710021</t>
  </si>
  <si>
    <t>2710022</t>
  </si>
  <si>
    <t>2710023</t>
  </si>
  <si>
    <t>2710024</t>
  </si>
  <si>
    <t>2710025</t>
  </si>
  <si>
    <t>2710026</t>
  </si>
  <si>
    <t>2710027</t>
  </si>
  <si>
    <t>2710028</t>
  </si>
  <si>
    <t>2710029</t>
  </si>
  <si>
    <t>2710030</t>
  </si>
  <si>
    <t>2710031</t>
  </si>
  <si>
    <t>2710032</t>
  </si>
  <si>
    <t>2710033</t>
  </si>
  <si>
    <t>2710034</t>
  </si>
  <si>
    <t>2710035</t>
  </si>
  <si>
    <t>2710036</t>
  </si>
  <si>
    <t>2710037</t>
  </si>
  <si>
    <t>2710038</t>
  </si>
  <si>
    <t>2710039</t>
  </si>
  <si>
    <t>2710040</t>
  </si>
  <si>
    <t>2710041</t>
  </si>
  <si>
    <t>2710042</t>
  </si>
  <si>
    <t>2710043</t>
  </si>
  <si>
    <t>2710044</t>
  </si>
  <si>
    <t>2710045</t>
  </si>
  <si>
    <t>2710046</t>
  </si>
  <si>
    <t>2710047</t>
  </si>
  <si>
    <t>2710048</t>
  </si>
  <si>
    <t>2710049</t>
  </si>
  <si>
    <t>2710050</t>
  </si>
  <si>
    <t>2710051</t>
  </si>
  <si>
    <t>2710052</t>
  </si>
  <si>
    <t>2710053</t>
  </si>
  <si>
    <t>2710054</t>
  </si>
  <si>
    <t>2710055</t>
  </si>
  <si>
    <t>2710056</t>
  </si>
  <si>
    <t>2710057</t>
  </si>
  <si>
    <t>2710058</t>
  </si>
  <si>
    <t>2710059</t>
  </si>
  <si>
    <t>2710060</t>
  </si>
  <si>
    <t>2710061</t>
  </si>
  <si>
    <t>2710062</t>
  </si>
  <si>
    <t>2710063</t>
  </si>
  <si>
    <t>2710064</t>
  </si>
  <si>
    <t>2710065</t>
  </si>
  <si>
    <t>2710066</t>
  </si>
  <si>
    <t>2710067</t>
  </si>
  <si>
    <t>2710068</t>
  </si>
  <si>
    <t>2710069</t>
  </si>
  <si>
    <t>2710070</t>
  </si>
  <si>
    <t>2710071</t>
  </si>
  <si>
    <t>2710072</t>
  </si>
  <si>
    <t>2710073</t>
  </si>
  <si>
    <t>2710074</t>
  </si>
  <si>
    <t>2710075</t>
  </si>
  <si>
    <t>2710076</t>
  </si>
  <si>
    <t>2710077</t>
  </si>
  <si>
    <t>2710078</t>
  </si>
  <si>
    <t>2710079</t>
  </si>
  <si>
    <t>2710080</t>
  </si>
  <si>
    <t>2710081</t>
  </si>
  <si>
    <t>2710082</t>
  </si>
  <si>
    <t>2710083</t>
  </si>
  <si>
    <t>2710084</t>
  </si>
  <si>
    <t>2710085</t>
  </si>
  <si>
    <t>2710086</t>
  </si>
  <si>
    <t>2710087</t>
  </si>
  <si>
    <t>2710088</t>
  </si>
  <si>
    <t>2710089</t>
  </si>
  <si>
    <t>2710090</t>
  </si>
  <si>
    <t>2710091</t>
  </si>
  <si>
    <t>2710092</t>
  </si>
  <si>
    <t>2710093</t>
  </si>
  <si>
    <t>2710094</t>
  </si>
  <si>
    <t>2710095</t>
  </si>
  <si>
    <t>2710096</t>
  </si>
  <si>
    <t>2710097</t>
  </si>
  <si>
    <t>2710098</t>
  </si>
  <si>
    <t>2710099</t>
  </si>
  <si>
    <t>2810001</t>
  </si>
  <si>
    <t>2810002</t>
  </si>
  <si>
    <t>2810003</t>
  </si>
  <si>
    <t>2810004</t>
  </si>
  <si>
    <t>2810005</t>
  </si>
  <si>
    <t>2810006</t>
  </si>
  <si>
    <t>2810007</t>
  </si>
  <si>
    <t>2810008</t>
  </si>
  <si>
    <t>2810009</t>
  </si>
  <si>
    <t>2810010</t>
  </si>
  <si>
    <t>2810011</t>
  </si>
  <si>
    <t>2810012</t>
  </si>
  <si>
    <t>2810013</t>
  </si>
  <si>
    <t>2810014</t>
  </si>
  <si>
    <t>2810015</t>
  </si>
  <si>
    <t>2810016</t>
  </si>
  <si>
    <t>2810017</t>
  </si>
  <si>
    <t>2810018</t>
  </si>
  <si>
    <t>2810019</t>
  </si>
  <si>
    <t>2810020</t>
  </si>
  <si>
    <t>2810021</t>
  </si>
  <si>
    <t>2810022</t>
  </si>
  <si>
    <t>2810023</t>
  </si>
  <si>
    <t>2810024</t>
  </si>
  <si>
    <t>2810025</t>
  </si>
  <si>
    <t>2810026</t>
  </si>
  <si>
    <t>2810027</t>
  </si>
  <si>
    <t>2810028</t>
  </si>
  <si>
    <t>2810029</t>
  </si>
  <si>
    <t>2810030</t>
  </si>
  <si>
    <t>2810031</t>
  </si>
  <si>
    <t>2810032</t>
  </si>
  <si>
    <t>2810033</t>
  </si>
  <si>
    <t>2810034</t>
  </si>
  <si>
    <t>2810035</t>
  </si>
  <si>
    <t>2810036</t>
  </si>
  <si>
    <t>2810037</t>
  </si>
  <si>
    <t>2810038</t>
  </si>
  <si>
    <t>2810039</t>
  </si>
  <si>
    <t>2810040</t>
  </si>
  <si>
    <t>2810041</t>
  </si>
  <si>
    <t>2810042</t>
  </si>
  <si>
    <t>2810043</t>
  </si>
  <si>
    <t>2810044</t>
  </si>
  <si>
    <t>2810045</t>
  </si>
  <si>
    <t>2810046</t>
  </si>
  <si>
    <t>2810047</t>
  </si>
  <si>
    <t>2810048</t>
  </si>
  <si>
    <t>2810049</t>
  </si>
  <si>
    <t>2810050</t>
  </si>
  <si>
    <t>2810051</t>
  </si>
  <si>
    <t>2810052</t>
  </si>
  <si>
    <t>2810053</t>
  </si>
  <si>
    <t>2810054</t>
  </si>
  <si>
    <t>2810055</t>
  </si>
  <si>
    <t>2810056</t>
  </si>
  <si>
    <t>2810057</t>
  </si>
  <si>
    <t>2810058</t>
  </si>
  <si>
    <t>2810059</t>
  </si>
  <si>
    <t>2810060</t>
  </si>
  <si>
    <t>2810061</t>
  </si>
  <si>
    <t>2810062</t>
  </si>
  <si>
    <t>2810063</t>
  </si>
  <si>
    <t>2810064</t>
  </si>
  <si>
    <t>2810065</t>
  </si>
  <si>
    <t>2810066</t>
  </si>
  <si>
    <t>2810067</t>
  </si>
  <si>
    <t>2810068</t>
  </si>
  <si>
    <t>2810069</t>
  </si>
  <si>
    <t>2810070</t>
  </si>
  <si>
    <t>2810071</t>
  </si>
  <si>
    <t>2810072</t>
  </si>
  <si>
    <t>2810073</t>
  </si>
  <si>
    <t>2810074</t>
  </si>
  <si>
    <t>2810075</t>
  </si>
  <si>
    <t>2810076</t>
  </si>
  <si>
    <t>2810077</t>
  </si>
  <si>
    <t>2810078</t>
  </si>
  <si>
    <t>2810079</t>
  </si>
  <si>
    <t>2810080</t>
  </si>
  <si>
    <t>2810081</t>
  </si>
  <si>
    <t>2810082</t>
  </si>
  <si>
    <t>2810083</t>
  </si>
  <si>
    <t>2810084</t>
  </si>
  <si>
    <t>2810085</t>
  </si>
  <si>
    <t>2810086</t>
  </si>
  <si>
    <t>2810087</t>
  </si>
  <si>
    <t>2810088</t>
  </si>
  <si>
    <t>2810089</t>
  </si>
  <si>
    <t>2810090</t>
  </si>
  <si>
    <t>2810091</t>
  </si>
  <si>
    <t>2810092</t>
  </si>
  <si>
    <t>2810093</t>
  </si>
  <si>
    <t>2810094</t>
  </si>
  <si>
    <t>2810095</t>
  </si>
  <si>
    <t>2810096</t>
  </si>
  <si>
    <t>2810097</t>
  </si>
  <si>
    <t>2810098</t>
  </si>
  <si>
    <t>2810099</t>
  </si>
  <si>
    <t>2810100</t>
  </si>
  <si>
    <t>2810101</t>
  </si>
  <si>
    <t>2810102</t>
  </si>
  <si>
    <t>2810103</t>
  </si>
  <si>
    <t>2810104</t>
  </si>
  <si>
    <t>2810105</t>
  </si>
  <si>
    <t>2810106</t>
  </si>
  <si>
    <t>2810107</t>
  </si>
  <si>
    <t>2810108</t>
  </si>
  <si>
    <t>2810109</t>
  </si>
  <si>
    <t>2810110</t>
  </si>
  <si>
    <t>2810111</t>
  </si>
  <si>
    <t>2810112</t>
  </si>
  <si>
    <t>2810113</t>
  </si>
  <si>
    <t>2810114</t>
  </si>
  <si>
    <t>2810115</t>
  </si>
  <si>
    <t>2810116</t>
  </si>
  <si>
    <t>2810117</t>
  </si>
  <si>
    <t>2810118</t>
  </si>
  <si>
    <t>2810119</t>
  </si>
  <si>
    <t>2810120</t>
  </si>
  <si>
    <t>2810121</t>
  </si>
  <si>
    <t>2810122</t>
  </si>
  <si>
    <t>2810123</t>
  </si>
  <si>
    <t>2810124</t>
  </si>
  <si>
    <t>2810125</t>
  </si>
  <si>
    <t>2810126</t>
  </si>
  <si>
    <t>2810127</t>
  </si>
  <si>
    <t>2810128</t>
  </si>
  <si>
    <t>2810129</t>
  </si>
  <si>
    <t>2810130</t>
  </si>
  <si>
    <t>2810131</t>
  </si>
  <si>
    <t>2810132</t>
  </si>
  <si>
    <t>2810133</t>
  </si>
  <si>
    <t>2810134</t>
  </si>
  <si>
    <t>2810135</t>
  </si>
  <si>
    <t>2810136</t>
  </si>
  <si>
    <t>2810137</t>
  </si>
  <si>
    <t>2810138</t>
  </si>
  <si>
    <t>2810139</t>
  </si>
  <si>
    <t>2810140</t>
  </si>
  <si>
    <t>2810141</t>
  </si>
  <si>
    <t>2810142</t>
  </si>
  <si>
    <t>2810143</t>
  </si>
  <si>
    <t>2810144</t>
  </si>
  <si>
    <t>2810145</t>
  </si>
  <si>
    <t>2810146</t>
  </si>
  <si>
    <t>2810147</t>
  </si>
  <si>
    <t>2810148</t>
  </si>
  <si>
    <t>3310001</t>
  </si>
  <si>
    <t>3310002</t>
  </si>
  <si>
    <t>3310003</t>
  </si>
  <si>
    <t>3310004</t>
  </si>
  <si>
    <t>3310005</t>
  </si>
  <si>
    <t>3310006</t>
  </si>
  <si>
    <t>3310007</t>
  </si>
  <si>
    <t>3310008</t>
  </si>
  <si>
    <t>3310009</t>
  </si>
  <si>
    <t>3310010</t>
  </si>
  <si>
    <t>3310011</t>
  </si>
  <si>
    <t>3310012</t>
  </si>
  <si>
    <t>3310013</t>
  </si>
  <si>
    <t>3310014</t>
  </si>
  <si>
    <t>3310015</t>
  </si>
  <si>
    <t>3310016</t>
  </si>
  <si>
    <t>3310017</t>
  </si>
  <si>
    <t>3310018</t>
  </si>
  <si>
    <t>3310019</t>
  </si>
  <si>
    <t>3310020</t>
  </si>
  <si>
    <t>3310021</t>
  </si>
  <si>
    <t>3310022</t>
  </si>
  <si>
    <t>3310023</t>
  </si>
  <si>
    <t>3310024</t>
  </si>
  <si>
    <t>3310025</t>
  </si>
  <si>
    <t>3310026</t>
  </si>
  <si>
    <t>3310027</t>
  </si>
  <si>
    <t>3310028</t>
  </si>
  <si>
    <t>3310029</t>
  </si>
  <si>
    <t>3310030</t>
  </si>
  <si>
    <t>3310031</t>
  </si>
  <si>
    <t>3310032</t>
  </si>
  <si>
    <t>3310033</t>
  </si>
  <si>
    <t>3310034</t>
  </si>
  <si>
    <t>3310035</t>
  </si>
  <si>
    <t>3310036</t>
  </si>
  <si>
    <t>3310037</t>
  </si>
  <si>
    <t>3310038</t>
  </si>
  <si>
    <t>3310039</t>
  </si>
  <si>
    <t>3310040</t>
  </si>
  <si>
    <t>3310041</t>
  </si>
  <si>
    <t>3310042</t>
  </si>
  <si>
    <t>3310043</t>
  </si>
  <si>
    <t>3310044</t>
  </si>
  <si>
    <t>3310045</t>
  </si>
  <si>
    <t>3310046</t>
  </si>
  <si>
    <t>3310047</t>
  </si>
  <si>
    <t>3310048</t>
  </si>
  <si>
    <t>3310049</t>
  </si>
  <si>
    <t>3310050</t>
  </si>
  <si>
    <t>3310051</t>
  </si>
  <si>
    <t>3310052</t>
  </si>
  <si>
    <t>3310053</t>
  </si>
  <si>
    <t>3310054</t>
  </si>
  <si>
    <t>3310055</t>
  </si>
  <si>
    <t>3310056</t>
  </si>
  <si>
    <t>3310057</t>
  </si>
  <si>
    <t>3310058</t>
  </si>
  <si>
    <t>3310059</t>
  </si>
  <si>
    <t>3310060</t>
  </si>
  <si>
    <t>3310061</t>
  </si>
  <si>
    <t>3310062</t>
  </si>
  <si>
    <t>3310063</t>
  </si>
  <si>
    <t>3310064</t>
  </si>
  <si>
    <t>3310065</t>
  </si>
  <si>
    <t>3310066</t>
  </si>
  <si>
    <t>3310067</t>
  </si>
  <si>
    <t>3310068</t>
  </si>
  <si>
    <t>3310069</t>
  </si>
  <si>
    <t>3310070</t>
  </si>
  <si>
    <t>3310071</t>
  </si>
  <si>
    <t>3310072</t>
  </si>
  <si>
    <t>3310073</t>
  </si>
  <si>
    <t>3310074</t>
  </si>
  <si>
    <t>3310075</t>
  </si>
  <si>
    <t>3310076</t>
  </si>
  <si>
    <t>3310077</t>
  </si>
  <si>
    <t>3310078</t>
  </si>
  <si>
    <t>3310079</t>
  </si>
  <si>
    <t>3310080</t>
  </si>
  <si>
    <t>3310081</t>
  </si>
  <si>
    <t>3310082</t>
  </si>
  <si>
    <t>3310083</t>
  </si>
  <si>
    <t>3310084</t>
  </si>
  <si>
    <t>3310085</t>
  </si>
  <si>
    <t>3310086</t>
  </si>
  <si>
    <t>3310087</t>
  </si>
  <si>
    <t>3310088</t>
  </si>
  <si>
    <t>3310089</t>
  </si>
  <si>
    <t>3310090</t>
  </si>
  <si>
    <t>3310091</t>
  </si>
  <si>
    <t>3310092</t>
  </si>
  <si>
    <t>3310093</t>
  </si>
  <si>
    <t>3310094</t>
  </si>
  <si>
    <t>3310095</t>
  </si>
  <si>
    <t>3310096</t>
  </si>
  <si>
    <t>3310097</t>
  </si>
  <si>
    <t>3310098</t>
  </si>
  <si>
    <t>3310099</t>
  </si>
  <si>
    <t>3310100</t>
  </si>
  <si>
    <t>3310101</t>
  </si>
  <si>
    <t>3310102</t>
  </si>
  <si>
    <t>3310103</t>
  </si>
  <si>
    <t>3310104</t>
  </si>
  <si>
    <t>3310105</t>
  </si>
  <si>
    <t>3310106</t>
  </si>
  <si>
    <t>3310107</t>
  </si>
  <si>
    <t>3310108</t>
  </si>
  <si>
    <t>3310109</t>
  </si>
  <si>
    <t>3310110</t>
  </si>
  <si>
    <t>3310111</t>
  </si>
  <si>
    <t>3310112</t>
  </si>
  <si>
    <t>3310113</t>
  </si>
  <si>
    <t>3310114</t>
  </si>
  <si>
    <t>3310115</t>
  </si>
  <si>
    <t>3310116</t>
  </si>
  <si>
    <t>3310117</t>
  </si>
  <si>
    <t>3310118</t>
  </si>
  <si>
    <t>3310119</t>
  </si>
  <si>
    <t>3310120</t>
  </si>
  <si>
    <t>3310121</t>
  </si>
  <si>
    <t>3310122</t>
  </si>
  <si>
    <t>3310123</t>
  </si>
  <si>
    <t>3310124</t>
  </si>
  <si>
    <t>3310125</t>
  </si>
  <si>
    <t>3310126</t>
  </si>
  <si>
    <t>3310127</t>
  </si>
  <si>
    <t>3310128</t>
  </si>
  <si>
    <t>3310129</t>
  </si>
  <si>
    <t>3510001</t>
  </si>
  <si>
    <t>3510002</t>
  </si>
  <si>
    <t>3510003</t>
  </si>
  <si>
    <t>3510004</t>
  </si>
  <si>
    <t>3510005</t>
  </si>
  <si>
    <t>3510006</t>
  </si>
  <si>
    <t>3510007</t>
  </si>
  <si>
    <t>3510008</t>
  </si>
  <si>
    <t>3510009</t>
  </si>
  <si>
    <t>3510010</t>
  </si>
  <si>
    <t>3510011</t>
  </si>
  <si>
    <t>3510012</t>
  </si>
  <si>
    <t>3510013</t>
  </si>
  <si>
    <t>3510014</t>
  </si>
  <si>
    <t>3510015</t>
  </si>
  <si>
    <t>3510016</t>
  </si>
  <si>
    <t>3510017</t>
  </si>
  <si>
    <t>3510018</t>
  </si>
  <si>
    <t>3510019</t>
  </si>
  <si>
    <t>3510020</t>
  </si>
  <si>
    <t>3510021</t>
  </si>
  <si>
    <t>3510022</t>
  </si>
  <si>
    <t>3510023</t>
  </si>
  <si>
    <t>3510024</t>
  </si>
  <si>
    <t>3510025</t>
  </si>
  <si>
    <t>3510026</t>
  </si>
  <si>
    <t>3510027</t>
  </si>
  <si>
    <t>3510028</t>
  </si>
  <si>
    <t>3510029</t>
  </si>
  <si>
    <t>3510030</t>
  </si>
  <si>
    <t>3510031</t>
  </si>
  <si>
    <t>3510032</t>
  </si>
  <si>
    <t>3510033</t>
  </si>
  <si>
    <t>3510034</t>
  </si>
  <si>
    <t>3510035</t>
  </si>
  <si>
    <t>3510036</t>
  </si>
  <si>
    <t>3510037</t>
  </si>
  <si>
    <t>3510038</t>
  </si>
  <si>
    <t>3510039</t>
  </si>
  <si>
    <t>3510040</t>
  </si>
  <si>
    <t>3510041</t>
  </si>
  <si>
    <t>3510042</t>
  </si>
  <si>
    <t>3510043</t>
  </si>
  <si>
    <t>3510044</t>
  </si>
  <si>
    <t>3510045</t>
  </si>
  <si>
    <t>3510046</t>
  </si>
  <si>
    <t>3510047</t>
  </si>
  <si>
    <t>3510048</t>
  </si>
  <si>
    <t>3510049</t>
  </si>
  <si>
    <t>3510050</t>
  </si>
  <si>
    <t>3510051</t>
  </si>
  <si>
    <t>3510052</t>
  </si>
  <si>
    <t>3510053</t>
  </si>
  <si>
    <t>3510054</t>
  </si>
  <si>
    <t>3510055</t>
  </si>
  <si>
    <t>3510056</t>
  </si>
  <si>
    <t>3510057</t>
  </si>
  <si>
    <t>3510058</t>
  </si>
  <si>
    <t>3510059</t>
  </si>
  <si>
    <t>3510060</t>
  </si>
  <si>
    <t>3510061</t>
  </si>
  <si>
    <t>3510062</t>
  </si>
  <si>
    <t>3510063</t>
  </si>
  <si>
    <t>3510064</t>
  </si>
  <si>
    <t>3510065</t>
  </si>
  <si>
    <t>3510066</t>
  </si>
  <si>
    <t>3510067</t>
  </si>
  <si>
    <t>3510068</t>
  </si>
  <si>
    <t>3510069</t>
  </si>
  <si>
    <t>3510070</t>
  </si>
  <si>
    <t>3510071</t>
  </si>
  <si>
    <t>3510072</t>
  </si>
  <si>
    <t>3510073</t>
  </si>
  <si>
    <t>3510074</t>
  </si>
  <si>
    <t>3510075</t>
  </si>
  <si>
    <t>3510076</t>
  </si>
  <si>
    <t>3510077</t>
  </si>
  <si>
    <t>3510078</t>
  </si>
  <si>
    <t>3510079</t>
  </si>
  <si>
    <t>3510080</t>
  </si>
  <si>
    <t>3510081</t>
  </si>
  <si>
    <t>3510082</t>
  </si>
  <si>
    <t>3510083</t>
  </si>
  <si>
    <t>3510084</t>
  </si>
  <si>
    <t>3510085</t>
  </si>
  <si>
    <t>3510086</t>
  </si>
  <si>
    <t>3510087</t>
  </si>
  <si>
    <t>3510088</t>
  </si>
  <si>
    <t>3510089</t>
  </si>
  <si>
    <t>3510090</t>
  </si>
  <si>
    <t>3510091</t>
  </si>
  <si>
    <t>3510092</t>
  </si>
  <si>
    <t>3510093</t>
  </si>
  <si>
    <t>3510094</t>
  </si>
  <si>
    <t>3510095</t>
  </si>
  <si>
    <t>3510096</t>
  </si>
  <si>
    <t>3510097</t>
  </si>
  <si>
    <t>3510098</t>
  </si>
  <si>
    <t>3510099</t>
  </si>
  <si>
    <t>3510100</t>
  </si>
  <si>
    <t>3510101</t>
  </si>
  <si>
    <t>3510102</t>
  </si>
  <si>
    <t>3510103</t>
  </si>
  <si>
    <t>3510104</t>
  </si>
  <si>
    <t>3510105</t>
  </si>
  <si>
    <t>3510106</t>
  </si>
  <si>
    <t>3510107</t>
  </si>
  <si>
    <t>3510108</t>
  </si>
  <si>
    <t>3510109</t>
  </si>
  <si>
    <t>3510110</t>
  </si>
  <si>
    <t>3510111</t>
  </si>
  <si>
    <t>3510112</t>
  </si>
  <si>
    <t>3510113</t>
  </si>
  <si>
    <t>3510114</t>
  </si>
  <si>
    <t>3510115</t>
  </si>
  <si>
    <t>3510116</t>
  </si>
  <si>
    <t>3510117</t>
  </si>
  <si>
    <t>3510118</t>
  </si>
  <si>
    <t>3510119</t>
  </si>
  <si>
    <t>3510120</t>
  </si>
  <si>
    <t>3510121</t>
  </si>
  <si>
    <t>3510122</t>
  </si>
  <si>
    <t>3510123</t>
  </si>
  <si>
    <t>3510124</t>
  </si>
  <si>
    <t>3510125</t>
  </si>
  <si>
    <t>3510126</t>
  </si>
  <si>
    <t>3510127</t>
  </si>
  <si>
    <t>3510128</t>
  </si>
  <si>
    <t>3510129</t>
  </si>
  <si>
    <t>3510130</t>
  </si>
  <si>
    <t>3510131</t>
  </si>
  <si>
    <t>3510132</t>
  </si>
  <si>
    <t>3510133</t>
  </si>
  <si>
    <t>3510134</t>
  </si>
  <si>
    <t>3510135</t>
  </si>
  <si>
    <t>3510136</t>
  </si>
  <si>
    <t>3510137</t>
  </si>
  <si>
    <t>3510138</t>
  </si>
  <si>
    <t>3510139</t>
  </si>
  <si>
    <t>3510140</t>
  </si>
  <si>
    <t>3510141</t>
  </si>
  <si>
    <t>3510142</t>
  </si>
  <si>
    <t>3510143</t>
  </si>
  <si>
    <t>3510144</t>
  </si>
  <si>
    <t>3510145</t>
  </si>
  <si>
    <t>3510146</t>
  </si>
  <si>
    <t>3510147</t>
  </si>
  <si>
    <t>3510148</t>
  </si>
  <si>
    <t>3510149</t>
  </si>
  <si>
    <t>3510150</t>
  </si>
  <si>
    <t>3510151</t>
  </si>
  <si>
    <t>3510152</t>
  </si>
  <si>
    <t>3510153</t>
  </si>
  <si>
    <t>3510154</t>
  </si>
  <si>
    <t>3510155</t>
  </si>
  <si>
    <t>3510156</t>
  </si>
  <si>
    <t>3510157</t>
  </si>
  <si>
    <t>3510158</t>
  </si>
  <si>
    <t>3510159</t>
  </si>
  <si>
    <t>3510160</t>
  </si>
  <si>
    <t>3510161</t>
  </si>
  <si>
    <t>3510162</t>
  </si>
  <si>
    <t>3510163</t>
  </si>
  <si>
    <t>3510164</t>
  </si>
  <si>
    <t>3510165</t>
  </si>
  <si>
    <t>3510166</t>
  </si>
  <si>
    <t>3610001</t>
  </si>
  <si>
    <t>3610002</t>
  </si>
  <si>
    <t>3610003</t>
  </si>
  <si>
    <t>3610004</t>
  </si>
  <si>
    <t>3610005</t>
  </si>
  <si>
    <t>3610006</t>
  </si>
  <si>
    <t>3610007</t>
  </si>
  <si>
    <t>3610008</t>
  </si>
  <si>
    <t>3610009</t>
  </si>
  <si>
    <t>3610010</t>
  </si>
  <si>
    <t>3610011</t>
  </si>
  <si>
    <t>3610012</t>
  </si>
  <si>
    <t>3610013</t>
  </si>
  <si>
    <t>3610014</t>
  </si>
  <si>
    <t>3610015</t>
  </si>
  <si>
    <t>3610016</t>
  </si>
  <si>
    <t>3610017</t>
  </si>
  <si>
    <t>3610018</t>
  </si>
  <si>
    <t>3610019</t>
  </si>
  <si>
    <t>3610020</t>
  </si>
  <si>
    <t>3610021</t>
  </si>
  <si>
    <t>3610022</t>
  </si>
  <si>
    <t>3610023</t>
  </si>
  <si>
    <t>3610024</t>
  </si>
  <si>
    <t>3610025</t>
  </si>
  <si>
    <t>3610026</t>
  </si>
  <si>
    <t>3610027</t>
  </si>
  <si>
    <t>3610028</t>
  </si>
  <si>
    <t>3610029</t>
  </si>
  <si>
    <t>3610030</t>
  </si>
  <si>
    <t>3610031</t>
  </si>
  <si>
    <t>3610032</t>
  </si>
  <si>
    <t>3610033</t>
  </si>
  <si>
    <t>3610034</t>
  </si>
  <si>
    <t>3610035</t>
  </si>
  <si>
    <t>3610036</t>
  </si>
  <si>
    <t>3610037</t>
  </si>
  <si>
    <t>3610038</t>
  </si>
  <si>
    <t>3610039</t>
  </si>
  <si>
    <t>3610040</t>
  </si>
  <si>
    <t>3610041</t>
  </si>
  <si>
    <t>3610042</t>
  </si>
  <si>
    <t>3610043</t>
  </si>
  <si>
    <t>3610044</t>
  </si>
  <si>
    <t>3610045</t>
  </si>
  <si>
    <t>3610046</t>
  </si>
  <si>
    <t>3610047</t>
  </si>
  <si>
    <t>3610048</t>
  </si>
  <si>
    <t>3610049</t>
  </si>
  <si>
    <t>3610050</t>
  </si>
  <si>
    <t>3610051</t>
  </si>
  <si>
    <t>3610052</t>
  </si>
  <si>
    <t>3610053</t>
  </si>
  <si>
    <t>3610054</t>
  </si>
  <si>
    <t>3610055</t>
  </si>
  <si>
    <t>3610056</t>
  </si>
  <si>
    <t>3610057</t>
  </si>
  <si>
    <t>3610058</t>
  </si>
  <si>
    <t>3610059</t>
  </si>
  <si>
    <t>3610060</t>
  </si>
  <si>
    <t>3610061</t>
  </si>
  <si>
    <t>3610062</t>
  </si>
  <si>
    <t>3610063</t>
  </si>
  <si>
    <t>3610064</t>
  </si>
  <si>
    <t>3610065</t>
  </si>
  <si>
    <t>3610066</t>
  </si>
  <si>
    <t>3610067</t>
  </si>
  <si>
    <t>3610068</t>
  </si>
  <si>
    <t>3610069</t>
  </si>
  <si>
    <t>3610070</t>
  </si>
  <si>
    <t>3610071</t>
  </si>
  <si>
    <t>3610072</t>
  </si>
  <si>
    <t>3610073</t>
  </si>
  <si>
    <t>3610074</t>
  </si>
  <si>
    <t>3610075</t>
  </si>
  <si>
    <t>3610076</t>
  </si>
  <si>
    <t>3610077</t>
  </si>
  <si>
    <t>3610078</t>
  </si>
  <si>
    <t>3610079</t>
  </si>
  <si>
    <t>3610080</t>
  </si>
  <si>
    <t>3610081</t>
  </si>
  <si>
    <t>3610082</t>
  </si>
  <si>
    <t>3610083</t>
  </si>
  <si>
    <t>3610084</t>
  </si>
  <si>
    <t>3610085</t>
  </si>
  <si>
    <t>3610086</t>
  </si>
  <si>
    <t>3610087</t>
  </si>
  <si>
    <t>3610088</t>
  </si>
  <si>
    <t>3610089</t>
  </si>
  <si>
    <t>3610090</t>
  </si>
  <si>
    <t>3610091</t>
  </si>
  <si>
    <t>3610092</t>
  </si>
  <si>
    <t>3610093</t>
  </si>
  <si>
    <t>3610094</t>
  </si>
  <si>
    <t>3610095</t>
  </si>
  <si>
    <t>3610096</t>
  </si>
  <si>
    <t>3610097</t>
  </si>
  <si>
    <t>3610098</t>
  </si>
  <si>
    <t>3610099</t>
  </si>
  <si>
    <t>3610100</t>
  </si>
  <si>
    <t>3610101</t>
  </si>
  <si>
    <t>3610102</t>
  </si>
  <si>
    <t>3610103</t>
  </si>
  <si>
    <t>3610104</t>
  </si>
  <si>
    <t>3610105</t>
  </si>
  <si>
    <t>3610106</t>
  </si>
  <si>
    <t>3610107</t>
  </si>
  <si>
    <t>3610108</t>
  </si>
  <si>
    <t>3610109</t>
  </si>
  <si>
    <t>3610110</t>
  </si>
  <si>
    <t>3610111</t>
  </si>
  <si>
    <t>3610112</t>
  </si>
  <si>
    <t>3610113</t>
  </si>
  <si>
    <t>3610114</t>
  </si>
  <si>
    <t>3610115</t>
  </si>
  <si>
    <t>3610116</t>
  </si>
  <si>
    <t>3610117</t>
  </si>
  <si>
    <t>3610118</t>
  </si>
  <si>
    <t>3610119</t>
  </si>
  <si>
    <t>3610120</t>
  </si>
  <si>
    <t>3610121</t>
  </si>
  <si>
    <t>3610122</t>
  </si>
  <si>
    <t>3610123</t>
  </si>
  <si>
    <t>3610124</t>
  </si>
  <si>
    <t>3610125</t>
  </si>
  <si>
    <t>3610126</t>
  </si>
  <si>
    <t>3610127</t>
  </si>
  <si>
    <t>3610128</t>
  </si>
  <si>
    <t>3610129</t>
  </si>
  <si>
    <t>3610130</t>
  </si>
  <si>
    <t>3710001</t>
  </si>
  <si>
    <t>3710002</t>
  </si>
  <si>
    <t>3710003</t>
  </si>
  <si>
    <t>3710004</t>
  </si>
  <si>
    <t>3710005</t>
  </si>
  <si>
    <t>3710006</t>
  </si>
  <si>
    <t>3710007</t>
  </si>
  <si>
    <t>3710008</t>
  </si>
  <si>
    <t>3710009</t>
  </si>
  <si>
    <t>3710010</t>
  </si>
  <si>
    <t>3710011</t>
  </si>
  <si>
    <t>3710012</t>
  </si>
  <si>
    <t>3710013</t>
  </si>
  <si>
    <t>3710014</t>
  </si>
  <si>
    <t>3710015</t>
  </si>
  <si>
    <t>3710016</t>
  </si>
  <si>
    <t>3710017</t>
  </si>
  <si>
    <t>3710018</t>
  </si>
  <si>
    <t>3710019</t>
  </si>
  <si>
    <t>3710020</t>
  </si>
  <si>
    <t>3710021</t>
  </si>
  <si>
    <t>3710022</t>
  </si>
  <si>
    <t>3710023</t>
  </si>
  <si>
    <t>3710024</t>
  </si>
  <si>
    <t>3710025</t>
  </si>
  <si>
    <t>3710026</t>
  </si>
  <si>
    <t>3710027</t>
  </si>
  <si>
    <t>3710028</t>
  </si>
  <si>
    <t>3710029</t>
  </si>
  <si>
    <t>3710030</t>
  </si>
  <si>
    <t>3710031</t>
  </si>
  <si>
    <t>3710032</t>
  </si>
  <si>
    <t>3710033</t>
  </si>
  <si>
    <t>3710034</t>
  </si>
  <si>
    <t>3710035</t>
  </si>
  <si>
    <t>3710036</t>
  </si>
  <si>
    <t>3710037</t>
  </si>
  <si>
    <t>3710038</t>
  </si>
  <si>
    <t>3710039</t>
  </si>
  <si>
    <t>3710040</t>
  </si>
  <si>
    <t>3710041</t>
  </si>
  <si>
    <t>3710042</t>
  </si>
  <si>
    <t>3710043</t>
  </si>
  <si>
    <t>3710044</t>
  </si>
  <si>
    <t>3710045</t>
  </si>
  <si>
    <t>3710046</t>
  </si>
  <si>
    <t>3710047</t>
  </si>
  <si>
    <t>3710048</t>
  </si>
  <si>
    <t>3710049</t>
  </si>
  <si>
    <t>3710050</t>
  </si>
  <si>
    <t>3710051</t>
  </si>
  <si>
    <t>3710052</t>
  </si>
  <si>
    <t>3710053</t>
  </si>
  <si>
    <t>3710054</t>
  </si>
  <si>
    <t>3710055</t>
  </si>
  <si>
    <t>3710056</t>
  </si>
  <si>
    <t>3710057</t>
  </si>
  <si>
    <t>3710058</t>
  </si>
  <si>
    <t>3710059</t>
  </si>
  <si>
    <t>3710060</t>
  </si>
  <si>
    <t>3710061</t>
  </si>
  <si>
    <t>3710062</t>
  </si>
  <si>
    <t>3710063</t>
  </si>
  <si>
    <t>3710064</t>
  </si>
  <si>
    <t>3710065</t>
  </si>
  <si>
    <t>3710066</t>
  </si>
  <si>
    <t>3710067</t>
  </si>
  <si>
    <t>3710068</t>
  </si>
  <si>
    <t>3710069</t>
  </si>
  <si>
    <t>3910001</t>
  </si>
  <si>
    <t>3910002</t>
  </si>
  <si>
    <t>3910003</t>
  </si>
  <si>
    <t>3910004</t>
  </si>
  <si>
    <t>3910005</t>
  </si>
  <si>
    <t>3910006</t>
  </si>
  <si>
    <t>3910007</t>
  </si>
  <si>
    <t>3910008</t>
  </si>
  <si>
    <t>3910009</t>
  </si>
  <si>
    <t>3910010</t>
  </si>
  <si>
    <t>3910011</t>
  </si>
  <si>
    <t>3910012</t>
  </si>
  <si>
    <t>3910013</t>
  </si>
  <si>
    <t>3910014</t>
  </si>
  <si>
    <t>3910015</t>
  </si>
  <si>
    <t>3910016</t>
  </si>
  <si>
    <t>3910017</t>
  </si>
  <si>
    <t>3910018</t>
  </si>
  <si>
    <t>3910019</t>
  </si>
  <si>
    <t>3910020</t>
  </si>
  <si>
    <t>3910021</t>
  </si>
  <si>
    <t>3910022</t>
  </si>
  <si>
    <t>3910023</t>
  </si>
  <si>
    <t>3910024</t>
  </si>
  <si>
    <t>3910025</t>
  </si>
  <si>
    <t>3910026</t>
  </si>
  <si>
    <t>3910027</t>
  </si>
  <si>
    <t>3910028</t>
  </si>
  <si>
    <t>3910029</t>
  </si>
  <si>
    <t>3910030</t>
  </si>
  <si>
    <t>3910031</t>
  </si>
  <si>
    <t>3910032</t>
  </si>
  <si>
    <t>3910033</t>
  </si>
  <si>
    <t>3910034</t>
  </si>
  <si>
    <t>3910035</t>
  </si>
  <si>
    <t>3910036</t>
  </si>
  <si>
    <t>3910037</t>
  </si>
  <si>
    <t>3910038</t>
  </si>
  <si>
    <t>3910039</t>
  </si>
  <si>
    <t>3910040</t>
  </si>
  <si>
    <t>3910041</t>
  </si>
  <si>
    <t>3910042</t>
  </si>
  <si>
    <t>3910043</t>
  </si>
  <si>
    <t>3910044</t>
  </si>
  <si>
    <t>3910045</t>
  </si>
  <si>
    <t>3910046</t>
  </si>
  <si>
    <t>3910047</t>
  </si>
  <si>
    <t>3910048</t>
  </si>
  <si>
    <t>3910049</t>
  </si>
  <si>
    <t>3910050</t>
  </si>
  <si>
    <t>3910051</t>
  </si>
  <si>
    <t>3910052</t>
  </si>
  <si>
    <t>3910053</t>
  </si>
  <si>
    <t>3910054</t>
  </si>
  <si>
    <t>3910055</t>
  </si>
  <si>
    <t>3910056</t>
  </si>
  <si>
    <t>3910057</t>
  </si>
  <si>
    <t>3910058</t>
  </si>
  <si>
    <t>3910059</t>
  </si>
  <si>
    <t>3910060</t>
  </si>
  <si>
    <t>3910061</t>
  </si>
  <si>
    <t>3910062</t>
  </si>
  <si>
    <t>3910063</t>
  </si>
  <si>
    <t>3910064</t>
  </si>
  <si>
    <t>3910065</t>
  </si>
  <si>
    <t>3910066</t>
  </si>
  <si>
    <t>3910067</t>
  </si>
  <si>
    <t>3910068</t>
  </si>
  <si>
    <t>3910069</t>
  </si>
  <si>
    <t>3910070</t>
  </si>
  <si>
    <t>3910071</t>
  </si>
  <si>
    <t>3910072</t>
  </si>
  <si>
    <t>3910073</t>
  </si>
  <si>
    <t>3910074</t>
  </si>
  <si>
    <t>3910075</t>
  </si>
  <si>
    <t>3910076</t>
  </si>
  <si>
    <t>3910077</t>
  </si>
  <si>
    <t>3910078</t>
  </si>
  <si>
    <t>4010001</t>
  </si>
  <si>
    <t>4010002</t>
  </si>
  <si>
    <t>4010003</t>
  </si>
  <si>
    <t>4010004</t>
  </si>
  <si>
    <t>4010005</t>
  </si>
  <si>
    <t>4010006</t>
  </si>
  <si>
    <t>4010007</t>
  </si>
  <si>
    <t>4010008</t>
  </si>
  <si>
    <t>4010009</t>
  </si>
  <si>
    <t>4010010</t>
  </si>
  <si>
    <t>4010011</t>
  </si>
  <si>
    <t>4010012</t>
  </si>
  <si>
    <t>4010013</t>
  </si>
  <si>
    <t>4010014</t>
  </si>
  <si>
    <t>4010015</t>
  </si>
  <si>
    <t>4010016</t>
  </si>
  <si>
    <t>4010017</t>
  </si>
  <si>
    <t>4010018</t>
  </si>
  <si>
    <t>4010019</t>
  </si>
  <si>
    <t>4010020</t>
  </si>
  <si>
    <t>4010021</t>
  </si>
  <si>
    <t>4010022</t>
  </si>
  <si>
    <t>4010023</t>
  </si>
  <si>
    <t>4010024</t>
  </si>
  <si>
    <t>4010025</t>
  </si>
  <si>
    <t>4010026</t>
  </si>
  <si>
    <t>4010027</t>
  </si>
  <si>
    <t>4010028</t>
  </si>
  <si>
    <t>4010029</t>
  </si>
  <si>
    <t>4010030</t>
  </si>
  <si>
    <t>4010031</t>
  </si>
  <si>
    <t>4010032</t>
  </si>
  <si>
    <t>4010033</t>
  </si>
  <si>
    <t>4010034</t>
  </si>
  <si>
    <t>4010035</t>
  </si>
  <si>
    <t>4010036</t>
  </si>
  <si>
    <t>4010037</t>
  </si>
  <si>
    <t>4010038</t>
  </si>
  <si>
    <t>4010039</t>
  </si>
  <si>
    <t>4110001</t>
  </si>
  <si>
    <t>4110002</t>
  </si>
  <si>
    <t>4110003</t>
  </si>
  <si>
    <t>4110004</t>
  </si>
  <si>
    <t>4110005</t>
  </si>
  <si>
    <t>4110006</t>
  </si>
  <si>
    <t>4110007</t>
  </si>
  <si>
    <t>4110008</t>
  </si>
  <si>
    <t>4110009</t>
  </si>
  <si>
    <t>4110010</t>
  </si>
  <si>
    <t>4110011</t>
  </si>
  <si>
    <t>4110012</t>
  </si>
  <si>
    <t>4110013</t>
  </si>
  <si>
    <t>4110014</t>
  </si>
  <si>
    <t>4110015</t>
  </si>
  <si>
    <t>4110016</t>
  </si>
  <si>
    <t>4110017</t>
  </si>
  <si>
    <t>4110018</t>
  </si>
  <si>
    <t>4110019</t>
  </si>
  <si>
    <t>4110020</t>
  </si>
  <si>
    <t>4110021</t>
  </si>
  <si>
    <t>4110022</t>
  </si>
  <si>
    <t>4110023</t>
  </si>
  <si>
    <t>4110024</t>
  </si>
  <si>
    <t>4110025</t>
  </si>
  <si>
    <t>4110026</t>
  </si>
  <si>
    <t>4110027</t>
  </si>
  <si>
    <t>4110028</t>
  </si>
  <si>
    <t>4110029</t>
  </si>
  <si>
    <t>4110030</t>
  </si>
  <si>
    <t>4110031</t>
  </si>
  <si>
    <t>4110032</t>
  </si>
  <si>
    <t>4110033</t>
  </si>
  <si>
    <t>4110034</t>
  </si>
  <si>
    <t>4110035</t>
  </si>
  <si>
    <t>4110036</t>
  </si>
  <si>
    <t>4110037</t>
  </si>
  <si>
    <t>4110038</t>
  </si>
  <si>
    <t>4110039</t>
  </si>
  <si>
    <t>4110040</t>
  </si>
  <si>
    <t>4110041</t>
  </si>
  <si>
    <t>4110042</t>
  </si>
  <si>
    <t>4110043</t>
  </si>
  <si>
    <t>4110044</t>
  </si>
  <si>
    <t>4110045</t>
  </si>
  <si>
    <t>4110046</t>
  </si>
  <si>
    <t>4110047</t>
  </si>
  <si>
    <t>4110048</t>
  </si>
  <si>
    <t>4110049</t>
  </si>
  <si>
    <t>4110050</t>
  </si>
  <si>
    <t>4110051</t>
  </si>
  <si>
    <t>4110052</t>
  </si>
  <si>
    <t>4110053</t>
  </si>
  <si>
    <t>4110054</t>
  </si>
  <si>
    <t>4110055</t>
  </si>
  <si>
    <t>4110056</t>
  </si>
  <si>
    <t>4110057</t>
  </si>
  <si>
    <t>4110058</t>
  </si>
  <si>
    <t>4110059</t>
  </si>
  <si>
    <t>4110060</t>
  </si>
  <si>
    <t>4110061</t>
  </si>
  <si>
    <t>4110062</t>
  </si>
  <si>
    <t>4110063</t>
  </si>
  <si>
    <t>4110064</t>
  </si>
  <si>
    <t>4110065</t>
  </si>
  <si>
    <t>4110066</t>
  </si>
  <si>
    <t>4110067</t>
  </si>
  <si>
    <t>4110068</t>
  </si>
  <si>
    <t>4110069</t>
  </si>
  <si>
    <t>4110070</t>
  </si>
  <si>
    <t>4110071</t>
  </si>
  <si>
    <t>4110072</t>
  </si>
  <si>
    <t>4110073</t>
  </si>
  <si>
    <t>4110074</t>
  </si>
  <si>
    <t>4110075</t>
  </si>
  <si>
    <t>4110076</t>
  </si>
  <si>
    <t>4110077</t>
  </si>
  <si>
    <t>4110078</t>
  </si>
  <si>
    <t>4110079</t>
  </si>
  <si>
    <t>4110080</t>
  </si>
  <si>
    <t>4110081</t>
  </si>
  <si>
    <t>4110082</t>
  </si>
  <si>
    <t>4110083</t>
  </si>
  <si>
    <t>4110084</t>
  </si>
  <si>
    <t>4110085</t>
  </si>
  <si>
    <t>4110086</t>
  </si>
  <si>
    <t>4110087</t>
  </si>
  <si>
    <t>4110088</t>
  </si>
  <si>
    <t>4110089</t>
  </si>
  <si>
    <t>4110090</t>
  </si>
  <si>
    <t>4110091</t>
  </si>
  <si>
    <t>4110092</t>
  </si>
  <si>
    <t>4110093</t>
  </si>
  <si>
    <t>4110094</t>
  </si>
  <si>
    <t>4310001</t>
  </si>
  <si>
    <t>4310002</t>
  </si>
  <si>
    <t>4310003</t>
  </si>
  <si>
    <t>4310004</t>
  </si>
  <si>
    <t>4310005</t>
  </si>
  <si>
    <t>4310006</t>
  </si>
  <si>
    <t>4310007</t>
  </si>
  <si>
    <t>4310008</t>
  </si>
  <si>
    <t>4310009</t>
  </si>
  <si>
    <t>4310010</t>
  </si>
  <si>
    <t>4310011</t>
  </si>
  <si>
    <t>4310012</t>
  </si>
  <si>
    <t>4310013</t>
  </si>
  <si>
    <t>4310014</t>
  </si>
  <si>
    <t>4310015</t>
  </si>
  <si>
    <t>4310016</t>
  </si>
  <si>
    <t>4310017</t>
  </si>
  <si>
    <t>4310018</t>
  </si>
  <si>
    <t>4310019</t>
  </si>
  <si>
    <t>4310020</t>
  </si>
  <si>
    <t>4310021</t>
  </si>
  <si>
    <t>4310022</t>
  </si>
  <si>
    <t>4310023</t>
  </si>
  <si>
    <t>4310024</t>
  </si>
  <si>
    <t>4310025</t>
  </si>
  <si>
    <t>4310026</t>
  </si>
  <si>
    <t>4310027</t>
  </si>
  <si>
    <t>4310028</t>
  </si>
  <si>
    <t>4310029</t>
  </si>
  <si>
    <t>4310030</t>
  </si>
  <si>
    <t>4310031</t>
  </si>
  <si>
    <t>4310032</t>
  </si>
  <si>
    <t>4310033</t>
  </si>
  <si>
    <t>4310034</t>
  </si>
  <si>
    <t>4310035</t>
  </si>
  <si>
    <t>4310036</t>
  </si>
  <si>
    <t>4310037</t>
  </si>
  <si>
    <t>4310038</t>
  </si>
  <si>
    <t>4310039</t>
  </si>
  <si>
    <t>4310040</t>
  </si>
  <si>
    <t>4310041</t>
  </si>
  <si>
    <t>4310042</t>
  </si>
  <si>
    <t>4310043</t>
  </si>
  <si>
    <t>4310044</t>
  </si>
  <si>
    <t>4310045</t>
  </si>
  <si>
    <t>4310046</t>
  </si>
  <si>
    <t>4310047</t>
  </si>
  <si>
    <t>4310048</t>
  </si>
  <si>
    <t>4310049</t>
  </si>
  <si>
    <t>4310050</t>
  </si>
  <si>
    <t>4310051</t>
  </si>
  <si>
    <t>4310052</t>
  </si>
  <si>
    <t>4310053</t>
  </si>
  <si>
    <t>4310054</t>
  </si>
  <si>
    <t>4310055</t>
  </si>
  <si>
    <t>4310056</t>
  </si>
  <si>
    <t>4310057</t>
  </si>
  <si>
    <t>4310058</t>
  </si>
  <si>
    <t>4310059</t>
  </si>
  <si>
    <t>4310060</t>
  </si>
  <si>
    <t>4310061</t>
  </si>
  <si>
    <t>4310062</t>
  </si>
  <si>
    <t>4310063</t>
  </si>
  <si>
    <t>4310064</t>
  </si>
  <si>
    <t>4310065</t>
  </si>
  <si>
    <t>4310066</t>
  </si>
  <si>
    <t>4310067</t>
  </si>
  <si>
    <t>4310068</t>
  </si>
  <si>
    <t>4310069</t>
  </si>
  <si>
    <t>4310070</t>
  </si>
  <si>
    <t>4310071</t>
  </si>
  <si>
    <t>4310072</t>
  </si>
  <si>
    <t>4310073</t>
  </si>
  <si>
    <t>4310074</t>
  </si>
  <si>
    <t>4310075</t>
  </si>
  <si>
    <t>4310076</t>
  </si>
  <si>
    <t>4310077</t>
  </si>
  <si>
    <t>4310078</t>
  </si>
  <si>
    <t>4310079</t>
  </si>
  <si>
    <t>4310080</t>
  </si>
  <si>
    <t>4310081</t>
  </si>
  <si>
    <t>4310082</t>
  </si>
  <si>
    <t>4310083</t>
  </si>
  <si>
    <t>4310084</t>
  </si>
  <si>
    <t>4310085</t>
  </si>
  <si>
    <t>4310086</t>
  </si>
  <si>
    <t>4310087</t>
  </si>
  <si>
    <t>4310088</t>
  </si>
  <si>
    <t>4310089</t>
  </si>
  <si>
    <t>4310090</t>
  </si>
  <si>
    <t>4310091</t>
  </si>
  <si>
    <t>4310092</t>
  </si>
  <si>
    <t>4310093</t>
  </si>
  <si>
    <t>4310094</t>
  </si>
  <si>
    <t>4310095</t>
  </si>
  <si>
    <t>4310096</t>
  </si>
  <si>
    <t>4610001</t>
  </si>
  <si>
    <t>4610002</t>
  </si>
  <si>
    <t>4610003</t>
  </si>
  <si>
    <t>4610004</t>
  </si>
  <si>
    <t>4610005</t>
  </si>
  <si>
    <t>4610006</t>
  </si>
  <si>
    <t>4610007</t>
  </si>
  <si>
    <t>4610008</t>
  </si>
  <si>
    <t>4610009</t>
  </si>
  <si>
    <t>4610010</t>
  </si>
  <si>
    <t>4610011</t>
  </si>
  <si>
    <t>4610012</t>
  </si>
  <si>
    <t>4610013</t>
  </si>
  <si>
    <t>4610014</t>
  </si>
  <si>
    <t>4610015</t>
  </si>
  <si>
    <t>4610016</t>
  </si>
  <si>
    <t>4610017</t>
  </si>
  <si>
    <t>4610018</t>
  </si>
  <si>
    <t>4610019</t>
  </si>
  <si>
    <t>4610020</t>
  </si>
  <si>
    <t>4610021</t>
  </si>
  <si>
    <t>4610022</t>
  </si>
  <si>
    <t>4610023</t>
  </si>
  <si>
    <t>4610024</t>
  </si>
  <si>
    <t>4610025</t>
  </si>
  <si>
    <t>4610026</t>
  </si>
  <si>
    <t>4610027</t>
  </si>
  <si>
    <t>4610028</t>
  </si>
  <si>
    <t>4610029</t>
  </si>
  <si>
    <t>4610030</t>
  </si>
  <si>
    <t>4610031</t>
  </si>
  <si>
    <t>4610032</t>
  </si>
  <si>
    <t>4610033</t>
  </si>
  <si>
    <t>4610034</t>
  </si>
  <si>
    <t>4610035</t>
  </si>
  <si>
    <t>4610036</t>
  </si>
  <si>
    <t>4610037</t>
  </si>
  <si>
    <t>4610038</t>
  </si>
  <si>
    <t>4610039</t>
  </si>
  <si>
    <t>4610040</t>
  </si>
  <si>
    <t>4610041</t>
  </si>
  <si>
    <t>4610042</t>
  </si>
  <si>
    <t>4610043</t>
  </si>
  <si>
    <t>4610044</t>
  </si>
  <si>
    <t>4610045</t>
  </si>
  <si>
    <t>4610046</t>
  </si>
  <si>
    <t>4610047</t>
  </si>
  <si>
    <t>4610048</t>
  </si>
  <si>
    <t>4610049</t>
  </si>
  <si>
    <t>4610050</t>
  </si>
  <si>
    <t>4610051</t>
  </si>
  <si>
    <t>4610052</t>
  </si>
  <si>
    <t>4610053</t>
  </si>
  <si>
    <t>4610054</t>
  </si>
  <si>
    <t>4610055</t>
  </si>
  <si>
    <t>4610056</t>
  </si>
  <si>
    <t>4610057</t>
  </si>
  <si>
    <t>4610058</t>
  </si>
  <si>
    <t>4610059</t>
  </si>
  <si>
    <t>4610060</t>
  </si>
  <si>
    <t>4610061</t>
  </si>
  <si>
    <t>4610062</t>
  </si>
  <si>
    <t>4610063</t>
  </si>
  <si>
    <t>4610064</t>
  </si>
  <si>
    <t>4610065</t>
  </si>
  <si>
    <t>4910001</t>
  </si>
  <si>
    <t>4910002</t>
  </si>
  <si>
    <t>4910003</t>
  </si>
  <si>
    <t>4910004</t>
  </si>
  <si>
    <t>4910005</t>
  </si>
  <si>
    <t>4910006</t>
  </si>
  <si>
    <t>4910007</t>
  </si>
  <si>
    <t>4910008</t>
  </si>
  <si>
    <t>4910009</t>
  </si>
  <si>
    <t>4910010</t>
  </si>
  <si>
    <t>4910011</t>
  </si>
  <si>
    <t>4910012</t>
  </si>
  <si>
    <t>4910013</t>
  </si>
  <si>
    <t>4910014</t>
  </si>
  <si>
    <t>4910015</t>
  </si>
  <si>
    <t>4910016</t>
  </si>
  <si>
    <t>4910017</t>
  </si>
  <si>
    <t>4910018</t>
  </si>
  <si>
    <t>4910019</t>
  </si>
  <si>
    <t>4910020</t>
  </si>
  <si>
    <t>4910021</t>
  </si>
  <si>
    <t>4910022</t>
  </si>
  <si>
    <t>4910023</t>
  </si>
  <si>
    <t>4910024</t>
  </si>
  <si>
    <t>4910025</t>
  </si>
  <si>
    <t>4910026</t>
  </si>
  <si>
    <t>4910027</t>
  </si>
  <si>
    <t>4910028</t>
  </si>
  <si>
    <t>4910029</t>
  </si>
  <si>
    <t>4910030</t>
  </si>
  <si>
    <t>4910031</t>
  </si>
  <si>
    <t>4910032</t>
  </si>
  <si>
    <t>4910033</t>
  </si>
  <si>
    <t>4910034</t>
  </si>
  <si>
    <t>4910035</t>
  </si>
  <si>
    <t>4910036</t>
  </si>
  <si>
    <t>4910037</t>
  </si>
  <si>
    <t>4910038</t>
  </si>
  <si>
    <t>4910039</t>
  </si>
  <si>
    <t>4910040</t>
  </si>
  <si>
    <t>4910041</t>
  </si>
  <si>
    <t>4910042</t>
  </si>
  <si>
    <t>4910043</t>
  </si>
  <si>
    <t>4910044</t>
  </si>
  <si>
    <t>4910045</t>
  </si>
  <si>
    <t>4910046</t>
  </si>
  <si>
    <t>4910047</t>
  </si>
  <si>
    <t>4910048</t>
  </si>
  <si>
    <t>4910049</t>
  </si>
  <si>
    <t>4910050</t>
  </si>
  <si>
    <t>4910051</t>
  </si>
  <si>
    <t>4910052</t>
  </si>
  <si>
    <t>4910053</t>
  </si>
  <si>
    <t>4910054</t>
  </si>
  <si>
    <t>4910055</t>
  </si>
  <si>
    <t>4910056</t>
  </si>
  <si>
    <t>4910057</t>
  </si>
  <si>
    <t>4910058</t>
  </si>
  <si>
    <t>4910059</t>
  </si>
  <si>
    <t>4910060</t>
  </si>
  <si>
    <t>4910061</t>
  </si>
  <si>
    <t>4910062</t>
  </si>
  <si>
    <t>4910063</t>
  </si>
  <si>
    <t>4910064</t>
  </si>
  <si>
    <t>4910065</t>
  </si>
  <si>
    <t>4910066</t>
  </si>
  <si>
    <t>4910067</t>
  </si>
  <si>
    <t>4910068</t>
  </si>
  <si>
    <t>4910069</t>
  </si>
  <si>
    <t>4910070</t>
  </si>
  <si>
    <t>4910071</t>
  </si>
  <si>
    <t>4910072</t>
  </si>
  <si>
    <t>4910073</t>
  </si>
  <si>
    <t>4910074</t>
  </si>
  <si>
    <t>4910075</t>
  </si>
  <si>
    <t>4910076</t>
  </si>
  <si>
    <t>4910077</t>
  </si>
  <si>
    <t>4910078</t>
  </si>
  <si>
    <t>4910079</t>
  </si>
  <si>
    <t>4910080</t>
  </si>
  <si>
    <t>4910081</t>
  </si>
  <si>
    <t>4910082</t>
  </si>
  <si>
    <t>4910083</t>
  </si>
  <si>
    <t>4910084</t>
  </si>
  <si>
    <t>4910085</t>
  </si>
  <si>
    <t>4910086</t>
  </si>
  <si>
    <t>4910087</t>
  </si>
  <si>
    <t>4910088</t>
  </si>
  <si>
    <t>4910089</t>
  </si>
  <si>
    <t>4910090</t>
  </si>
  <si>
    <t>4910091</t>
  </si>
  <si>
    <t>4910092</t>
  </si>
  <si>
    <t>4910093</t>
  </si>
  <si>
    <t>4910094</t>
  </si>
  <si>
    <t>4910095</t>
  </si>
  <si>
    <t>4910096</t>
  </si>
  <si>
    <t>4910097</t>
  </si>
  <si>
    <t>4910098</t>
  </si>
  <si>
    <t>4910099</t>
  </si>
  <si>
    <t>4910100</t>
  </si>
  <si>
    <t>4910101</t>
  </si>
  <si>
    <t>4910102</t>
  </si>
  <si>
    <t>4910103</t>
  </si>
  <si>
    <t>4910104</t>
  </si>
  <si>
    <t>4910105</t>
  </si>
  <si>
    <t>4910106</t>
  </si>
  <si>
    <t>4910107</t>
  </si>
  <si>
    <t>4910108</t>
  </si>
  <si>
    <t>4910109</t>
  </si>
  <si>
    <t>4910110</t>
  </si>
  <si>
    <t>4910111</t>
  </si>
  <si>
    <t>4910112</t>
  </si>
  <si>
    <t>4910113</t>
  </si>
  <si>
    <t>4910114</t>
  </si>
  <si>
    <t>4910115</t>
  </si>
  <si>
    <t>4910116</t>
  </si>
  <si>
    <t>4910117</t>
  </si>
  <si>
    <t>4910118</t>
  </si>
  <si>
    <t>4910119</t>
  </si>
  <si>
    <t>4910120</t>
  </si>
  <si>
    <t>4910121</t>
  </si>
  <si>
    <t>4910122</t>
  </si>
  <si>
    <t>4910123</t>
  </si>
  <si>
    <t>4910124</t>
  </si>
  <si>
    <t>4910125</t>
  </si>
  <si>
    <t>4910126</t>
  </si>
  <si>
    <t>4910127</t>
  </si>
  <si>
    <t>4910128</t>
  </si>
  <si>
    <t>4910129</t>
  </si>
  <si>
    <t>4910130</t>
  </si>
  <si>
    <t>4910131</t>
  </si>
  <si>
    <t>4910132</t>
  </si>
  <si>
    <t>4910133</t>
  </si>
  <si>
    <t>4910134</t>
  </si>
  <si>
    <t>4910135</t>
  </si>
  <si>
    <t>5010001</t>
  </si>
  <si>
    <t>5010002</t>
  </si>
  <si>
    <t>5010003</t>
  </si>
  <si>
    <t>5010004</t>
  </si>
  <si>
    <t>5010005</t>
  </si>
  <si>
    <t>5010006</t>
  </si>
  <si>
    <t>5010007</t>
  </si>
  <si>
    <t>5010008</t>
  </si>
  <si>
    <t>5010009</t>
  </si>
  <si>
    <t>5010010</t>
  </si>
  <si>
    <t>5010011</t>
  </si>
  <si>
    <t>5010012</t>
  </si>
  <si>
    <t>5010013</t>
  </si>
  <si>
    <t>5010014</t>
  </si>
  <si>
    <t>5010015</t>
  </si>
  <si>
    <t>5010016</t>
  </si>
  <si>
    <t>5010017</t>
  </si>
  <si>
    <t>5010018</t>
  </si>
  <si>
    <t>5010019</t>
  </si>
  <si>
    <t>5010020</t>
  </si>
  <si>
    <t>5010021</t>
  </si>
  <si>
    <t>5010022</t>
  </si>
  <si>
    <t>5010023</t>
  </si>
  <si>
    <t>5010024</t>
  </si>
  <si>
    <t>5010025</t>
  </si>
  <si>
    <t>5010026</t>
  </si>
  <si>
    <t>5010027</t>
  </si>
  <si>
    <t>5010028</t>
  </si>
  <si>
    <t>5010029</t>
  </si>
  <si>
    <t>5010030</t>
  </si>
  <si>
    <t>5010031</t>
  </si>
  <si>
    <t>5010032</t>
  </si>
  <si>
    <t>5010033</t>
  </si>
  <si>
    <t>5010034</t>
  </si>
  <si>
    <t>5010035</t>
  </si>
  <si>
    <t>5010036</t>
  </si>
  <si>
    <t>5010037</t>
  </si>
  <si>
    <t>5010038</t>
  </si>
  <si>
    <t>5010039</t>
  </si>
  <si>
    <t>5010040</t>
  </si>
  <si>
    <t>5010041</t>
  </si>
  <si>
    <t>5010042</t>
  </si>
  <si>
    <t>5010043</t>
  </si>
  <si>
    <t>5010044</t>
  </si>
  <si>
    <t>5010045</t>
  </si>
  <si>
    <t>5010046</t>
  </si>
  <si>
    <t>5010047</t>
  </si>
  <si>
    <t>5010048</t>
  </si>
  <si>
    <t>5010049</t>
  </si>
  <si>
    <t>5010050</t>
  </si>
  <si>
    <t>5010051</t>
  </si>
  <si>
    <t>5010052</t>
  </si>
  <si>
    <t>5010053</t>
  </si>
  <si>
    <t>5010054</t>
  </si>
  <si>
    <t>5010055</t>
  </si>
  <si>
    <t>5010056</t>
  </si>
  <si>
    <t>5010057</t>
  </si>
  <si>
    <t>5010058</t>
  </si>
  <si>
    <t>5010059</t>
  </si>
  <si>
    <t>5010060</t>
  </si>
  <si>
    <t>5010061</t>
  </si>
  <si>
    <t>5010062</t>
  </si>
  <si>
    <t>5010063</t>
  </si>
  <si>
    <t>5010064</t>
  </si>
  <si>
    <t>5010065</t>
  </si>
  <si>
    <t>5010066</t>
  </si>
  <si>
    <t>5010067</t>
  </si>
  <si>
    <t>5010068</t>
  </si>
  <si>
    <t>5010069</t>
  </si>
  <si>
    <t>5010070</t>
  </si>
  <si>
    <t>5010071</t>
  </si>
  <si>
    <t>5010072</t>
  </si>
  <si>
    <t>5010073</t>
  </si>
  <si>
    <t>5010074</t>
  </si>
  <si>
    <t>5010075</t>
  </si>
  <si>
    <t>5010076</t>
  </si>
  <si>
    <t>5010077</t>
  </si>
  <si>
    <t>5010078</t>
  </si>
  <si>
    <t>5010079</t>
  </si>
  <si>
    <t>5010080</t>
  </si>
  <si>
    <t>5010081</t>
  </si>
  <si>
    <t>5010082</t>
  </si>
  <si>
    <t>5010083</t>
  </si>
  <si>
    <t>5010084</t>
  </si>
  <si>
    <t>5010085</t>
  </si>
  <si>
    <t>5010086</t>
  </si>
  <si>
    <t>5010087</t>
  </si>
  <si>
    <t>5010088</t>
  </si>
  <si>
    <t>5010089</t>
  </si>
  <si>
    <t>5010090</t>
  </si>
  <si>
    <t>5010091</t>
  </si>
  <si>
    <t>5010092</t>
  </si>
  <si>
    <t>5010093</t>
  </si>
  <si>
    <t>5010094</t>
  </si>
  <si>
    <t>5010095</t>
  </si>
  <si>
    <t>5010096</t>
  </si>
  <si>
    <t>5010097</t>
  </si>
  <si>
    <t>5010098</t>
  </si>
  <si>
    <t>5010099</t>
  </si>
  <si>
    <t>5010100</t>
  </si>
  <si>
    <t>5010101</t>
  </si>
  <si>
    <t>5010102</t>
  </si>
  <si>
    <t>5010103</t>
  </si>
  <si>
    <t>5010104</t>
  </si>
  <si>
    <t>5010105</t>
  </si>
  <si>
    <t>5010106</t>
  </si>
  <si>
    <t>5010107</t>
  </si>
  <si>
    <t>5010108</t>
  </si>
  <si>
    <t>5010109</t>
  </si>
  <si>
    <t>5010110</t>
  </si>
  <si>
    <t>5010111</t>
  </si>
  <si>
    <t>5010112</t>
  </si>
  <si>
    <t>5010113</t>
  </si>
  <si>
    <t>5010114</t>
  </si>
  <si>
    <t>5010115</t>
  </si>
  <si>
    <t>5010116</t>
  </si>
  <si>
    <t>5010117</t>
  </si>
  <si>
    <t>5010118</t>
  </si>
  <si>
    <t>5010119</t>
  </si>
  <si>
    <t>5010120</t>
  </si>
  <si>
    <t>5010121</t>
  </si>
  <si>
    <t>5010122</t>
  </si>
  <si>
    <t>5010123</t>
  </si>
  <si>
    <t>5010124</t>
  </si>
  <si>
    <t>5010125</t>
  </si>
  <si>
    <t>5010126</t>
  </si>
  <si>
    <t>5010127</t>
  </si>
  <si>
    <t>5010128</t>
  </si>
  <si>
    <t>5010129</t>
  </si>
  <si>
    <t>5010130</t>
  </si>
  <si>
    <t>5010131</t>
  </si>
  <si>
    <t>5010132</t>
  </si>
  <si>
    <t>5010133</t>
  </si>
  <si>
    <t>5010134</t>
  </si>
  <si>
    <t>5010135</t>
  </si>
  <si>
    <t>5010136</t>
  </si>
  <si>
    <t>5010137</t>
  </si>
  <si>
    <t>5010138</t>
  </si>
  <si>
    <t>5010139</t>
  </si>
  <si>
    <t>5010140</t>
  </si>
  <si>
    <t>5010141</t>
  </si>
  <si>
    <t>5010142</t>
  </si>
  <si>
    <t>5010143</t>
  </si>
  <si>
    <t>5010144</t>
  </si>
  <si>
    <t>5010145</t>
  </si>
  <si>
    <t>5010146</t>
  </si>
  <si>
    <t>5010147</t>
  </si>
  <si>
    <t>5010148</t>
  </si>
  <si>
    <t>5010149</t>
  </si>
  <si>
    <t>5010150</t>
  </si>
  <si>
    <t>5010151</t>
  </si>
  <si>
    <t>5010152</t>
  </si>
  <si>
    <t>5010153</t>
  </si>
  <si>
    <t>5010154</t>
  </si>
  <si>
    <t>5010155</t>
  </si>
  <si>
    <t>5010156</t>
  </si>
  <si>
    <t>5010157</t>
  </si>
  <si>
    <t>5010158</t>
  </si>
  <si>
    <t>5010159</t>
  </si>
  <si>
    <t>5010160</t>
  </si>
  <si>
    <t>5010161</t>
  </si>
  <si>
    <t>5010162</t>
  </si>
  <si>
    <t>5010163</t>
  </si>
  <si>
    <t>5010164</t>
  </si>
  <si>
    <t>5010165</t>
  </si>
  <si>
    <t>5010166</t>
  </si>
  <si>
    <t>5010167</t>
  </si>
  <si>
    <t>5010168</t>
  </si>
  <si>
    <t>5210001</t>
  </si>
  <si>
    <t>5210002</t>
  </si>
  <si>
    <t>5210003</t>
  </si>
  <si>
    <t>5210004</t>
  </si>
  <si>
    <t>5210005</t>
  </si>
  <si>
    <t>5210006</t>
  </si>
  <si>
    <t>5210007</t>
  </si>
  <si>
    <t>5210008</t>
  </si>
  <si>
    <t>5210009</t>
  </si>
  <si>
    <t>5210010</t>
  </si>
  <si>
    <t>5210011</t>
  </si>
  <si>
    <t>5210012</t>
  </si>
  <si>
    <t>5210013</t>
  </si>
  <si>
    <t>5210014</t>
  </si>
  <si>
    <t>5210015</t>
  </si>
  <si>
    <t>5210016</t>
  </si>
  <si>
    <t>5210017</t>
  </si>
  <si>
    <t>5210018</t>
  </si>
  <si>
    <t>5210019</t>
  </si>
  <si>
    <t>5210020</t>
  </si>
  <si>
    <t>5210021</t>
  </si>
  <si>
    <t>5210022</t>
  </si>
  <si>
    <t>5210023</t>
  </si>
  <si>
    <t>5210024</t>
  </si>
  <si>
    <t>5210025</t>
  </si>
  <si>
    <t>5210026</t>
  </si>
  <si>
    <t>5210027</t>
  </si>
  <si>
    <t>5210028</t>
  </si>
  <si>
    <t>5210029</t>
  </si>
  <si>
    <t>5210030</t>
  </si>
  <si>
    <t>5210031</t>
  </si>
  <si>
    <t>5210032</t>
  </si>
  <si>
    <t>5210033</t>
  </si>
  <si>
    <t>5210034</t>
  </si>
  <si>
    <t>5210035</t>
  </si>
  <si>
    <t>5210045</t>
  </si>
  <si>
    <t>5210046</t>
  </si>
  <si>
    <t>5210047</t>
  </si>
  <si>
    <t>5210048</t>
  </si>
  <si>
    <t>5210049</t>
  </si>
  <si>
    <t>5210050</t>
  </si>
  <si>
    <t>5210051</t>
  </si>
  <si>
    <t>5210052</t>
  </si>
  <si>
    <t>5210053</t>
  </si>
  <si>
    <t>5210054</t>
  </si>
  <si>
    <t>5210055</t>
  </si>
  <si>
    <t>5210056</t>
  </si>
  <si>
    <t>5210057</t>
  </si>
  <si>
    <t>5210058</t>
  </si>
  <si>
    <t>5210059</t>
  </si>
  <si>
    <t>5210060</t>
  </si>
  <si>
    <t>5210061</t>
  </si>
  <si>
    <t>5210062</t>
  </si>
  <si>
    <t>5210063</t>
  </si>
  <si>
    <t>5210064</t>
  </si>
  <si>
    <t>5210065</t>
  </si>
  <si>
    <t>5210066</t>
  </si>
  <si>
    <t>5210067</t>
  </si>
  <si>
    <t>5210068</t>
  </si>
  <si>
    <t>5210069</t>
  </si>
  <si>
    <t>5210070</t>
  </si>
  <si>
    <t>5210071</t>
  </si>
  <si>
    <t>5210072</t>
  </si>
  <si>
    <t>5210073</t>
  </si>
  <si>
    <t>5210074</t>
  </si>
  <si>
    <t>5210075</t>
  </si>
  <si>
    <t>5210076</t>
  </si>
  <si>
    <t>5210077</t>
  </si>
  <si>
    <t>5210078</t>
  </si>
  <si>
    <t>5210079</t>
  </si>
  <si>
    <t>5210080</t>
  </si>
  <si>
    <t>5210081</t>
  </si>
  <si>
    <t>5210082</t>
  </si>
  <si>
    <t>5210083</t>
  </si>
  <si>
    <t>5210084</t>
  </si>
  <si>
    <t>5210085</t>
  </si>
  <si>
    <t>5210086</t>
  </si>
  <si>
    <t>5210087</t>
  </si>
  <si>
    <t>5210088</t>
  </si>
  <si>
    <t>5210089</t>
  </si>
  <si>
    <t>5210090</t>
  </si>
  <si>
    <t>5210091</t>
  </si>
  <si>
    <t>5210092</t>
  </si>
  <si>
    <t>5210093</t>
  </si>
  <si>
    <t>5210094</t>
  </si>
  <si>
    <t>5210095</t>
  </si>
  <si>
    <t>5210096</t>
  </si>
  <si>
    <t>5210097</t>
  </si>
  <si>
    <t>5210098</t>
  </si>
  <si>
    <t>5210099</t>
  </si>
  <si>
    <t>5210100</t>
  </si>
  <si>
    <t>5210101</t>
  </si>
  <si>
    <t>5210102</t>
  </si>
  <si>
    <t>5410001</t>
  </si>
  <si>
    <t>5410002</t>
  </si>
  <si>
    <t>5410003</t>
  </si>
  <si>
    <t>5410004</t>
  </si>
  <si>
    <t>5410005</t>
  </si>
  <si>
    <t>5410006</t>
  </si>
  <si>
    <t>5410007</t>
  </si>
  <si>
    <t>5410008</t>
  </si>
  <si>
    <t>5410009</t>
  </si>
  <si>
    <t>5410010</t>
  </si>
  <si>
    <t>5410011</t>
  </si>
  <si>
    <t>5410012</t>
  </si>
  <si>
    <t>5410013</t>
  </si>
  <si>
    <t>5410014</t>
  </si>
  <si>
    <t>5410015</t>
  </si>
  <si>
    <t>5410016</t>
  </si>
  <si>
    <t>5410017</t>
  </si>
  <si>
    <t>5410018</t>
  </si>
  <si>
    <t>5410019</t>
  </si>
  <si>
    <t>5410020</t>
  </si>
  <si>
    <t>5410021</t>
  </si>
  <si>
    <t>5410022</t>
  </si>
  <si>
    <t>5410023</t>
  </si>
  <si>
    <t>5410024</t>
  </si>
  <si>
    <t>5410025</t>
  </si>
  <si>
    <t>5410026</t>
  </si>
  <si>
    <t>5410027</t>
  </si>
  <si>
    <t>5410028</t>
  </si>
  <si>
    <t>5410029</t>
  </si>
  <si>
    <t>5410030</t>
  </si>
  <si>
    <t>5410031</t>
  </si>
  <si>
    <t>5410032</t>
  </si>
  <si>
    <t>5410033</t>
  </si>
  <si>
    <t>5410034</t>
  </si>
  <si>
    <t>5410035</t>
  </si>
  <si>
    <t>5410036</t>
  </si>
  <si>
    <t>5410037</t>
  </si>
  <si>
    <t>5410038</t>
  </si>
  <si>
    <t>5410039</t>
  </si>
  <si>
    <t>5410040</t>
  </si>
  <si>
    <t>5410041</t>
  </si>
  <si>
    <t>5410042</t>
  </si>
  <si>
    <t>5410043</t>
  </si>
  <si>
    <t>5410044</t>
  </si>
  <si>
    <t>5410045</t>
  </si>
  <si>
    <t>5410046</t>
  </si>
  <si>
    <t>5410047</t>
  </si>
  <si>
    <t>5410048</t>
  </si>
  <si>
    <t>5410049</t>
  </si>
  <si>
    <t>5410050</t>
  </si>
  <si>
    <t>5410051</t>
  </si>
  <si>
    <t>5410052</t>
  </si>
  <si>
    <t>5410053</t>
  </si>
  <si>
    <t>5410054</t>
  </si>
  <si>
    <t>5410055</t>
  </si>
  <si>
    <t>5410056</t>
  </si>
  <si>
    <t>5410057</t>
  </si>
  <si>
    <t>5410058</t>
  </si>
  <si>
    <t>5410059</t>
  </si>
  <si>
    <t>5410060</t>
  </si>
  <si>
    <t>5410061</t>
  </si>
  <si>
    <t>5410062</t>
  </si>
  <si>
    <t>5410063</t>
  </si>
  <si>
    <t>5410064</t>
  </si>
  <si>
    <t>5410065</t>
  </si>
  <si>
    <t>5410066</t>
  </si>
  <si>
    <t>5410067</t>
  </si>
  <si>
    <t>5410068</t>
  </si>
  <si>
    <t>5410069</t>
  </si>
  <si>
    <t>5410070</t>
  </si>
  <si>
    <t>5410071</t>
  </si>
  <si>
    <t>5410072</t>
  </si>
  <si>
    <t>5410073</t>
  </si>
  <si>
    <t>5410074</t>
  </si>
  <si>
    <t>5410075</t>
  </si>
  <si>
    <t>5410076</t>
  </si>
  <si>
    <t>5410077</t>
  </si>
  <si>
    <t>5410078</t>
  </si>
  <si>
    <t>5410079</t>
  </si>
  <si>
    <t>5410080</t>
  </si>
  <si>
    <t>5410081</t>
  </si>
  <si>
    <t>5410082</t>
  </si>
  <si>
    <t>5410083</t>
  </si>
  <si>
    <t>5410084</t>
  </si>
  <si>
    <t>5410085</t>
  </si>
  <si>
    <t>5410086</t>
  </si>
  <si>
    <t>5410087</t>
  </si>
  <si>
    <t>5410088</t>
  </si>
  <si>
    <t>5410089</t>
  </si>
  <si>
    <t>5410090</t>
  </si>
  <si>
    <t>5410091</t>
  </si>
  <si>
    <t>5410092</t>
  </si>
  <si>
    <t>5410093</t>
  </si>
  <si>
    <t>5410094</t>
  </si>
  <si>
    <t>5410095</t>
  </si>
  <si>
    <t>5410096</t>
  </si>
  <si>
    <t>5410097</t>
  </si>
  <si>
    <t>5410098</t>
  </si>
  <si>
    <t>5410099</t>
  </si>
  <si>
    <t>5410100</t>
  </si>
  <si>
    <t>5410101</t>
  </si>
  <si>
    <t>5410102</t>
  </si>
  <si>
    <t>5410103</t>
  </si>
  <si>
    <t>5410104</t>
  </si>
  <si>
    <t>5410105</t>
  </si>
  <si>
    <t>5410106</t>
  </si>
  <si>
    <t>5410107</t>
  </si>
  <si>
    <t>5410108</t>
  </si>
  <si>
    <t>5410109</t>
  </si>
  <si>
    <t>5410110</t>
  </si>
  <si>
    <t>5410111</t>
  </si>
  <si>
    <t>5410112</t>
  </si>
  <si>
    <t>5410113</t>
  </si>
  <si>
    <t>5410114</t>
  </si>
  <si>
    <t>5410115</t>
  </si>
  <si>
    <t>5410116</t>
  </si>
  <si>
    <t>5410117</t>
  </si>
  <si>
    <t>5410118</t>
  </si>
  <si>
    <t>5410119</t>
  </si>
  <si>
    <t>5410120</t>
  </si>
  <si>
    <t>5410121</t>
  </si>
  <si>
    <t>5410122</t>
  </si>
  <si>
    <t>5410123</t>
  </si>
  <si>
    <t>5410124</t>
  </si>
  <si>
    <t>5710001</t>
  </si>
  <si>
    <t>5710002</t>
  </si>
  <si>
    <t>5710003</t>
  </si>
  <si>
    <t>5710004</t>
  </si>
  <si>
    <t>5710005</t>
  </si>
  <si>
    <t>5710006</t>
  </si>
  <si>
    <t>5710007</t>
  </si>
  <si>
    <t>5710008</t>
  </si>
  <si>
    <t>5710009</t>
  </si>
  <si>
    <t>5710010</t>
  </si>
  <si>
    <t>5710011</t>
  </si>
  <si>
    <t>5710012</t>
  </si>
  <si>
    <t>5710013</t>
  </si>
  <si>
    <t>5710014</t>
  </si>
  <si>
    <t>5710015</t>
  </si>
  <si>
    <t>5710016</t>
  </si>
  <si>
    <t>5710017</t>
  </si>
  <si>
    <t>5710018</t>
  </si>
  <si>
    <t>5710019</t>
  </si>
  <si>
    <t>5710020</t>
  </si>
  <si>
    <t>5710021</t>
  </si>
  <si>
    <t>5710022</t>
  </si>
  <si>
    <t>5710023</t>
  </si>
  <si>
    <t>5710024</t>
  </si>
  <si>
    <t>5710025</t>
  </si>
  <si>
    <t>5710026</t>
  </si>
  <si>
    <t>5710027</t>
  </si>
  <si>
    <t>5710028</t>
  </si>
  <si>
    <t>5710029</t>
  </si>
  <si>
    <t>5710030</t>
  </si>
  <si>
    <t>5710031</t>
  </si>
  <si>
    <t>5710032</t>
  </si>
  <si>
    <t>5710033</t>
  </si>
  <si>
    <t>5710034</t>
  </si>
  <si>
    <t>5710035</t>
  </si>
  <si>
    <t>5710036</t>
  </si>
  <si>
    <t>5710037</t>
  </si>
  <si>
    <t>5710038</t>
  </si>
  <si>
    <t>5710039</t>
  </si>
  <si>
    <t>5710040</t>
  </si>
  <si>
    <t>5710041</t>
  </si>
  <si>
    <t>5710042</t>
  </si>
  <si>
    <t>5710043</t>
  </si>
  <si>
    <t>5710044</t>
  </si>
  <si>
    <t>5710045</t>
  </si>
  <si>
    <t>5710046</t>
  </si>
  <si>
    <t>5710047</t>
  </si>
  <si>
    <t>5710048</t>
  </si>
  <si>
    <t>5710049</t>
  </si>
  <si>
    <t>5710050</t>
  </si>
  <si>
    <t>5710051</t>
  </si>
  <si>
    <t>5710052</t>
  </si>
  <si>
    <t>5710053</t>
  </si>
  <si>
    <t>5710054</t>
  </si>
  <si>
    <t>5710055</t>
  </si>
  <si>
    <t>5710056</t>
  </si>
  <si>
    <t>5710057</t>
  </si>
  <si>
    <t>5710058</t>
  </si>
  <si>
    <t>5710059</t>
  </si>
  <si>
    <t>5710060</t>
  </si>
  <si>
    <t>5710061</t>
  </si>
  <si>
    <t>5710062</t>
  </si>
  <si>
    <t>5710063</t>
  </si>
  <si>
    <t>5710064</t>
  </si>
  <si>
    <t>5710065</t>
  </si>
  <si>
    <t>5710066</t>
  </si>
  <si>
    <t>5710067</t>
  </si>
  <si>
    <t>5710068</t>
  </si>
  <si>
    <t>5710069</t>
  </si>
  <si>
    <t>5710070</t>
  </si>
  <si>
    <t>5710071</t>
  </si>
  <si>
    <t>5710072</t>
  </si>
  <si>
    <t>5710073</t>
  </si>
  <si>
    <t>5710074</t>
  </si>
  <si>
    <t>5710075</t>
  </si>
  <si>
    <t>5710076</t>
  </si>
  <si>
    <t>5710077</t>
  </si>
  <si>
    <t>5710078</t>
  </si>
  <si>
    <t>5710079</t>
  </si>
  <si>
    <t>5710080</t>
  </si>
  <si>
    <t>5710081</t>
  </si>
  <si>
    <t>5710082</t>
  </si>
  <si>
    <t>5710083</t>
  </si>
  <si>
    <t>5710084</t>
  </si>
  <si>
    <t>5710085</t>
  </si>
  <si>
    <t>5710086</t>
  </si>
  <si>
    <t>5710087</t>
  </si>
  <si>
    <t>5710088</t>
  </si>
  <si>
    <t>5710089</t>
  </si>
  <si>
    <t>5710090</t>
  </si>
  <si>
    <t>5710091</t>
  </si>
  <si>
    <t>5710092</t>
  </si>
  <si>
    <t>5710093</t>
  </si>
  <si>
    <t>5710094</t>
  </si>
  <si>
    <t>5710095</t>
  </si>
  <si>
    <t>5710096</t>
  </si>
  <si>
    <t>5810001</t>
  </si>
  <si>
    <t>5810002</t>
  </si>
  <si>
    <t>5810003</t>
  </si>
  <si>
    <t>5810004</t>
  </si>
  <si>
    <t>5810005</t>
  </si>
  <si>
    <t>5810006</t>
  </si>
  <si>
    <t>5810007</t>
  </si>
  <si>
    <t>5810008</t>
  </si>
  <si>
    <t>5810009</t>
  </si>
  <si>
    <t>5810010</t>
  </si>
  <si>
    <t>5810011</t>
  </si>
  <si>
    <t>5810012</t>
  </si>
  <si>
    <t>5810013</t>
  </si>
  <si>
    <t>5810014</t>
  </si>
  <si>
    <t>5810015</t>
  </si>
  <si>
    <t>5810016</t>
  </si>
  <si>
    <t>5810017</t>
  </si>
  <si>
    <t>5810018</t>
  </si>
  <si>
    <t>5810019</t>
  </si>
  <si>
    <t>5810020</t>
  </si>
  <si>
    <t>5810021</t>
  </si>
  <si>
    <t>5810022</t>
  </si>
  <si>
    <t>5810023</t>
  </si>
  <si>
    <t>5810024</t>
  </si>
  <si>
    <t>5810025</t>
  </si>
  <si>
    <t>5810026</t>
  </si>
  <si>
    <t>5810027</t>
  </si>
  <si>
    <t>5810028</t>
  </si>
  <si>
    <t>5810029</t>
  </si>
  <si>
    <t>5810030</t>
  </si>
  <si>
    <t>5810031</t>
  </si>
  <si>
    <t>5810032</t>
  </si>
  <si>
    <t>5810033</t>
  </si>
  <si>
    <t>5810034</t>
  </si>
  <si>
    <t>5810035</t>
  </si>
  <si>
    <t>5810036</t>
  </si>
  <si>
    <t>5810037</t>
  </si>
  <si>
    <t>5810038</t>
  </si>
  <si>
    <t>5810039</t>
  </si>
  <si>
    <t>5810040</t>
  </si>
  <si>
    <t>5810041</t>
  </si>
  <si>
    <t>5810042</t>
  </si>
  <si>
    <t>5810043</t>
  </si>
  <si>
    <t>5810044</t>
  </si>
  <si>
    <t>5810045</t>
  </si>
  <si>
    <t>5810046</t>
  </si>
  <si>
    <t>5810047</t>
  </si>
  <si>
    <t>5810048</t>
  </si>
  <si>
    <t>5810049</t>
  </si>
  <si>
    <t>5810050</t>
  </si>
  <si>
    <t>5810051</t>
  </si>
  <si>
    <t>5810052</t>
  </si>
  <si>
    <t>5810053</t>
  </si>
  <si>
    <t>5810054</t>
  </si>
  <si>
    <t>5810055</t>
  </si>
  <si>
    <t>5810056</t>
  </si>
  <si>
    <t>5810057</t>
  </si>
  <si>
    <t>5810058</t>
  </si>
  <si>
    <t>5810059</t>
  </si>
  <si>
    <t>5810060</t>
  </si>
  <si>
    <t>5810061</t>
  </si>
  <si>
    <t>5810062</t>
  </si>
  <si>
    <t>5810063</t>
  </si>
  <si>
    <t>5810064</t>
  </si>
  <si>
    <t>5810065</t>
  </si>
  <si>
    <t>5810066</t>
  </si>
  <si>
    <t>5810067</t>
  </si>
  <si>
    <t>5810068</t>
  </si>
  <si>
    <t>5810069</t>
  </si>
  <si>
    <t>5810070</t>
  </si>
  <si>
    <t>5810071</t>
  </si>
  <si>
    <t>5810072</t>
  </si>
  <si>
    <t>5810073</t>
  </si>
  <si>
    <t>5810074</t>
  </si>
  <si>
    <t>5810075</t>
  </si>
  <si>
    <t>5810076</t>
  </si>
  <si>
    <t>5810077</t>
  </si>
  <si>
    <t>5810078</t>
  </si>
  <si>
    <t>5810079</t>
  </si>
  <si>
    <t>5810080</t>
  </si>
  <si>
    <t>5810081</t>
  </si>
  <si>
    <t>5810082</t>
  </si>
  <si>
    <t>5810083</t>
  </si>
  <si>
    <t>5810084</t>
  </si>
  <si>
    <t>5810085</t>
  </si>
  <si>
    <t>5810086</t>
  </si>
  <si>
    <t>5810087</t>
  </si>
  <si>
    <t>5810088</t>
  </si>
  <si>
    <t>5810089</t>
  </si>
  <si>
    <t>5810090</t>
  </si>
  <si>
    <t>5810091</t>
  </si>
  <si>
    <t>5810092</t>
  </si>
  <si>
    <t>5810093</t>
  </si>
  <si>
    <t>5810094</t>
  </si>
  <si>
    <t>5810095</t>
  </si>
  <si>
    <t>6110001</t>
  </si>
  <si>
    <t>6110002</t>
  </si>
  <si>
    <t>6110003</t>
  </si>
  <si>
    <t>6110004</t>
  </si>
  <si>
    <t>6110005</t>
  </si>
  <si>
    <t>6110006</t>
  </si>
  <si>
    <t>6110007</t>
  </si>
  <si>
    <t>6110008</t>
  </si>
  <si>
    <t>6110009</t>
  </si>
  <si>
    <t>6110010</t>
  </si>
  <si>
    <t>6110011</t>
  </si>
  <si>
    <t>6110012</t>
  </si>
  <si>
    <t>6110013</t>
  </si>
  <si>
    <t>6110014</t>
  </si>
  <si>
    <t>6110015</t>
  </si>
  <si>
    <t>6110016</t>
  </si>
  <si>
    <t>6110017</t>
  </si>
  <si>
    <t>6110018</t>
  </si>
  <si>
    <t>6110019</t>
  </si>
  <si>
    <t>6110020</t>
  </si>
  <si>
    <t>6110021</t>
  </si>
  <si>
    <t>6110022</t>
  </si>
  <si>
    <t>6110023</t>
  </si>
  <si>
    <t>6110024</t>
  </si>
  <si>
    <t>6110025</t>
  </si>
  <si>
    <t>6110026</t>
  </si>
  <si>
    <t>6110027</t>
  </si>
  <si>
    <t>6110028</t>
  </si>
  <si>
    <t>6110029</t>
  </si>
  <si>
    <t>6110030</t>
  </si>
  <si>
    <t>6110031</t>
  </si>
  <si>
    <t>6110032</t>
  </si>
  <si>
    <t>6110033</t>
  </si>
  <si>
    <t>6110034</t>
  </si>
  <si>
    <t>6110035</t>
  </si>
  <si>
    <t>6110036</t>
  </si>
  <si>
    <t>6110037</t>
  </si>
  <si>
    <t>6110038</t>
  </si>
  <si>
    <t>6110039</t>
  </si>
  <si>
    <t>6110040</t>
  </si>
  <si>
    <t>6110041</t>
  </si>
  <si>
    <t>6110042</t>
  </si>
  <si>
    <t>6110043</t>
  </si>
  <si>
    <t>6110044</t>
  </si>
  <si>
    <t>6110045</t>
  </si>
  <si>
    <t>6110046</t>
  </si>
  <si>
    <t>6110047</t>
  </si>
  <si>
    <t>6110048</t>
  </si>
  <si>
    <t>6110049</t>
  </si>
  <si>
    <t>6110050</t>
  </si>
  <si>
    <t>6110051</t>
  </si>
  <si>
    <t>6110052</t>
  </si>
  <si>
    <t>6110053</t>
  </si>
  <si>
    <t>6110054</t>
  </si>
  <si>
    <t>6110055</t>
  </si>
  <si>
    <t>6110056</t>
  </si>
  <si>
    <t>6110057</t>
  </si>
  <si>
    <t>6110058</t>
  </si>
  <si>
    <t>6110059</t>
  </si>
  <si>
    <t>6110060</t>
  </si>
  <si>
    <t>6110061</t>
  </si>
  <si>
    <t>6110062</t>
  </si>
  <si>
    <t>6110063</t>
  </si>
  <si>
    <t>6110064</t>
  </si>
  <si>
    <t>6110065</t>
  </si>
  <si>
    <t>6110066</t>
  </si>
  <si>
    <t>6110067</t>
  </si>
  <si>
    <t>6110068</t>
  </si>
  <si>
    <t>6110069</t>
  </si>
  <si>
    <t>6110070</t>
  </si>
  <si>
    <t>6110071</t>
  </si>
  <si>
    <t>6110072</t>
  </si>
  <si>
    <t>6110073</t>
  </si>
  <si>
    <t>6110074</t>
  </si>
  <si>
    <t>6110075</t>
  </si>
  <si>
    <t>6110076</t>
  </si>
  <si>
    <t>6110077</t>
  </si>
  <si>
    <t>6110078</t>
  </si>
  <si>
    <t>6110079</t>
  </si>
  <si>
    <t>6110080</t>
  </si>
  <si>
    <t>6110081</t>
  </si>
  <si>
    <t>6110082</t>
  </si>
  <si>
    <t>6110083</t>
  </si>
  <si>
    <t>6110084</t>
  </si>
  <si>
    <t>6110085</t>
  </si>
  <si>
    <t>6110086</t>
  </si>
  <si>
    <t>6110087</t>
  </si>
  <si>
    <t>6110088</t>
  </si>
  <si>
    <t>6110089</t>
  </si>
  <si>
    <t>6110090</t>
  </si>
  <si>
    <t>6110091</t>
  </si>
  <si>
    <t>6110092</t>
  </si>
  <si>
    <t>6110093</t>
  </si>
  <si>
    <t>6110094</t>
  </si>
  <si>
    <t>6110095</t>
  </si>
  <si>
    <t>6110096</t>
  </si>
  <si>
    <t>6110097</t>
  </si>
  <si>
    <t>6110098</t>
  </si>
  <si>
    <t>6110099</t>
  </si>
  <si>
    <t>6110100</t>
  </si>
  <si>
    <t>6110101</t>
  </si>
  <si>
    <t>6110102</t>
  </si>
  <si>
    <t>6210001</t>
  </si>
  <si>
    <t>6210002</t>
  </si>
  <si>
    <t>6210003</t>
  </si>
  <si>
    <t>6210004</t>
  </si>
  <si>
    <t>6210005</t>
  </si>
  <si>
    <t>6210006</t>
  </si>
  <si>
    <t>6210007</t>
  </si>
  <si>
    <t>6210008</t>
  </si>
  <si>
    <t>6210009</t>
  </si>
  <si>
    <t>6210010</t>
  </si>
  <si>
    <t>6210011</t>
  </si>
  <si>
    <t>6210012</t>
  </si>
  <si>
    <t>6210013</t>
  </si>
  <si>
    <t>6210014</t>
  </si>
  <si>
    <t>6210015</t>
  </si>
  <si>
    <t>6210016</t>
  </si>
  <si>
    <t>6210017</t>
  </si>
  <si>
    <t>6210018</t>
  </si>
  <si>
    <t>6210019</t>
  </si>
  <si>
    <t>6210020</t>
  </si>
  <si>
    <t>6210021</t>
  </si>
  <si>
    <t>6210022</t>
  </si>
  <si>
    <t>6210023</t>
  </si>
  <si>
    <t>6210024</t>
  </si>
  <si>
    <t>6210025</t>
  </si>
  <si>
    <t>6210026</t>
  </si>
  <si>
    <t>6210027</t>
  </si>
  <si>
    <t>6210028</t>
  </si>
  <si>
    <t>6210029</t>
  </si>
  <si>
    <t>6210030</t>
  </si>
  <si>
    <t>6210031</t>
  </si>
  <si>
    <t>6210032</t>
  </si>
  <si>
    <t>6210033</t>
  </si>
  <si>
    <t>6210034</t>
  </si>
  <si>
    <t>6210035</t>
  </si>
  <si>
    <t>6210036</t>
  </si>
  <si>
    <t>6210037</t>
  </si>
  <si>
    <t>6210038</t>
  </si>
  <si>
    <t>6210039</t>
  </si>
  <si>
    <t>6210040</t>
  </si>
  <si>
    <t>6210041</t>
  </si>
  <si>
    <t>6210042</t>
  </si>
  <si>
    <t>6210043</t>
  </si>
  <si>
    <t>6210044</t>
  </si>
  <si>
    <t>6210045</t>
  </si>
  <si>
    <t>6210046</t>
  </si>
  <si>
    <t>6210047</t>
  </si>
  <si>
    <t>6210048</t>
  </si>
  <si>
    <t>6210049</t>
  </si>
  <si>
    <t>6210050</t>
  </si>
  <si>
    <t>6210051</t>
  </si>
  <si>
    <t>6210052</t>
  </si>
  <si>
    <t>6210053</t>
  </si>
  <si>
    <t>6210054</t>
  </si>
  <si>
    <t>6210055</t>
  </si>
  <si>
    <t>6210056</t>
  </si>
  <si>
    <t>6210057</t>
  </si>
  <si>
    <t>6210058</t>
  </si>
  <si>
    <t>6210059</t>
  </si>
  <si>
    <t>6210060</t>
  </si>
  <si>
    <t>6210061</t>
  </si>
  <si>
    <t>6210062</t>
  </si>
  <si>
    <t>6210063</t>
  </si>
  <si>
    <t>6210064</t>
  </si>
  <si>
    <t>6210065</t>
  </si>
  <si>
    <t>6210066</t>
  </si>
  <si>
    <t>6210067</t>
  </si>
  <si>
    <t>6210068</t>
  </si>
  <si>
    <t>6210069</t>
  </si>
  <si>
    <t>6210070</t>
  </si>
  <si>
    <t>6210071</t>
  </si>
  <si>
    <t>6210072</t>
  </si>
  <si>
    <t>6210073</t>
  </si>
  <si>
    <t>6210074</t>
  </si>
  <si>
    <t>6210075</t>
  </si>
  <si>
    <t>6210076</t>
  </si>
  <si>
    <t>6210077</t>
  </si>
  <si>
    <t>6210078</t>
  </si>
  <si>
    <t>6210079</t>
  </si>
  <si>
    <t>6210080</t>
  </si>
  <si>
    <t>6210081</t>
  </si>
  <si>
    <t>6210082</t>
  </si>
  <si>
    <t>6210083</t>
  </si>
  <si>
    <t>6210084</t>
  </si>
  <si>
    <t>6210085</t>
  </si>
  <si>
    <t>6210086</t>
  </si>
  <si>
    <t>6210087</t>
  </si>
  <si>
    <t>6210088</t>
  </si>
  <si>
    <t>6210089</t>
  </si>
  <si>
    <t>6210090</t>
  </si>
  <si>
    <t>6210091</t>
  </si>
  <si>
    <t>6210092</t>
  </si>
  <si>
    <t>6210093</t>
  </si>
  <si>
    <t>6210094</t>
  </si>
  <si>
    <t>6210095</t>
  </si>
  <si>
    <t>6210096</t>
  </si>
  <si>
    <t>6210097</t>
  </si>
  <si>
    <t>6210098</t>
  </si>
  <si>
    <t>6210099</t>
  </si>
  <si>
    <t>6210100</t>
  </si>
  <si>
    <t>6210101</t>
  </si>
  <si>
    <t>6210102</t>
  </si>
  <si>
    <t>6610001</t>
  </si>
  <si>
    <t>6610002</t>
  </si>
  <si>
    <t>6610003</t>
  </si>
  <si>
    <t>6610004</t>
  </si>
  <si>
    <t>6610005</t>
  </si>
  <si>
    <t>6610006</t>
  </si>
  <si>
    <t>6610007</t>
  </si>
  <si>
    <t>6610008</t>
  </si>
  <si>
    <t>6610009</t>
  </si>
  <si>
    <t>6610010</t>
  </si>
  <si>
    <t>6610011</t>
  </si>
  <si>
    <t>6610012</t>
  </si>
  <si>
    <t>6610013</t>
  </si>
  <si>
    <t>6610014</t>
  </si>
  <si>
    <t>6610015</t>
  </si>
  <si>
    <t>6610016</t>
  </si>
  <si>
    <t>6610017</t>
  </si>
  <si>
    <t>6610018</t>
  </si>
  <si>
    <t>6610019</t>
  </si>
  <si>
    <t>6610020</t>
  </si>
  <si>
    <t>6610021</t>
  </si>
  <si>
    <t>6610022</t>
  </si>
  <si>
    <t>6610023</t>
  </si>
  <si>
    <t>6610024</t>
  </si>
  <si>
    <t>6610025</t>
  </si>
  <si>
    <t>6610026</t>
  </si>
  <si>
    <t>6610027</t>
  </si>
  <si>
    <t>6610028</t>
  </si>
  <si>
    <t>6610029</t>
  </si>
  <si>
    <t>6610030</t>
  </si>
  <si>
    <t>6610031</t>
  </si>
  <si>
    <t>6610032</t>
  </si>
  <si>
    <t>6610033</t>
  </si>
  <si>
    <t>6610034</t>
  </si>
  <si>
    <t>6610035</t>
  </si>
  <si>
    <t>6610036</t>
  </si>
  <si>
    <t>6610037</t>
  </si>
  <si>
    <t>6610038</t>
  </si>
  <si>
    <t>6610039</t>
  </si>
  <si>
    <t>6610040</t>
  </si>
  <si>
    <t>6610041</t>
  </si>
  <si>
    <t>6610042</t>
  </si>
  <si>
    <t>6610043</t>
  </si>
  <si>
    <t>6610044</t>
  </si>
  <si>
    <t>6610045</t>
  </si>
  <si>
    <t>6610046</t>
  </si>
  <si>
    <t>6610047</t>
  </si>
  <si>
    <t>6610048</t>
  </si>
  <si>
    <t>6610049</t>
  </si>
  <si>
    <t>6610050</t>
  </si>
  <si>
    <t>6610051</t>
  </si>
  <si>
    <t>6610052</t>
  </si>
  <si>
    <t>6610053</t>
  </si>
  <si>
    <t>6610054</t>
  </si>
  <si>
    <t>6610055</t>
  </si>
  <si>
    <t>6610056</t>
  </si>
  <si>
    <t>6610057</t>
  </si>
  <si>
    <t>6610058</t>
  </si>
  <si>
    <t>6610059</t>
  </si>
  <si>
    <t>6610060</t>
  </si>
  <si>
    <t>6610061</t>
  </si>
  <si>
    <t>6610062</t>
  </si>
  <si>
    <t>6610063</t>
  </si>
  <si>
    <t>6610064</t>
  </si>
  <si>
    <t>6610065</t>
  </si>
  <si>
    <t>6610066</t>
  </si>
  <si>
    <t>6610067</t>
  </si>
  <si>
    <t>6610068</t>
  </si>
  <si>
    <t>6610069</t>
  </si>
  <si>
    <t>6610070</t>
  </si>
  <si>
    <t>6610071</t>
  </si>
  <si>
    <t>6610072</t>
  </si>
  <si>
    <t>6610073</t>
  </si>
  <si>
    <t>6610074</t>
  </si>
  <si>
    <t>6610075</t>
  </si>
  <si>
    <t>6610076</t>
  </si>
  <si>
    <t>6610077</t>
  </si>
  <si>
    <t>6610078</t>
  </si>
  <si>
    <t>6610079</t>
  </si>
  <si>
    <t>6610080</t>
  </si>
  <si>
    <t>6610081</t>
  </si>
  <si>
    <t>6610082</t>
  </si>
  <si>
    <t>6610083</t>
  </si>
  <si>
    <t>6610084</t>
  </si>
  <si>
    <t>6610085</t>
  </si>
  <si>
    <t>6610086</t>
  </si>
  <si>
    <t>6610087</t>
  </si>
  <si>
    <t>6610088</t>
  </si>
  <si>
    <t>6610089</t>
  </si>
  <si>
    <t>6610090</t>
  </si>
  <si>
    <t>6610091</t>
  </si>
  <si>
    <t>6610092</t>
  </si>
  <si>
    <t>6610093</t>
  </si>
  <si>
    <t>6610094</t>
  </si>
  <si>
    <t>6610095</t>
  </si>
  <si>
    <t>6610096</t>
  </si>
  <si>
    <t>6610097</t>
  </si>
  <si>
    <t>6610098</t>
  </si>
  <si>
    <t>6610099</t>
  </si>
  <si>
    <t>6610100</t>
  </si>
  <si>
    <t>6610101</t>
  </si>
  <si>
    <t>6610102</t>
  </si>
  <si>
    <t>6610103</t>
  </si>
  <si>
    <t>6610104</t>
  </si>
  <si>
    <t>6610105</t>
  </si>
  <si>
    <t>6610106</t>
  </si>
  <si>
    <t>6610107</t>
  </si>
  <si>
    <t>6610108</t>
  </si>
  <si>
    <t>6610109</t>
  </si>
  <si>
    <t>6610110</t>
  </si>
  <si>
    <t>6610111</t>
  </si>
  <si>
    <t>6610112</t>
  </si>
  <si>
    <t>6610113</t>
  </si>
  <si>
    <t>6610114</t>
  </si>
  <si>
    <t>6610115</t>
  </si>
  <si>
    <t>6610116</t>
  </si>
  <si>
    <t>6610117</t>
  </si>
  <si>
    <t>6610118</t>
  </si>
  <si>
    <t>6610119</t>
  </si>
  <si>
    <t>6610120</t>
  </si>
  <si>
    <t>6610121</t>
  </si>
  <si>
    <t>6610122</t>
  </si>
  <si>
    <t>6610123</t>
  </si>
  <si>
    <t>6610124</t>
  </si>
  <si>
    <t>6810001</t>
  </si>
  <si>
    <t>6810002</t>
  </si>
  <si>
    <t>6810003</t>
  </si>
  <si>
    <t>6810004</t>
  </si>
  <si>
    <t>6810005</t>
  </si>
  <si>
    <t>6810006</t>
  </si>
  <si>
    <t>6810007</t>
  </si>
  <si>
    <t>6810008</t>
  </si>
  <si>
    <t>6810009</t>
  </si>
  <si>
    <t>6810010</t>
  </si>
  <si>
    <t>6810011</t>
  </si>
  <si>
    <t>6810012</t>
  </si>
  <si>
    <t>6810013</t>
  </si>
  <si>
    <t>6810014</t>
  </si>
  <si>
    <t>6810015</t>
  </si>
  <si>
    <t>6810016</t>
  </si>
  <si>
    <t>6810017</t>
  </si>
  <si>
    <t>6810018</t>
  </si>
  <si>
    <t>6810019</t>
  </si>
  <si>
    <t>6810020</t>
  </si>
  <si>
    <t>6810021</t>
  </si>
  <si>
    <t>6810022</t>
  </si>
  <si>
    <t>6810023</t>
  </si>
  <si>
    <t>6810024</t>
  </si>
  <si>
    <t>6810025</t>
  </si>
  <si>
    <t>6810026</t>
  </si>
  <si>
    <t>6810027</t>
  </si>
  <si>
    <t>6810028</t>
  </si>
  <si>
    <t>6810029</t>
  </si>
  <si>
    <t>6810030</t>
  </si>
  <si>
    <t>6810031</t>
  </si>
  <si>
    <t>6810032</t>
  </si>
  <si>
    <t>6810033</t>
  </si>
  <si>
    <t>6810034</t>
  </si>
  <si>
    <t>6810035</t>
  </si>
  <si>
    <t>6810036</t>
  </si>
  <si>
    <t>6810037</t>
  </si>
  <si>
    <t>6810038</t>
  </si>
  <si>
    <t>6810039</t>
  </si>
  <si>
    <t>6810040</t>
  </si>
  <si>
    <t>6810041</t>
  </si>
  <si>
    <t>6810042</t>
  </si>
  <si>
    <t>6810043</t>
  </si>
  <si>
    <t>6810044</t>
  </si>
  <si>
    <t>6810045</t>
  </si>
  <si>
    <t>6810046</t>
  </si>
  <si>
    <t>6810047</t>
  </si>
  <si>
    <t>6810048</t>
  </si>
  <si>
    <t>6810049</t>
  </si>
  <si>
    <t>6810050</t>
  </si>
  <si>
    <t>6810051</t>
  </si>
  <si>
    <t>6810052</t>
  </si>
  <si>
    <t>6810053</t>
  </si>
  <si>
    <t>6810054</t>
  </si>
  <si>
    <t>6810055</t>
  </si>
  <si>
    <t>6810056</t>
  </si>
  <si>
    <t>6810057</t>
  </si>
  <si>
    <t>6810058</t>
  </si>
  <si>
    <t>6810059</t>
  </si>
  <si>
    <t>6810060</t>
  </si>
  <si>
    <t>6810061</t>
  </si>
  <si>
    <t>6810062</t>
  </si>
  <si>
    <t>6810063</t>
  </si>
  <si>
    <t>6810064</t>
  </si>
  <si>
    <t>6810065</t>
  </si>
  <si>
    <t>6810066</t>
  </si>
  <si>
    <t>6810067</t>
  </si>
  <si>
    <t>6810068</t>
  </si>
  <si>
    <t>6810069</t>
  </si>
  <si>
    <t>6810070</t>
  </si>
  <si>
    <t>6810071</t>
  </si>
  <si>
    <t>6810072</t>
  </si>
  <si>
    <t>6810073</t>
  </si>
  <si>
    <t>6810074</t>
  </si>
  <si>
    <t>6810075</t>
  </si>
  <si>
    <t>6810076</t>
  </si>
  <si>
    <t>6810077</t>
  </si>
  <si>
    <t>6810078</t>
  </si>
  <si>
    <t>6810079</t>
  </si>
  <si>
    <t>6810080</t>
  </si>
  <si>
    <t>6810081</t>
  </si>
  <si>
    <t>6810082</t>
  </si>
  <si>
    <t>6810083</t>
  </si>
  <si>
    <t>6810084</t>
  </si>
  <si>
    <t>6810085</t>
  </si>
  <si>
    <t>6810086</t>
  </si>
  <si>
    <t>6810087</t>
  </si>
  <si>
    <t>6810088</t>
  </si>
  <si>
    <t>6810089</t>
  </si>
  <si>
    <t>6810090</t>
  </si>
  <si>
    <t>6810091</t>
  </si>
  <si>
    <t>6810092</t>
  </si>
  <si>
    <t>6810093</t>
  </si>
  <si>
    <t>6810094</t>
  </si>
  <si>
    <t>6810095</t>
  </si>
  <si>
    <t>6810096</t>
  </si>
  <si>
    <t>6810097</t>
  </si>
  <si>
    <t>6810098</t>
  </si>
  <si>
    <t>6810099</t>
  </si>
  <si>
    <t>6810100</t>
  </si>
  <si>
    <t>6810101</t>
  </si>
  <si>
    <t>6810102</t>
  </si>
  <si>
    <t>6810103</t>
  </si>
  <si>
    <t>7210001</t>
  </si>
  <si>
    <t>7210002</t>
  </si>
  <si>
    <t>7210003</t>
  </si>
  <si>
    <t>7210004</t>
  </si>
  <si>
    <t>7210005</t>
  </si>
  <si>
    <t>7210006</t>
  </si>
  <si>
    <t>7210007</t>
  </si>
  <si>
    <t>7210008</t>
  </si>
  <si>
    <t>7210009</t>
  </si>
  <si>
    <t>7210010</t>
  </si>
  <si>
    <t>7210011</t>
  </si>
  <si>
    <t>7210012</t>
  </si>
  <si>
    <t>7210013</t>
  </si>
  <si>
    <t>7210014</t>
  </si>
  <si>
    <t>7210015</t>
  </si>
  <si>
    <t>7210016</t>
  </si>
  <si>
    <t>7210017</t>
  </si>
  <si>
    <t>7210018</t>
  </si>
  <si>
    <t>7210019</t>
  </si>
  <si>
    <t>7210020</t>
  </si>
  <si>
    <t>7210021</t>
  </si>
  <si>
    <t>7210022</t>
  </si>
  <si>
    <t>7210023</t>
  </si>
  <si>
    <t>7210024</t>
  </si>
  <si>
    <t>7210025</t>
  </si>
  <si>
    <t>7210026</t>
  </si>
  <si>
    <t>7210027</t>
  </si>
  <si>
    <t>7210028</t>
  </si>
  <si>
    <t>7210029</t>
  </si>
  <si>
    <t>7210030</t>
  </si>
  <si>
    <t>7210031</t>
  </si>
  <si>
    <t>7210032</t>
  </si>
  <si>
    <t>7210033</t>
  </si>
  <si>
    <t>7210034</t>
  </si>
  <si>
    <t>7210035</t>
  </si>
  <si>
    <t>7210036</t>
  </si>
  <si>
    <t>7210037</t>
  </si>
  <si>
    <t>7210038</t>
  </si>
  <si>
    <t>7210039</t>
  </si>
  <si>
    <t>7210040</t>
  </si>
  <si>
    <t>7210041</t>
  </si>
  <si>
    <t>7210042</t>
  </si>
  <si>
    <t>7210043</t>
  </si>
  <si>
    <t>7210044</t>
  </si>
  <si>
    <t>7210045</t>
  </si>
  <si>
    <t>7210046</t>
  </si>
  <si>
    <t>7210047</t>
  </si>
  <si>
    <t>7210048</t>
  </si>
  <si>
    <t>7210049</t>
  </si>
  <si>
    <t>7210050</t>
  </si>
  <si>
    <t>7210051</t>
  </si>
  <si>
    <t>7210052</t>
  </si>
  <si>
    <t>7210053</t>
  </si>
  <si>
    <t>7210054</t>
  </si>
  <si>
    <t>7210055</t>
  </si>
  <si>
    <t>7210056</t>
  </si>
  <si>
    <t>7210057</t>
  </si>
  <si>
    <t>7210058</t>
  </si>
  <si>
    <t>7210059</t>
  </si>
  <si>
    <t>7210060</t>
  </si>
  <si>
    <t>7210061</t>
  </si>
  <si>
    <t>7210062</t>
  </si>
  <si>
    <t>7210063</t>
  </si>
  <si>
    <t>7210064</t>
  </si>
  <si>
    <t>Tiền gửi thanh toán cá nhân</t>
  </si>
  <si>
    <t>Success</t>
  </si>
  <si>
    <t>Thẻ ghi nợ nội địa Success hạng chuẩn</t>
  </si>
  <si>
    <t>PSuccess</t>
  </si>
  <si>
    <t>Thẻ ghi nợ nội địa Plus Success hạng vàng</t>
  </si>
  <si>
    <t>NNC</t>
  </si>
  <si>
    <t>Thẻ ghi nợ nội địa Success hạng chuẩn - Đối tượng KH Dự án NNNT</t>
  </si>
  <si>
    <t>ASXH</t>
  </si>
  <si>
    <t>Thẻ ghi nợ nội địa Success hạng chuẩn - Đối tượng KH ASXH</t>
  </si>
  <si>
    <t>Miễn phí PHT đối tượng KH chi trả lương, trợ cấp BHXH - VB 4242/NHNo-KHCN</t>
  </si>
  <si>
    <t>Miễn phí Phát hành đối tượng nghi ngờ sao chép dữ liệu - VB 983/NHNo-TCKT</t>
  </si>
  <si>
    <t>Văn bản khác (Theo VB của Chi nhánh, ....)</t>
  </si>
  <si>
    <t>Văn bản khác (Theo thông báo TSC, ....)</t>
  </si>
  <si>
    <t>Miễn phí PHT đối tượng KH thuộc hệ sinh thái Vinamilk - VB 12392/NHNo-KHDN</t>
  </si>
  <si>
    <t>Miễn phí PHT đối tượng KH vay vốn tại Agribank - VB 4242/NHNo-KHCN</t>
  </si>
  <si>
    <t>Miễn phí PHT đối tượng KH Sinh viên học tại cơ sở có ký HĐ với Agribank - VB 4242/NHNo-KHCN</t>
  </si>
  <si>
    <t>Miễn phí PHT đối tượng KH Học sinh lớp 12 các trường THPT - VB 4242/NHNo-KHCN</t>
  </si>
  <si>
    <t>Miễn phí PHT đối tượng KH Chủ hộ kinh doanh - VB 4242/NHNo-KHCN</t>
  </si>
  <si>
    <t>Miễn phí PHT đối tượng KH hưởng chính sách ASXH (Mã SP thẻ: 97040543) - VB 4242/NHNo-KHCN</t>
  </si>
  <si>
    <t>Miễn phí PHT đối tượng KH thuộc ĐA NNNT (Mã SP thẻ: 97040526) - VB 4242/NHNo-KHCN</t>
  </si>
  <si>
    <t>Miễn phí PHT đối tượng KH áp dụng Chương trình cho vay "Lương ổn định - ưu đãi nhân đôi"</t>
  </si>
  <si>
    <t>Miễn phí PHT đối tượng KH áp dụng Chương trình cho vay "Vốn lớn dài lâu - Kinh doanh bền vững"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</si>
  <si>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</si>
  <si>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</si>
  <si>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</si>
  <si>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</si>
  <si>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</si>
  <si>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</si>
  <si>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</si>
  <si>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</si>
  <si>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</si>
  <si>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</si>
  <si>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</si>
  <si>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</si>
  <si>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</si>
  <si>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</si>
  <si>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</si>
  <si>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</si>
  <si>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</si>
  <si>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</si>
  <si>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</si>
  <si>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</si>
  <si>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</si>
  <si>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</si>
  <si>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</si>
  <si>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</si>
  <si>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</si>
  <si>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</si>
  <si>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</si>
  <si>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</si>
  <si>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</si>
  <si>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</si>
  <si>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</si>
  <si>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</si>
  <si>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</si>
  <si>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</si>
  <si>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</si>
  <si>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</si>
  <si>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</si>
  <si>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</si>
  <si>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</si>
  <si>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</si>
  <si>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</si>
  <si>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</si>
  <si>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</si>
  <si>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</si>
  <si>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</si>
  <si>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</si>
  <si>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</si>
  <si>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</si>
  <si>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</si>
  <si>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</si>
  <si>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</si>
  <si>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</si>
  <si>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</si>
  <si>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</si>
  <si>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</si>
  <si>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</si>
  <si>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</si>
  <si>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</si>
  <si>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</si>
  <si>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</si>
  <si>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</si>
  <si>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</si>
  <si>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</si>
  <si>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</si>
  <si>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</si>
  <si>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</si>
  <si>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</si>
  <si>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</si>
  <si>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</si>
  <si>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</si>
  <si>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</si>
  <si>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</si>
  <si>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</si>
  <si>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</si>
  <si>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</si>
  <si>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</si>
  <si>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</si>
  <si>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</si>
  <si>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</si>
  <si>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</si>
  <si>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</si>
  <si>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</si>
  <si>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</si>
  <si>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</si>
  <si>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</si>
  <si>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</si>
  <si>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</si>
  <si>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</si>
  <si>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346</t>
  </si>
  <si>
    <t>347</t>
  </si>
  <si>
    <t>348</t>
  </si>
  <si>
    <t>349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</si>
  <si>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</si>
  <si>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</si>
  <si>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</si>
  <si>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</si>
  <si>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</si>
  <si>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</si>
  <si>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</si>
  <si>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</si>
  <si>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</si>
  <si>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</si>
  <si>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</si>
  <si>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</si>
  <si>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</si>
  <si>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</si>
  <si>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</si>
  <si>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</si>
  <si>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</si>
  <si>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</si>
  <si>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</si>
  <si>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</si>
  <si>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</si>
  <si>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</si>
  <si>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</si>
  <si>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</si>
  <si>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</si>
  <si>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</si>
  <si>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</si>
  <si>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</si>
  <si>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</si>
  <si>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</si>
  <si>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</si>
  <si>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</si>
  <si>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</si>
  <si>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</si>
  <si>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</si>
  <si>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</si>
  <si>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</si>
  <si>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</si>
  <si>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</si>
  <si>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</si>
  <si>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</si>
  <si>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</si>
  <si>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</si>
  <si>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</si>
  <si>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</si>
  <si>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</si>
  <si>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</si>
  <si>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</si>
  <si>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</si>
  <si>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</si>
  <si>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</si>
  <si>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</si>
  <si>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</si>
  <si>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</si>
  <si>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</si>
  <si>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</si>
  <si>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</si>
  <si>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</si>
  <si>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</si>
  <si>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</si>
  <si>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</si>
  <si>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</si>
  <si>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</si>
  <si>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</si>
  <si>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</si>
  <si>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</si>
  <si>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</si>
  <si>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</si>
  <si>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</si>
  <si>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</si>
  <si>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</si>
  <si>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</si>
  <si>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</si>
  <si>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</si>
  <si>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</si>
  <si>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</si>
  <si>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</si>
  <si>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</si>
  <si>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</si>
  <si>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</si>
  <si>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</si>
  <si>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</si>
  <si>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</si>
  <si>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</si>
  <si>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</si>
  <si>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</si>
  <si>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</si>
  <si>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</si>
  <si>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</si>
  <si>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</si>
  <si>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</si>
  <si>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</si>
  <si>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</si>
  <si>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</si>
  <si>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</si>
  <si>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</si>
  <si>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</si>
  <si>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</si>
  <si>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</si>
  <si>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</si>
  <si>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</si>
  <si>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</si>
  <si>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</si>
  <si>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</si>
  <si>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</si>
  <si>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</si>
  <si>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</si>
  <si>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</si>
  <si>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</si>
  <si>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</si>
  <si>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</si>
  <si>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</si>
  <si>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</si>
  <si>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</si>
  <si>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</si>
  <si>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20000902</t>
  </si>
  <si>
    <t>20300902</t>
  </si>
  <si>
    <t>NORMAL</t>
  </si>
  <si>
    <r>
      <t>Tên tiếng việt</t>
    </r>
    <r>
      <rPr>
        <b/>
        <sz val="14"/>
        <color rgb="FFFF0000"/>
        <rFont val="Times New Roman"/>
        <family val="1"/>
      </rPr>
      <t>*</t>
    </r>
  </si>
  <si>
    <r>
      <t>Tên viết tắt</t>
    </r>
    <r>
      <rPr>
        <b/>
        <sz val="14"/>
        <color rgb="FFFF0000"/>
        <rFont val="Times New Roman"/>
        <family val="1"/>
      </rPr>
      <t>*</t>
    </r>
  </si>
  <si>
    <r>
      <t>Tên tiếng anh</t>
    </r>
    <r>
      <rPr>
        <b/>
        <sz val="14"/>
        <color rgb="FFFF0000"/>
        <rFont val="Times New Roman"/>
        <family val="1"/>
      </rPr>
      <t>*</t>
    </r>
  </si>
  <si>
    <r>
      <t>Tên tiếng anh viết tắt</t>
    </r>
    <r>
      <rPr>
        <b/>
        <sz val="14"/>
        <color rgb="FFFF0000"/>
        <rFont val="Times New Roman"/>
        <family val="1"/>
      </rPr>
      <t>*</t>
    </r>
  </si>
  <si>
    <r>
      <t>Ngày sinh</t>
    </r>
    <r>
      <rPr>
        <b/>
        <sz val="14"/>
        <color rgb="FFFF0000"/>
        <rFont val="Times New Roman"/>
        <family val="1"/>
      </rPr>
      <t>*</t>
    </r>
  </si>
  <si>
    <r>
      <t>Giới tính</t>
    </r>
    <r>
      <rPr>
        <b/>
        <sz val="14"/>
        <color rgb="FFFF0000"/>
        <rFont val="Times New Roman"/>
        <family val="1"/>
      </rPr>
      <t>*</t>
    </r>
  </si>
  <si>
    <r>
      <t>Điện thoại di động</t>
    </r>
    <r>
      <rPr>
        <b/>
        <sz val="14"/>
        <color rgb="FFFF0000"/>
        <rFont val="Times New Roman"/>
        <family val="1"/>
      </rPr>
      <t>*</t>
    </r>
  </si>
  <si>
    <r>
      <t>Quốc tịch</t>
    </r>
    <r>
      <rPr>
        <b/>
        <sz val="14"/>
        <color rgb="FFFF0000"/>
        <rFont val="Times New Roman"/>
        <family val="1"/>
      </rPr>
      <t>*</t>
    </r>
  </si>
  <si>
    <r>
      <t xml:space="preserve">Tình trạng cư trú </t>
    </r>
    <r>
      <rPr>
        <b/>
        <sz val="14"/>
        <color rgb="FFFF0000"/>
        <rFont val="Times New Roman"/>
        <family val="1"/>
      </rPr>
      <t>*</t>
    </r>
  </si>
  <si>
    <r>
      <t>Loại thuế</t>
    </r>
    <r>
      <rPr>
        <b/>
        <sz val="14"/>
        <color rgb="FFFF0000"/>
        <rFont val="Times New Roman"/>
        <family val="1"/>
      </rPr>
      <t>*</t>
    </r>
  </si>
  <si>
    <r>
      <t>Chi tiết loại KH</t>
    </r>
    <r>
      <rPr>
        <b/>
        <sz val="14"/>
        <color rgb="FFFF0000"/>
        <rFont val="Times New Roman"/>
        <family val="1"/>
      </rPr>
      <t>*</t>
    </r>
  </si>
  <si>
    <r>
      <t>Nghề nghiệp</t>
    </r>
    <r>
      <rPr>
        <b/>
        <sz val="14"/>
        <color rgb="FFFF0000"/>
        <rFont val="Times New Roman"/>
        <family val="1"/>
      </rPr>
      <t>*</t>
    </r>
  </si>
  <si>
    <r>
      <t>Loại ID</t>
    </r>
    <r>
      <rPr>
        <b/>
        <sz val="14"/>
        <color rgb="FFFF0000"/>
        <rFont val="Times New Roman"/>
        <family val="1"/>
      </rPr>
      <t>*</t>
    </r>
  </si>
  <si>
    <r>
      <t>Số ID</t>
    </r>
    <r>
      <rPr>
        <b/>
        <sz val="14"/>
        <color rgb="FFFF0000"/>
        <rFont val="Times New Roman"/>
        <family val="1"/>
      </rPr>
      <t>*</t>
    </r>
  </si>
  <si>
    <r>
      <t>Ngày cấp</t>
    </r>
    <r>
      <rPr>
        <b/>
        <sz val="14"/>
        <color rgb="FFFF0000"/>
        <rFont val="Times New Roman"/>
        <family val="1"/>
      </rPr>
      <t>*</t>
    </r>
  </si>
  <si>
    <r>
      <t>Ngày hết hạn</t>
    </r>
    <r>
      <rPr>
        <b/>
        <sz val="14"/>
        <color rgb="FFFF0000"/>
        <rFont val="Times New Roman"/>
        <family val="1"/>
      </rPr>
      <t>*</t>
    </r>
  </si>
  <si>
    <r>
      <t>Nơi cấp</t>
    </r>
    <r>
      <rPr>
        <b/>
        <sz val="14"/>
        <color rgb="FFFF0000"/>
        <rFont val="Times New Roman"/>
        <family val="1"/>
      </rPr>
      <t>*</t>
    </r>
  </si>
  <si>
    <r>
      <t>Loại địa chỉ</t>
    </r>
    <r>
      <rPr>
        <b/>
        <sz val="14"/>
        <color rgb="FFFF0000"/>
        <rFont val="Times New Roman"/>
        <family val="1"/>
      </rPr>
      <t>*</t>
    </r>
  </si>
  <si>
    <r>
      <t>Quốc gia</t>
    </r>
    <r>
      <rPr>
        <b/>
        <sz val="14"/>
        <color rgb="FFFF0000"/>
        <rFont val="Times New Roman"/>
        <family val="1"/>
      </rPr>
      <t>*</t>
    </r>
  </si>
  <si>
    <r>
      <t>Tỉnh/TP</t>
    </r>
    <r>
      <rPr>
        <b/>
        <sz val="14"/>
        <color rgb="FFFF0000"/>
        <rFont val="Times New Roman"/>
        <family val="1"/>
      </rPr>
      <t>*</t>
    </r>
  </si>
  <si>
    <r>
      <t>Phường/xã</t>
    </r>
    <r>
      <rPr>
        <b/>
        <sz val="14"/>
        <color rgb="FFFF0000"/>
        <rFont val="Times New Roman"/>
        <family val="1"/>
      </rPr>
      <t>*</t>
    </r>
  </si>
  <si>
    <r>
      <t>Địa chỉ 1</t>
    </r>
    <r>
      <rPr>
        <b/>
        <sz val="14"/>
        <color rgb="FFFF0000"/>
        <rFont val="Times New Roman"/>
        <family val="1"/>
      </rPr>
      <t>*</t>
    </r>
  </si>
  <si>
    <r>
      <t>Loại thẻ</t>
    </r>
    <r>
      <rPr>
        <b/>
        <sz val="14"/>
        <color rgb="FFC00000"/>
        <rFont val="Times New Roman"/>
        <family val="1"/>
      </rPr>
      <t>*</t>
    </r>
  </si>
  <si>
    <r>
      <t>Hình thức phát hành</t>
    </r>
    <r>
      <rPr>
        <b/>
        <sz val="14"/>
        <color rgb="FFC00000"/>
        <rFont val="Times New Roman"/>
        <family val="1"/>
      </rPr>
      <t>*</t>
    </r>
    <r>
      <rPr>
        <b/>
        <sz val="14"/>
        <color theme="1"/>
        <rFont val="Times New Roman"/>
        <family val="1"/>
      </rPr>
      <t xml:space="preserve"> </t>
    </r>
  </si>
  <si>
    <r>
      <t>Đối tượng miễn phí</t>
    </r>
    <r>
      <rPr>
        <b/>
        <sz val="14"/>
        <color rgb="FFC00000"/>
        <rFont val="Times New Roman"/>
        <family val="1"/>
      </rPr>
      <t>*</t>
    </r>
  </si>
  <si>
    <t>SITE</t>
  </si>
  <si>
    <t>POST</t>
  </si>
  <si>
    <t>Nhận tại ngân hàng</t>
  </si>
  <si>
    <t>Nhận tại bưu điện</t>
  </si>
  <si>
    <t>FAST</t>
  </si>
  <si>
    <t>Thường</t>
  </si>
  <si>
    <t>Nhanh</t>
  </si>
  <si>
    <t>Hình thức nhận</t>
  </si>
  <si>
    <t>Hình thức phát hành</t>
  </si>
  <si>
    <t>Bảo hiểm ABIC</t>
  </si>
  <si>
    <t xml:space="preserve">Có </t>
  </si>
  <si>
    <t>Không</t>
  </si>
  <si>
    <r>
      <t>Bảo hiểm ABIC</t>
    </r>
    <r>
      <rPr>
        <b/>
        <sz val="14"/>
        <color rgb="FFFF0000"/>
        <rFont val="Times New Roman"/>
        <family val="1"/>
      </rPr>
      <t>*</t>
    </r>
  </si>
  <si>
    <t>Số nhà 12, Ngõ 64</t>
  </si>
  <si>
    <t>1010061</t>
  </si>
  <si>
    <t>1010069</t>
  </si>
  <si>
    <t>2010050</t>
  </si>
  <si>
    <t>2010051</t>
  </si>
  <si>
    <t>2010052</t>
  </si>
  <si>
    <t>2010053</t>
  </si>
  <si>
    <t>2010054</t>
  </si>
  <si>
    <t>2010055</t>
  </si>
  <si>
    <t>2010056</t>
  </si>
  <si>
    <t>2010057</t>
  </si>
  <si>
    <t>2010058</t>
  </si>
  <si>
    <t>2010059</t>
  </si>
  <si>
    <t>2010060</t>
  </si>
  <si>
    <t>4010041</t>
  </si>
  <si>
    <t>5210036</t>
  </si>
  <si>
    <t>5210037</t>
  </si>
  <si>
    <t>5210038</t>
  </si>
  <si>
    <t>5210039</t>
  </si>
  <si>
    <t>5210040</t>
  </si>
  <si>
    <t>5210041</t>
  </si>
  <si>
    <t>5210042</t>
  </si>
  <si>
    <t>5210043</t>
  </si>
  <si>
    <t>5210044</t>
  </si>
  <si>
    <t>Phường Ba Đình</t>
  </si>
  <si>
    <t>Phường Bạch Mai</t>
  </si>
  <si>
    <t>Phường Bồ Đề</t>
  </si>
  <si>
    <t>Phường Cầu Giấy</t>
  </si>
  <si>
    <t>Phường Chương Mỹ</t>
  </si>
  <si>
    <t>Phường Cửa Nam</t>
  </si>
  <si>
    <t>Phường Đại Mỗ</t>
  </si>
  <si>
    <t>Phường Định Công</t>
  </si>
  <si>
    <t>Phường Đống Đa</t>
  </si>
  <si>
    <t>Phường Đông Ngạc</t>
  </si>
  <si>
    <t>Phường Dương Nội</t>
  </si>
  <si>
    <t>Phường Giảng Võ</t>
  </si>
  <si>
    <t>Phường Hà Đông</t>
  </si>
  <si>
    <t>Phường Hai Bà Trưng</t>
  </si>
  <si>
    <t>Phường Hoàn Kiếm</t>
  </si>
  <si>
    <t>Phường Hoàng Liệt</t>
  </si>
  <si>
    <t>Phường Hoàng Mai</t>
  </si>
  <si>
    <t>Phường Hồng Hà</t>
  </si>
  <si>
    <t>Phường Khương Đình</t>
  </si>
  <si>
    <t>Phường Kiến Hưng</t>
  </si>
  <si>
    <t>Phường Kim Liên</t>
  </si>
  <si>
    <t>Phường Láng</t>
  </si>
  <si>
    <t>Phường Lĩnh Nam</t>
  </si>
  <si>
    <t>Phường Long Biên</t>
  </si>
  <si>
    <t>Phường Nghĩa Đô</t>
  </si>
  <si>
    <t>Phường Ngọc Hà</t>
  </si>
  <si>
    <t>Phường Ô Chợ Dừa</t>
  </si>
  <si>
    <t>Phường Phú Diễn</t>
  </si>
  <si>
    <t>Phường Phú Lương</t>
  </si>
  <si>
    <t>Phường Phú Thượng</t>
  </si>
  <si>
    <t>Phường Phúc Lợi</t>
  </si>
  <si>
    <t>Phường Phương Liệt</t>
  </si>
  <si>
    <t>Phường Sơn Tây</t>
  </si>
  <si>
    <t>Phường Tây Hồ</t>
  </si>
  <si>
    <t>Phường Tây Mỗ</t>
  </si>
  <si>
    <t>Phường Tây Tựu</t>
  </si>
  <si>
    <t>Phường Thanh Liệt</t>
  </si>
  <si>
    <t>Phường Thanh Xuân</t>
  </si>
  <si>
    <t>Phường Thượng Cát</t>
  </si>
  <si>
    <t>Phường Từ Liêm</t>
  </si>
  <si>
    <t>Phường Tùng Thiện</t>
  </si>
  <si>
    <t>Phường Tương Mai</t>
  </si>
  <si>
    <t>Phường Văn Miếu - Quốc Tử Giám</t>
  </si>
  <si>
    <t>Phường Việt Hưng</t>
  </si>
  <si>
    <t>Phường Vĩnh Hưng</t>
  </si>
  <si>
    <t>Phường Vĩnh Tuy</t>
  </si>
  <si>
    <t>Phường Xuân Đỉnh</t>
  </si>
  <si>
    <t>Phường Xuân Phương</t>
  </si>
  <si>
    <t>Phường Yên Hòa</t>
  </si>
  <si>
    <t>Phường Yên Nghĩa</t>
  </si>
  <si>
    <t>Phường Yên Sở</t>
  </si>
  <si>
    <t>Xã Chương Dương</t>
  </si>
  <si>
    <t>Xã Cổ Đô</t>
  </si>
  <si>
    <t>Xã Đại Thanh</t>
  </si>
  <si>
    <t>Xã Đan Phượng</t>
  </si>
  <si>
    <t>Xã Đoài Phương</t>
  </si>
  <si>
    <t>Xã Đông Anh</t>
  </si>
  <si>
    <t>Xã Dương Hòa</t>
  </si>
  <si>
    <t>Xã Hạ Bằng</t>
  </si>
  <si>
    <t>Xã Hát Môn</t>
  </si>
  <si>
    <t>Xã Hồng Sơn</t>
  </si>
  <si>
    <t>Xã Hưng Đạo</t>
  </si>
  <si>
    <t>Xã Hương Sơn</t>
  </si>
  <si>
    <t>Xã Phúc Sơn</t>
  </si>
  <si>
    <t>Xã Phượng Dực</t>
  </si>
  <si>
    <t>Xã Quảng Bị</t>
  </si>
  <si>
    <t>Xã Quảng Oai</t>
  </si>
  <si>
    <t>Xã Sóc Sơn</t>
  </si>
  <si>
    <t>Xã Sơn Đồng</t>
  </si>
  <si>
    <t>Xã Tam Hưng</t>
  </si>
  <si>
    <t>Xã Tây Phương</t>
  </si>
  <si>
    <t>Xã Thư Lâm</t>
  </si>
  <si>
    <t>Xã Thượng Phúc</t>
  </si>
  <si>
    <t>Xã Thường Tín</t>
  </si>
  <si>
    <t>Phường An Tường</t>
  </si>
  <si>
    <t>Phường Bình Thuận</t>
  </si>
  <si>
    <t>Phường Hà Giang 1</t>
  </si>
  <si>
    <t>Phường Hà Giang 2</t>
  </si>
  <si>
    <t>Phường Minh Xuân</t>
  </si>
  <si>
    <t>Phường Mỹ Lâm</t>
  </si>
  <si>
    <t>Phường Nông Tiến</t>
  </si>
  <si>
    <t>Xã Bắc Mê</t>
  </si>
  <si>
    <t>Xã Bắc Quang</t>
  </si>
  <si>
    <t>Xã Bạch Đích</t>
  </si>
  <si>
    <t>Xã Bạch Ngọc</t>
  </si>
  <si>
    <t>Xã Bạch Xa</t>
  </si>
  <si>
    <t>Xã Bản Máy</t>
  </si>
  <si>
    <t>Xã Bằng Hành</t>
  </si>
  <si>
    <t>Xã Bằng Lang</t>
  </si>
  <si>
    <t>Xã Bình An</t>
  </si>
  <si>
    <t>Xã Bình Ca</t>
  </si>
  <si>
    <t>Xã Bình Xa</t>
  </si>
  <si>
    <t>Xã Cán Tỷ</t>
  </si>
  <si>
    <t>Xã Cao Bồ</t>
  </si>
  <si>
    <t>Xã Chiêm Hóa</t>
  </si>
  <si>
    <t>Xã Côn Lôn</t>
  </si>
  <si>
    <t>Xã Đồng Tâm</t>
  </si>
  <si>
    <t>Xã Đông Thọ</t>
  </si>
  <si>
    <t>Xã Đồng Văn</t>
  </si>
  <si>
    <t>Xã Đồng Yên</t>
  </si>
  <si>
    <t>Xã Du Già</t>
  </si>
  <si>
    <t>Xã Đường Hồng</t>
  </si>
  <si>
    <t>Xã Đường Thượng</t>
  </si>
  <si>
    <t>Xã Giáp Trung</t>
  </si>
  <si>
    <t>Xã Hàm Yên</t>
  </si>
  <si>
    <t>Xã Hồ Thầu</t>
  </si>
  <si>
    <t>Xã Hòa An</t>
  </si>
  <si>
    <t>Xã Hoàng Su Phì</t>
  </si>
  <si>
    <t>Xã Hồng Thái</t>
  </si>
  <si>
    <t>Xã Hùng An</t>
  </si>
  <si>
    <t>Xã Hùng Đức</t>
  </si>
  <si>
    <t>Xã Hùng Lợi</t>
  </si>
  <si>
    <t>Xã Khâu Vai</t>
  </si>
  <si>
    <t>Xã Khuôn Lùng</t>
  </si>
  <si>
    <t>Xã Kiên Đài</t>
  </si>
  <si>
    <t>Xã Kiến Thiết</t>
  </si>
  <si>
    <t>Xã Kim Bình</t>
  </si>
  <si>
    <t>Xã Lâm Bình</t>
  </si>
  <si>
    <t>Xã Lao Chải</t>
  </si>
  <si>
    <t>Xã Liên Hiệp</t>
  </si>
  <si>
    <t>Xã Linh Hồ</t>
  </si>
  <si>
    <t>Xã Lực Hành</t>
  </si>
  <si>
    <t>Xã Lũng Cú</t>
  </si>
  <si>
    <t>Xã Lũng Phìn</t>
  </si>
  <si>
    <t>Xã Lùng Tám</t>
  </si>
  <si>
    <t>Xã Mậu Duệ</t>
  </si>
  <si>
    <t>Xã Mèo Vạc</t>
  </si>
  <si>
    <t>Xã Minh Ngọc</t>
  </si>
  <si>
    <t>Xã Minh Quang</t>
  </si>
  <si>
    <t>Xã Minh Sơn</t>
  </si>
  <si>
    <t>Xã Minh Tân</t>
  </si>
  <si>
    <t>Xã Minh Thanh</t>
  </si>
  <si>
    <t>Xã Nà Hang</t>
  </si>
  <si>
    <t>Xã Nấm Dẩn</t>
  </si>
  <si>
    <t>Xã Nậm Dịch</t>
  </si>
  <si>
    <t>Xã Nghĩa Thuận</t>
  </si>
  <si>
    <t>Xã Ngọc Đường</t>
  </si>
  <si>
    <t>Xã Ngọc Long</t>
  </si>
  <si>
    <t>Xã Nhữ Khê</t>
  </si>
  <si>
    <t>Xã Niêm Sơn</t>
  </si>
  <si>
    <t>Xã Pà Vầy Sủ</t>
  </si>
  <si>
    <t>Xã Phố Bảng</t>
  </si>
  <si>
    <t>Xã Phú Linh</t>
  </si>
  <si>
    <t>Xã Phú Lương</t>
  </si>
  <si>
    <t>Xã Phù Lưu</t>
  </si>
  <si>
    <t>Xã Pờ Ly Ngài</t>
  </si>
  <si>
    <t>Xã Quản Bạ</t>
  </si>
  <si>
    <t>Xã Quang Bình</t>
  </si>
  <si>
    <t>Xã Quảng Nguyên</t>
  </si>
  <si>
    <t>Xã Sà Phìn</t>
  </si>
  <si>
    <t>Xã Sơn Dương</t>
  </si>
  <si>
    <t>Xã Sơn Thủy</t>
  </si>
  <si>
    <t>Xã Sơn Vĩ</t>
  </si>
  <si>
    <t>Xã Sủng Máng</t>
  </si>
  <si>
    <t>Xã Tân An</t>
  </si>
  <si>
    <t>Xã Tân Long</t>
  </si>
  <si>
    <t>Xã Tân Mỹ</t>
  </si>
  <si>
    <t>Xã Tân Quang</t>
  </si>
  <si>
    <t>Xã Tân Thanh</t>
  </si>
  <si>
    <t>Xã Tân Tiến</t>
  </si>
  <si>
    <t>Xã Tân Trào</t>
  </si>
  <si>
    <t>Xã Tân Trịnh</t>
  </si>
  <si>
    <t>Xã Tát Ngà</t>
  </si>
  <si>
    <t>Xã Thái Bình</t>
  </si>
  <si>
    <t>Xã Thái Sơn</t>
  </si>
  <si>
    <t>Xã Thắng Mố</t>
  </si>
  <si>
    <t>Xã Thàng Tín</t>
  </si>
  <si>
    <t>Xã Thông Nguyên</t>
  </si>
  <si>
    <t>Xã Thuận Hòa</t>
  </si>
  <si>
    <t>Xã Thượng Lâm</t>
  </si>
  <si>
    <t>Xã Thượng Nông</t>
  </si>
  <si>
    <t>Xã Thượng Sơn</t>
  </si>
  <si>
    <t>Xã Tiên Nguyên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</si>
  <si>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</si>
  <si>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</si>
  <si>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</si>
  <si>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</si>
  <si>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</si>
  <si>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</si>
  <si>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Tùng Bá</t>
  </si>
  <si>
    <t>Xã Tùng Vài</t>
  </si>
  <si>
    <t>Xã Vị Xuyên</t>
  </si>
  <si>
    <t>Xã Việt Lâm</t>
  </si>
  <si>
    <t>Xã Vĩnh Tuy</t>
  </si>
  <si>
    <t>Xã Xín Mần</t>
  </si>
  <si>
    <t>Xã Xuân Giang</t>
  </si>
  <si>
    <t>Xã Xuân Vân</t>
  </si>
  <si>
    <t>Xã Yên Cường</t>
  </si>
  <si>
    <t>Xã Yên Hoa</t>
  </si>
  <si>
    <t>Xã Yên Lập</t>
  </si>
  <si>
    <t>Xã Yên Minh</t>
  </si>
  <si>
    <t>Xã Yên Nguyên</t>
  </si>
  <si>
    <t>Xã Yên Sơn</t>
  </si>
  <si>
    <t>Xã Yên Thành</t>
  </si>
  <si>
    <t>Phường Nùng Trí Cao</t>
  </si>
  <si>
    <t>Phường Tân Giang</t>
  </si>
  <si>
    <t>Phường Thục Phán</t>
  </si>
  <si>
    <t>Xã Bạch Đằng</t>
  </si>
  <si>
    <t>Xã Bảo Lạc</t>
  </si>
  <si>
    <t>Xã Bảo Lâm</t>
  </si>
  <si>
    <t>Xã Bế Văn Đàn</t>
  </si>
  <si>
    <t>Xã Ca Thành</t>
  </si>
  <si>
    <t>Xã Cần Yên</t>
  </si>
  <si>
    <t>Xã Canh Tân</t>
  </si>
  <si>
    <t>Xã Cô Ba</t>
  </si>
  <si>
    <t>Xã Cốc Pàng</t>
  </si>
  <si>
    <t>Xã Đàm Thủy</t>
  </si>
  <si>
    <t>Xã Đình Phong</t>
  </si>
  <si>
    <t>Xã Đoài Dương</t>
  </si>
  <si>
    <t>Xã Độc Lập</t>
  </si>
  <si>
    <t>Xã Đông Khê</t>
  </si>
  <si>
    <t>Xã Đức Long</t>
  </si>
  <si>
    <t>Xã Hạ Lang</t>
  </si>
  <si>
    <t>Xã Hà Quảng</t>
  </si>
  <si>
    <t>Xã Hạnh Phúc</t>
  </si>
  <si>
    <t>Xã Huy Giáp</t>
  </si>
  <si>
    <t>Xã Khánh Xuân</t>
  </si>
  <si>
    <t>Xã Kim Đồng</t>
  </si>
  <si>
    <t>Xã Lũng Nặm</t>
  </si>
  <si>
    <t>Xã Lý Bôn</t>
  </si>
  <si>
    <t>Xã Lý Quốc</t>
  </si>
  <si>
    <t>Xã Minh Khai</t>
  </si>
  <si>
    <t>Xã Minh Tâm</t>
  </si>
  <si>
    <t>Xã Nam Quang</t>
  </si>
  <si>
    <t>Xã Nam Tuấn</t>
  </si>
  <si>
    <t>Xã Nguyên Bình</t>
  </si>
  <si>
    <t>Xã Nguyễn Huệ</t>
  </si>
  <si>
    <t>Xã Phan Thanh</t>
  </si>
  <si>
    <t>Xã Phục Hòa</t>
  </si>
  <si>
    <t>Xã Quang Hán</t>
  </si>
  <si>
    <t>Xã Quảng Lâm</t>
  </si>
  <si>
    <t>Xã Quang Long</t>
  </si>
  <si>
    <t>Xã Quang Trung</t>
  </si>
  <si>
    <t>Xã Quảng Uyên</t>
  </si>
  <si>
    <t>Xã Sơn Lộ</t>
  </si>
  <si>
    <t>Xã Tam Kim</t>
  </si>
  <si>
    <t>Xã Thạch An</t>
  </si>
  <si>
    <t>Xã Thành Công</t>
  </si>
  <si>
    <t>Xã Thanh Long</t>
  </si>
  <si>
    <t>Xã Thông Nông</t>
  </si>
  <si>
    <t>Xã Tĩnh Túc</t>
  </si>
  <si>
    <t>Xã Tổng Cọt</t>
  </si>
  <si>
    <t>Xã Trà Lĩnh</t>
  </si>
  <si>
    <t>Xã Trùng Khánh</t>
  </si>
  <si>
    <t>Xã Trường Hà</t>
  </si>
  <si>
    <t>Xã Vinh Quý</t>
  </si>
  <si>
    <t>Xã Xuân Trường</t>
  </si>
  <si>
    <t>Xã Yên Thổ</t>
  </si>
  <si>
    <t>Phường Đông Kinh</t>
  </si>
  <si>
    <t>Phường Kỳ Lừa</t>
  </si>
  <si>
    <t>Phường Lương Văn Tri</t>
  </si>
  <si>
    <t>Phường Tam Thanh</t>
  </si>
  <si>
    <t>Xã Ba Sơn</t>
  </si>
  <si>
    <t>Xã Bắc Sơn</t>
  </si>
  <si>
    <t>Xã Bằng Mạc</t>
  </si>
  <si>
    <t>Xã Bình Gia</t>
  </si>
  <si>
    <t>Xã Cai Kinh</t>
  </si>
  <si>
    <t>Xã Cao Lộc</t>
  </si>
  <si>
    <t>Xã Châu Sơn</t>
  </si>
  <si>
    <t>Xã Chi Lăng</t>
  </si>
  <si>
    <t>Xã Chiến Thắng</t>
  </si>
  <si>
    <t>Xã Công Sơn</t>
  </si>
  <si>
    <t>Xã Điềm He</t>
  </si>
  <si>
    <t>Xã Đình Lập</t>
  </si>
  <si>
    <t>Xã Đoàn Kết</t>
  </si>
  <si>
    <t>Xã Đồng Đăng</t>
  </si>
  <si>
    <t>Xã Hoa Thám</t>
  </si>
  <si>
    <t>Xã Hoàng Văn Thụ</t>
  </si>
  <si>
    <t>Xã Hội Hoan</t>
  </si>
  <si>
    <t>Xã Hồng Phong</t>
  </si>
  <si>
    <t>Xã Hưng Vũ</t>
  </si>
  <si>
    <t>Xã Hữu Liên</t>
  </si>
  <si>
    <t>Xã Hữu Lũng</t>
  </si>
  <si>
    <t>Xã Kháng Chiến</t>
  </si>
  <si>
    <t>Xã Khánh Khê</t>
  </si>
  <si>
    <t>Xã Khuất Xá</t>
  </si>
  <si>
    <t>Xã Kiên Mộc</t>
  </si>
  <si>
    <t>Xã Lộc Bình</t>
  </si>
  <si>
    <t>Xã Lợi Bác</t>
  </si>
  <si>
    <t>Xã Mẫu Sơn</t>
  </si>
  <si>
    <t>Xã Na Dương</t>
  </si>
  <si>
    <t>Xã Na Sầm</t>
  </si>
  <si>
    <t>Xã Nhân Lý</t>
  </si>
  <si>
    <t>Xã Nhất Hòa</t>
  </si>
  <si>
    <t>Xã Quan Sơn</t>
  </si>
  <si>
    <t>Xã Quốc Khánh</t>
  </si>
  <si>
    <t>Xã Quốc Việt</t>
  </si>
  <si>
    <t>Xã Quý Hòa</t>
  </si>
  <si>
    <t>Xã Tân Đoàn</t>
  </si>
  <si>
    <t>Xã Tân Thành</t>
  </si>
  <si>
    <t>Xã Tân Tri</t>
  </si>
  <si>
    <t>Xã Tân Văn</t>
  </si>
  <si>
    <t>Xã Thất Khê</t>
  </si>
  <si>
    <t>Xã Thiện Hòa</t>
  </si>
  <si>
    <t>Xã Thiện Long</t>
  </si>
  <si>
    <t>Xã Thiện Tân</t>
  </si>
  <si>
    <t>Xã Thiện Thuật</t>
  </si>
  <si>
    <t>Xã Thống Nhất</t>
  </si>
  <si>
    <t>Xã Thụy Hùng</t>
  </si>
  <si>
    <t>Xã Tràng Định</t>
  </si>
  <si>
    <t>Xã Tri Lễ</t>
  </si>
  <si>
    <t>Xã Tuấn Sơn</t>
  </si>
  <si>
    <t>Xã Văn Lãng</t>
  </si>
  <si>
    <t>Xã Vạn Linh</t>
  </si>
  <si>
    <t>Xã Vân Nham</t>
  </si>
  <si>
    <t>Xã Văn Quan</t>
  </si>
  <si>
    <t>Xã Vũ Lăng</t>
  </si>
  <si>
    <t>Xã Vũ Lễ</t>
  </si>
  <si>
    <t>Xã Xuân Dương</t>
  </si>
  <si>
    <t>Xã Yên Bình</t>
  </si>
  <si>
    <t>Xã Yên Phúc</t>
  </si>
  <si>
    <t>Phường Bá Xuyên</t>
  </si>
  <si>
    <t>Phường Bắc Kạn</t>
  </si>
  <si>
    <t>Phường Bách Quang</t>
  </si>
  <si>
    <t>Phường Đức Xuân</t>
  </si>
  <si>
    <t>Phường Gia Sàng</t>
  </si>
  <si>
    <t>Phường Linh Sơn</t>
  </si>
  <si>
    <t>Phường Phan Đình Phùng</t>
  </si>
  <si>
    <t>Phường Phổ Yên</t>
  </si>
  <si>
    <t>Phường Phúc Thuận</t>
  </si>
  <si>
    <t>Phường Quan Triều</t>
  </si>
  <si>
    <t>Phường Quyết Thắng</t>
  </si>
  <si>
    <t>Phường Sông Công</t>
  </si>
  <si>
    <t>Phường Tích Lương</t>
  </si>
  <si>
    <t>Phường Trung Thành</t>
  </si>
  <si>
    <t>Phường Vạn Xuân</t>
  </si>
  <si>
    <t>Xã Ba Bể</t>
  </si>
  <si>
    <t>Xã Bạch Thông</t>
  </si>
  <si>
    <t>Xã Bằng Thành</t>
  </si>
  <si>
    <t>Xã Bằng Vân</t>
  </si>
  <si>
    <t>Xã Bình Thành</t>
  </si>
  <si>
    <t>Xã Bình Yên</t>
  </si>
  <si>
    <t>Xã Cẩm Giàng</t>
  </si>
  <si>
    <t>Xã Cao Minh</t>
  </si>
  <si>
    <t>Xã Chợ Đồn</t>
  </si>
  <si>
    <t>Xã Chợ Mới</t>
  </si>
  <si>
    <t>Xã Chợ Rã</t>
  </si>
  <si>
    <t>Xã Côn Minh</t>
  </si>
  <si>
    <t>Xã Cường Lợi</t>
  </si>
  <si>
    <t>Xã Đại Phúc</t>
  </si>
  <si>
    <t>Xã Đại Từ</t>
  </si>
  <si>
    <t>Xã Dân Tiến</t>
  </si>
  <si>
    <t>Xã Điềm Thụy</t>
  </si>
  <si>
    <t>Xã Định Hóa</t>
  </si>
  <si>
    <t>Xã Đồng Hỷ</t>
  </si>
  <si>
    <t>Xã Đồng Phúc</t>
  </si>
  <si>
    <t>Xã Đức Lương</t>
  </si>
  <si>
    <t>Xã Hiệp Lực</t>
  </si>
  <si>
    <t>Xã Kha Sơn</t>
  </si>
  <si>
    <t>Xã Kim Phượng</t>
  </si>
  <si>
    <t>Xã La Bằng</t>
  </si>
  <si>
    <t>Xã La Hiên</t>
  </si>
  <si>
    <t>Xã Lam Vỹ</t>
  </si>
  <si>
    <t>Xã Nà Phặc</t>
  </si>
  <si>
    <t>Xã Na Rì</t>
  </si>
  <si>
    <t>Xã Nam Cường</t>
  </si>
  <si>
    <t>Xã Nam Hòa</t>
  </si>
  <si>
    <t>Xã Ngân Sơn</t>
  </si>
  <si>
    <t>Xã Nghĩa Tá</t>
  </si>
  <si>
    <t>Xã Nghiên Loan</t>
  </si>
  <si>
    <t>Xã Nghinh Tường</t>
  </si>
  <si>
    <t>Xã Phong Quang</t>
  </si>
  <si>
    <t>Xã Phú Bình</t>
  </si>
  <si>
    <t>Xã Phú Đình</t>
  </si>
  <si>
    <t>Xã Phú Lạc</t>
  </si>
  <si>
    <t>Xã Phú Thịnh</t>
  </si>
  <si>
    <t>Xã Phủ Thông</t>
  </si>
  <si>
    <t>Xã Phượng Tiến</t>
  </si>
  <si>
    <t>Xã Quân Chu</t>
  </si>
  <si>
    <t>Xã Quảng Bạch</t>
  </si>
  <si>
    <t>Xã Quang Sơn</t>
  </si>
  <si>
    <t>Xã Sảng Mộc</t>
  </si>
  <si>
    <t>Xã Tân Cương</t>
  </si>
  <si>
    <t>Xã Tân Khánh</t>
  </si>
  <si>
    <t>Xã Tân Kỳ</t>
  </si>
  <si>
    <t>Xã Thần Sa</t>
  </si>
  <si>
    <t>Xã Thanh Mai</t>
  </si>
  <si>
    <t>Xã Thanh Thịnh</t>
  </si>
  <si>
    <t>Xã Thượng Minh</t>
  </si>
  <si>
    <t>Xã Thượng Quan</t>
  </si>
  <si>
    <t>Xã Trại Cau</t>
  </si>
  <si>
    <t>Xã Tràng Xá</t>
  </si>
  <si>
    <t>Xã Trung Hội</t>
  </si>
  <si>
    <t>Xã Văn Hán</t>
  </si>
  <si>
    <t>Xã Văn Lang</t>
  </si>
  <si>
    <t>Xã Văn Lăng</t>
  </si>
  <si>
    <t>Xã Vạn Phú</t>
  </si>
  <si>
    <t>Xã Vĩnh Thông</t>
  </si>
  <si>
    <t>Xã Võ Nhai</t>
  </si>
  <si>
    <t>Xã Vô Tranh</t>
  </si>
  <si>
    <t>Xã Yên Phong</t>
  </si>
  <si>
    <t>Xã Yên Thịnh</t>
  </si>
  <si>
    <t>Xã Yên Trạch</t>
  </si>
  <si>
    <t>Phường Âu Lâu</t>
  </si>
  <si>
    <t>Phường Cam Đường</t>
  </si>
  <si>
    <t>Phường Cầu Thia</t>
  </si>
  <si>
    <t>Phường Lào Cai</t>
  </si>
  <si>
    <t>Phường Nam Cường</t>
  </si>
  <si>
    <t>Phường Nghĩa Lộ</t>
  </si>
  <si>
    <t>Phường Sa Pa</t>
  </si>
  <si>
    <t>Phường Trung Tâm</t>
  </si>
  <si>
    <t>Phường Văn Phú</t>
  </si>
  <si>
    <t>Phường Yên Bái</t>
  </si>
  <si>
    <t>Xã A Mú Sung</t>
  </si>
  <si>
    <t>Xã Bắc Hà</t>
  </si>
  <si>
    <t>Xã Bản Hồ</t>
  </si>
  <si>
    <t>Xã Bản Lầu</t>
  </si>
  <si>
    <t>Xã Bản Liền</t>
  </si>
  <si>
    <t>Xã Bản Xèo</t>
  </si>
  <si>
    <t>Xã Bảo ái</t>
  </si>
  <si>
    <t>Xã Bảo Hà</t>
  </si>
  <si>
    <t>Xã Bảo Nhai</t>
  </si>
  <si>
    <t>Xã Bảo Thắng</t>
  </si>
  <si>
    <t>Xã Bảo Yên</t>
  </si>
  <si>
    <t>Xã Bát Xát</t>
  </si>
  <si>
    <t>Xã Cảm Nhân</t>
  </si>
  <si>
    <t>Xã Cao Sơn</t>
  </si>
  <si>
    <t>Xã Cát Thịnh</t>
  </si>
  <si>
    <t>Xã Chấn Thịnh</t>
  </si>
  <si>
    <t>Xã Châu Quế</t>
  </si>
  <si>
    <t>Xã Chế Tạo</t>
  </si>
  <si>
    <t>Xã Chiềng Ken</t>
  </si>
  <si>
    <t>Xã Cốc Lầu</t>
  </si>
  <si>
    <t>Xã Cốc San</t>
  </si>
  <si>
    <t>Xã Dền Sáng</t>
  </si>
  <si>
    <t>Xã Đông Cuông</t>
  </si>
  <si>
    <t>Xã Dương Quỳ</t>
  </si>
  <si>
    <t>Xã Gia Hội</t>
  </si>
  <si>
    <t>Xã Gia Phú</t>
  </si>
  <si>
    <t>Xã Hợp Thành</t>
  </si>
  <si>
    <t>Xã Hưng Khánh</t>
  </si>
  <si>
    <t>Xã Khánh Hòa</t>
  </si>
  <si>
    <t>Xã Khánh Yên</t>
  </si>
  <si>
    <t>Xã Khao Mang</t>
  </si>
  <si>
    <t>Xã Lâm Giang</t>
  </si>
  <si>
    <t>Xã Lâm Thượng</t>
  </si>
  <si>
    <t>Xã Liên Sơn</t>
  </si>
  <si>
    <t>Xã Lục Yên</t>
  </si>
  <si>
    <t>Xã Lùng Phình</t>
  </si>
  <si>
    <t>Xã Lương Thịnh</t>
  </si>
  <si>
    <t>Xã Mậu A</t>
  </si>
  <si>
    <t>Xã Minh Lương</t>
  </si>
  <si>
    <t>Xã Mỏ Vàng</t>
  </si>
  <si>
    <t>Xã Mù Cang Chải</t>
  </si>
  <si>
    <t>Xã Mường Bo</t>
  </si>
  <si>
    <t>Xã Mường Hum</t>
  </si>
  <si>
    <t>Xã Mường Khương</t>
  </si>
  <si>
    <t>Xã Mường Lai</t>
  </si>
  <si>
    <t>Xã Nậm Chày</t>
  </si>
  <si>
    <t>Xã Nậm Có</t>
  </si>
  <si>
    <t>Xã Nậm Xé</t>
  </si>
  <si>
    <t>Xã Nghĩa Đô</t>
  </si>
  <si>
    <t>Xã Nghĩa Tâm</t>
  </si>
  <si>
    <t>Xã Ngũ Chỉ Sơn</t>
  </si>
  <si>
    <t>Xã Pha Long</t>
  </si>
  <si>
    <t>Xã Phình Hồ</t>
  </si>
  <si>
    <t>Xã Phong Dụ Hạ</t>
  </si>
  <si>
    <t>Xã Phong Dụ Thượng</t>
  </si>
  <si>
    <t>Xã Phong Hải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</si>
  <si>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</si>
  <si>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</si>
  <si>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</si>
  <si>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</si>
  <si>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</si>
  <si>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</si>
  <si>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</si>
  <si>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Tả Củ Tỷ</t>
  </si>
  <si>
    <t>Xã Tả Phìn</t>
  </si>
  <si>
    <t>Xã Tả Van</t>
  </si>
  <si>
    <t>Xã Tà Xi Láng</t>
  </si>
  <si>
    <t>Xã Tân Hợp</t>
  </si>
  <si>
    <t>Xã Tân Lĩnh</t>
  </si>
  <si>
    <t>Xã Tằng Loỏng</t>
  </si>
  <si>
    <t>Xã Thác Bà</t>
  </si>
  <si>
    <t>Xã Thượng Bằng La</t>
  </si>
  <si>
    <t>Xã Thượng Hà</t>
  </si>
  <si>
    <t>Xã Trạm Tấu</t>
  </si>
  <si>
    <t>Xã Trấn Yên</t>
  </si>
  <si>
    <t>Xã Trịnh Tường</t>
  </si>
  <si>
    <t>Xã Tú Lệ</t>
  </si>
  <si>
    <t>Xã Văn Bàn</t>
  </si>
  <si>
    <t>Xã Văn Chấn</t>
  </si>
  <si>
    <t>Xã Việt Hồng</t>
  </si>
  <si>
    <t>Xã Võ Lao</t>
  </si>
  <si>
    <t>Xã Xuân ái</t>
  </si>
  <si>
    <t>Xã Xuân Hòa</t>
  </si>
  <si>
    <t>Xã Xuân Quang</t>
  </si>
  <si>
    <t>Xã Y Tý</t>
  </si>
  <si>
    <t>Phường Điện Biên Phủ</t>
  </si>
  <si>
    <t>Phường Mường Lay</t>
  </si>
  <si>
    <t>Phường Mường Thanh</t>
  </si>
  <si>
    <t>Xã Búng Lao</t>
  </si>
  <si>
    <t>Xã Chà Tở</t>
  </si>
  <si>
    <t>Xã Chiềng Sinh</t>
  </si>
  <si>
    <t>Xã Mường ảng</t>
  </si>
  <si>
    <t>Xã Mường Chà</t>
  </si>
  <si>
    <t>Xã Mường Lạn</t>
  </si>
  <si>
    <t>Xã Mường Luân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</si>
  <si>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</si>
  <si>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</si>
  <si>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</si>
  <si>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</si>
  <si>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</si>
  <si>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</si>
  <si>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</si>
  <si>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Nà Bủng</t>
  </si>
  <si>
    <t>Xã Nà Hỳ</t>
  </si>
  <si>
    <t>Xã Na Sang</t>
  </si>
  <si>
    <t>Xã Na Son</t>
  </si>
  <si>
    <t>Xã Nà Tấu</t>
  </si>
  <si>
    <t>Xã Nậm Kè</t>
  </si>
  <si>
    <t>Xã Nậm Nèn</t>
  </si>
  <si>
    <t>Xã Núa Ngam</t>
  </si>
  <si>
    <t>Xã Pa Ham</t>
  </si>
  <si>
    <t>Xã Phình Giàng</t>
  </si>
  <si>
    <t>Xã Pu Nhi</t>
  </si>
  <si>
    <t>Xã Pú Nhung</t>
  </si>
  <si>
    <t>Xã Quài Tở</t>
  </si>
  <si>
    <t>Xã Sam Mứn</t>
  </si>
  <si>
    <t>Xã Sáng Nhè</t>
  </si>
  <si>
    <t>Xã Si Pa Phìn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</si>
  <si>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</si>
  <si>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</si>
  <si>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</si>
  <si>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</si>
  <si>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</si>
  <si>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</si>
  <si>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Tìa Dình</t>
  </si>
  <si>
    <t>Xã Tủa Chùa</t>
  </si>
  <si>
    <t>Xã Tủa Thàng</t>
  </si>
  <si>
    <t>Xã Tuần Giáo</t>
  </si>
  <si>
    <t>Xã Xa Dung</t>
  </si>
  <si>
    <t>Phường Chiềng An</t>
  </si>
  <si>
    <t>Phường Chiềng Cơi</t>
  </si>
  <si>
    <t>Phường Chiềng Sinh</t>
  </si>
  <si>
    <t>Phường Mộc Châu</t>
  </si>
  <si>
    <t>Phường Mộc Sơn</t>
  </si>
  <si>
    <t>Phường Thảo Nguyên</t>
  </si>
  <si>
    <t>Phường Tô Hiệu</t>
  </si>
  <si>
    <t>Phường Vân Sơn</t>
  </si>
  <si>
    <t>Xã Bắc Yên</t>
  </si>
  <si>
    <t>Xã Bình Thuận</t>
  </si>
  <si>
    <t>Xã Bó Sinh</t>
  </si>
  <si>
    <t>Xã Chiềng Hặc</t>
  </si>
  <si>
    <t>Xã Chiềng Hoa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</si>
  <si>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</si>
  <si>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</si>
  <si>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</si>
  <si>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</si>
  <si>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</si>
  <si>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</si>
  <si>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Sại</t>
  </si>
  <si>
    <t>Xã Chiềng Sơ</t>
  </si>
  <si>
    <t>Xã Chiềng Sơn</t>
  </si>
  <si>
    <t>Xã Chiềng Sung</t>
  </si>
  <si>
    <t>Xã Co Mạ</t>
  </si>
  <si>
    <t>Xã Gia Phù</t>
  </si>
  <si>
    <t>Xã Huổi Một</t>
  </si>
  <si>
    <t>Xã Kim Bon</t>
  </si>
  <si>
    <t>Xã Long Hẹ</t>
  </si>
  <si>
    <t>Xã Lóng Phiêng</t>
  </si>
  <si>
    <t>Xã Lóng Sập</t>
  </si>
  <si>
    <t>Xã Mai Sơn</t>
  </si>
  <si>
    <t>Xã Muổi Nọi</t>
  </si>
  <si>
    <t>Xã Mường Bám</t>
  </si>
  <si>
    <t>Xã Mường Bang</t>
  </si>
  <si>
    <t>Xã Mường Bú</t>
  </si>
  <si>
    <t>Xã Mường Chanh</t>
  </si>
  <si>
    <t>Xã Mường Chiên</t>
  </si>
  <si>
    <t>Xã Mường Cơi</t>
  </si>
  <si>
    <t>Xã Mường é</t>
  </si>
  <si>
    <t>Xã Mường Giôn</t>
  </si>
  <si>
    <t>Xã Mường Hung</t>
  </si>
  <si>
    <t>Xã Mường Khiêng</t>
  </si>
  <si>
    <t>Xã Mường La</t>
  </si>
  <si>
    <t>Xã Mường Lầm</t>
  </si>
  <si>
    <t>Xã Mường Lèo</t>
  </si>
  <si>
    <t>Xã Mường Sại</t>
  </si>
  <si>
    <t>Xã Nậm Lầu</t>
  </si>
  <si>
    <t>Xã Nậm Ty</t>
  </si>
  <si>
    <t>Xã Ngọc Chiến</t>
  </si>
  <si>
    <t>Xã Pắc Ngà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</si>
  <si>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</si>
  <si>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</si>
  <si>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</si>
  <si>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</si>
  <si>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</si>
  <si>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</si>
  <si>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Song Khủa</t>
  </si>
  <si>
    <t>Xã Sông Mã</t>
  </si>
  <si>
    <t>Xã Sốp Cộp</t>
  </si>
  <si>
    <t>Xã Suối Tọ</t>
  </si>
  <si>
    <t>Xã Tà Hộc</t>
  </si>
  <si>
    <t>Xã Tạ Khoa</t>
  </si>
  <si>
    <t>Xã Tà Xùa</t>
  </si>
  <si>
    <t>Xã Tân Phong</t>
  </si>
  <si>
    <t>Xã Tân Yên</t>
  </si>
  <si>
    <t>Xã Thuận Châu</t>
  </si>
  <si>
    <t>Xã Tô Múa</t>
  </si>
  <si>
    <t>Xã Tường Hạ</t>
  </si>
  <si>
    <t>Xã Vân Hồ</t>
  </si>
  <si>
    <t>Xã Xím Vàng</t>
  </si>
  <si>
    <t>Xã Xuân Nha</t>
  </si>
  <si>
    <t>Xã Yên Châu</t>
  </si>
  <si>
    <t>Phường Đoàn Kết</t>
  </si>
  <si>
    <t>Phường Tân Phong</t>
  </si>
  <si>
    <t>Xã Bản Bo</t>
  </si>
  <si>
    <t>Xã Bình Lư</t>
  </si>
  <si>
    <t>Xã Bum Nưa</t>
  </si>
  <si>
    <t>Xã Bum Tở</t>
  </si>
  <si>
    <t>Xã Dào San</t>
  </si>
  <si>
    <t>Xã Hồng Thu</t>
  </si>
  <si>
    <t>Xã Hua Bum</t>
  </si>
  <si>
    <t>Xã Khoen On</t>
  </si>
  <si>
    <t>Xã Khổng Lào</t>
  </si>
  <si>
    <t>Xã Khun Há</t>
  </si>
  <si>
    <t>Xã Lê Lợi</t>
  </si>
  <si>
    <t>Xã Mù Cả</t>
  </si>
  <si>
    <t>Xã Mường Khoa</t>
  </si>
  <si>
    <t>Xã Mường Kim</t>
  </si>
  <si>
    <t>Xã Mường Mô</t>
  </si>
  <si>
    <t>Xã Mường Tè</t>
  </si>
  <si>
    <t>Xã Mường Than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</si>
  <si>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</si>
  <si>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</si>
  <si>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</si>
  <si>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</si>
  <si>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</si>
  <si>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</si>
  <si>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</si>
  <si>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Pắc Ta</t>
  </si>
  <si>
    <t>Xã Phong Thổ</t>
  </si>
  <si>
    <t>Xã Pu Sam Cáp</t>
  </si>
  <si>
    <t>Xã Sì Lở Lầu</t>
  </si>
  <si>
    <t>Xã Sìn Hồ</t>
  </si>
  <si>
    <t>Xã Sin Suối Hồ</t>
  </si>
  <si>
    <t>Xã Tả Lèng</t>
  </si>
  <si>
    <t>Xã Tà Tổng</t>
  </si>
  <si>
    <t>Xã Tân Uyên</t>
  </si>
  <si>
    <t>Xã Than Uyên</t>
  </si>
  <si>
    <t>Xã Thu Lũm</t>
  </si>
  <si>
    <t>Xã Tủa Sín Chải</t>
  </si>
  <si>
    <t>Đặc khu Cô Tô</t>
  </si>
  <si>
    <t>Đặc khu Vân Đồn</t>
  </si>
  <si>
    <t>Phường An Sinh</t>
  </si>
  <si>
    <t>Phường Bãi Cháy</t>
  </si>
  <si>
    <t>Phường Bình Khê</t>
  </si>
  <si>
    <t>Phường Cẩm Phả</t>
  </si>
  <si>
    <t>Phường Cao Xanh</t>
  </si>
  <si>
    <t>Phường Cửa Ông</t>
  </si>
  <si>
    <t>Phường Đông Mai</t>
  </si>
  <si>
    <t>Phường Đông Triều</t>
  </si>
  <si>
    <t>Phường Hà An</t>
  </si>
  <si>
    <t>Phường Hà Lầm</t>
  </si>
  <si>
    <t>Phường Hạ Long</t>
  </si>
  <si>
    <t>Phường Hà Tu</t>
  </si>
  <si>
    <t>Phường Hiệp Hòa</t>
  </si>
  <si>
    <t>Phường Hoàng Quế</t>
  </si>
  <si>
    <t>Phường Hoành Bồ</t>
  </si>
  <si>
    <t>Phường Hồng Gai</t>
  </si>
  <si>
    <t>Phường Liên Hòa</t>
  </si>
  <si>
    <t>Phường Mạo Khê</t>
  </si>
  <si>
    <t>Phường Móng Cái 1</t>
  </si>
  <si>
    <t>Phường Móng Cái 2</t>
  </si>
  <si>
    <t>Phường Móng Cái 3</t>
  </si>
  <si>
    <t>Phường Mông Dương</t>
  </si>
  <si>
    <t>Phường Phong Cốc</t>
  </si>
  <si>
    <t>Phường Quang Hanh</t>
  </si>
  <si>
    <t>Phường Quảng Yên</t>
  </si>
  <si>
    <t>Phường Tuần Châu</t>
  </si>
  <si>
    <t>Phường Uông Bí</t>
  </si>
  <si>
    <t>Phường Vàng Danh</t>
  </si>
  <si>
    <t>Phường Yên Tử</t>
  </si>
  <si>
    <t>Xã Ba Chẽ</t>
  </si>
  <si>
    <t>Xã Bình Liêu</t>
  </si>
  <si>
    <t>Xã Cái Chiên</t>
  </si>
  <si>
    <t>Xã Đầm Hà</t>
  </si>
  <si>
    <t>Xã Điền Xá</t>
  </si>
  <si>
    <t>Xã Đông Ngũ</t>
  </si>
  <si>
    <t>Xã Đường Hoa</t>
  </si>
  <si>
    <t>Xã Hải Hòa</t>
  </si>
  <si>
    <t>Xã Hải Lạng</t>
  </si>
  <si>
    <t>Xã Hải Ninh</t>
  </si>
  <si>
    <t>Xã Hải Sơn</t>
  </si>
  <si>
    <t>Xã Hoành Mô</t>
  </si>
  <si>
    <t>Xã Kỳ Thượng</t>
  </si>
  <si>
    <t>Xã Lục Hồn</t>
  </si>
  <si>
    <t>Xã Lương Minh</t>
  </si>
  <si>
    <t>Xã Quảng Đức</t>
  </si>
  <si>
    <t>Xã Quảng Hà</t>
  </si>
  <si>
    <t>Xã Quảng La</t>
  </si>
  <si>
    <t>Xã Quảng Tân</t>
  </si>
  <si>
    <t>Xã Vĩnh Thực</t>
  </si>
  <si>
    <t>Đặc khu Bạch Long Vĩ</t>
  </si>
  <si>
    <t>Đặc khu Cát Hải</t>
  </si>
  <si>
    <t>Phường ái Quốc</t>
  </si>
  <si>
    <t>Phường An Biên</t>
  </si>
  <si>
    <t>Phường An Dương</t>
  </si>
  <si>
    <t>Phường An Hải</t>
  </si>
  <si>
    <t>Phường An Phong</t>
  </si>
  <si>
    <t>Phường Bắc An Phụ</t>
  </si>
  <si>
    <t>Phường Bạch Đằng</t>
  </si>
  <si>
    <t>Phường Chí Linh</t>
  </si>
  <si>
    <t>Phường Chu Văn An</t>
  </si>
  <si>
    <t>Phường Đồ Sơn</t>
  </si>
  <si>
    <t>Phường Đông Hải</t>
  </si>
  <si>
    <t>Phường Dương Kinh</t>
  </si>
  <si>
    <t>Phường Gia Viên</t>
  </si>
  <si>
    <t>Phường Hải An</t>
  </si>
  <si>
    <t>Phường Hải Dương</t>
  </si>
  <si>
    <t>Phường Hòa Bình</t>
  </si>
  <si>
    <t>Phường Hồng An</t>
  </si>
  <si>
    <t>Phường Hồng Bàng</t>
  </si>
  <si>
    <t>Phường Hưng Đạo</t>
  </si>
  <si>
    <t>Phường Kiến An</t>
  </si>
  <si>
    <t>Phường Kinh Môn</t>
  </si>
  <si>
    <t>Phường Lê Chân</t>
  </si>
  <si>
    <t>Phường Lê Đại Hành</t>
  </si>
  <si>
    <t>Phường Lê ích Mộc</t>
  </si>
  <si>
    <t>Phường Lê Thanh Nghị</t>
  </si>
  <si>
    <t>Phường Lưu Kiếm</t>
  </si>
  <si>
    <t>Phường Nam Đồ Sơn</t>
  </si>
  <si>
    <t>Phường Nam Đồng</t>
  </si>
  <si>
    <t>Phường Nam Triệu</t>
  </si>
  <si>
    <t>Phường Ngô Quyền</t>
  </si>
  <si>
    <t>Phường Nguyễn Đại Năng</t>
  </si>
  <si>
    <t>Phường Nguyễn Trãi</t>
  </si>
  <si>
    <t>Phường Nhị Chiểu</t>
  </si>
  <si>
    <t>Phường Phạm Sư Mạnh</t>
  </si>
  <si>
    <t>Phường Phù Liễn</t>
  </si>
  <si>
    <t>Phường Tân Hưng</t>
  </si>
  <si>
    <t>Phường Thạch Khôi</t>
  </si>
  <si>
    <t>Phường Thành Đông</t>
  </si>
  <si>
    <t>Phường Thiên Hương</t>
  </si>
  <si>
    <t>Phường Thủy Nguyên</t>
  </si>
  <si>
    <t>Phường Trần Hưng Đạo</t>
  </si>
  <si>
    <t>Phường Trần Liễu</t>
  </si>
  <si>
    <t>Phường Trần Nhân Tông</t>
  </si>
  <si>
    <t>Phường Tứ Minh</t>
  </si>
  <si>
    <t>Phường Việt Hòa</t>
  </si>
  <si>
    <t>Xã An Hưng</t>
  </si>
  <si>
    <t>Xã An Lão</t>
  </si>
  <si>
    <t>Xã An Phú</t>
  </si>
  <si>
    <t>Xã An Quang</t>
  </si>
  <si>
    <t>Xã An Thành</t>
  </si>
  <si>
    <t>Xã An Trường</t>
  </si>
  <si>
    <t>Xã Bắc Thanh Miện</t>
  </si>
  <si>
    <t>Xã Bình Giang</t>
  </si>
  <si>
    <t>Xã Cẩm Giang</t>
  </si>
  <si>
    <t>Xã Chấn Hưng</t>
  </si>
  <si>
    <t>Xã Chí Minh</t>
  </si>
  <si>
    <t>Xã Đại Sơn</t>
  </si>
  <si>
    <t>Xã Đường An</t>
  </si>
  <si>
    <t>Xã Gia Lộc</t>
  </si>
  <si>
    <t>Xã Hà Đông</t>
  </si>
  <si>
    <t>Xã Hải Hưng</t>
  </si>
  <si>
    <t>Xã Kiến Hải</t>
  </si>
  <si>
    <t>Xã Kiến Hưng</t>
  </si>
  <si>
    <t>Xã Lạc Phượng</t>
  </si>
  <si>
    <t>Xã Nghi Dương</t>
  </si>
  <si>
    <t>Xã Nguyễn Bỉnh Khiêm</t>
  </si>
  <si>
    <t>Xã Nguyên Giáp</t>
  </si>
  <si>
    <t>Xã Nguyễn Lương Bằng</t>
  </si>
  <si>
    <t>Xã Ninh Giang</t>
  </si>
  <si>
    <t>Xã Phú Thái</t>
  </si>
  <si>
    <t>Xã Tân Minh</t>
  </si>
  <si>
    <t>Xã Thái Tân</t>
  </si>
  <si>
    <t>Xã Thanh Hà</t>
  </si>
  <si>
    <t>Xã Thanh Miện</t>
  </si>
  <si>
    <t>Xã Thượng Hồng</t>
  </si>
  <si>
    <t>Xã Tiên Lãng</t>
  </si>
  <si>
    <t>Xã Tiên Minh</t>
  </si>
  <si>
    <t>Xã Trường Tân</t>
  </si>
  <si>
    <t>Xã Tứ Kỳ</t>
  </si>
  <si>
    <t>Xã Tuệ Tĩnh</t>
  </si>
  <si>
    <t>Xã Việt Khê</t>
  </si>
  <si>
    <t>Xã Vĩnh Am</t>
  </si>
  <si>
    <t>Xã Vĩnh Bảo</t>
  </si>
  <si>
    <t>Xã Vĩnh Hải</t>
  </si>
  <si>
    <t>Xã Vĩnh Hòa</t>
  </si>
  <si>
    <t>Xã Vĩnh Lại</t>
  </si>
  <si>
    <t>Xã Vĩnh Thịnh</t>
  </si>
  <si>
    <t>Xã Vĩnh Thuận</t>
  </si>
  <si>
    <t>Xã Yết Kiêu</t>
  </si>
  <si>
    <t>Phường Đường Hào</t>
  </si>
  <si>
    <t>Phường Hồng Châu</t>
  </si>
  <si>
    <t>Phường Mỹ Hào</t>
  </si>
  <si>
    <t>Phường Phố Hiến</t>
  </si>
  <si>
    <t>Phường Sơn Nam</t>
  </si>
  <si>
    <t>Phường Thái Bình</t>
  </si>
  <si>
    <t>Phường Thượng Hồng</t>
  </si>
  <si>
    <t>Phường Trà Lý</t>
  </si>
  <si>
    <t>Phường Trần Lãm</t>
  </si>
  <si>
    <t>Phường Vũ Phúc</t>
  </si>
  <si>
    <t>Xã A Sào</t>
  </si>
  <si>
    <t>Xã ái Quốc</t>
  </si>
  <si>
    <t>Xã Ân Thi</t>
  </si>
  <si>
    <t>Xã Bắc Đông Hưng</t>
  </si>
  <si>
    <t>Xã Bắc Đông Quan</t>
  </si>
  <si>
    <t>Xã Bắc Thái Ninh</t>
  </si>
  <si>
    <t>Xã Bắc Thụy Anh</t>
  </si>
  <si>
    <t>Xã Bắc Tiên Hưng</t>
  </si>
  <si>
    <t>Xã Bình Định</t>
  </si>
  <si>
    <t>Xã Bình Nguyên</t>
  </si>
  <si>
    <t>Xã Bình Thanh</t>
  </si>
  <si>
    <t>Xã Châu Ninh</t>
  </si>
  <si>
    <t>Xã Đại Đồng</t>
  </si>
  <si>
    <t>Xã Diên Hà</t>
  </si>
  <si>
    <t>Xã Đoàn Đào</t>
  </si>
  <si>
    <t>Xã Đồng Bằng</t>
  </si>
  <si>
    <t>Xã Đồng Châu</t>
  </si>
  <si>
    <t>Xã Đông Hưng</t>
  </si>
  <si>
    <t>Xã Đông Quan</t>
  </si>
  <si>
    <t>Xã Đông Thái Ninh</t>
  </si>
  <si>
    <t>Xã Đông Thụy Anh</t>
  </si>
  <si>
    <t>Xã Đông Tiền Hải</t>
  </si>
  <si>
    <t>Xã Đông Tiên Hưng</t>
  </si>
  <si>
    <t>Xã Đức Hợp</t>
  </si>
  <si>
    <t>Xã Hiệp Cường</t>
  </si>
  <si>
    <t>Xã Hoàn Long</t>
  </si>
  <si>
    <t>Xã Hoàng Hoa Thám</t>
  </si>
  <si>
    <t>Xã Hồng Minh</t>
  </si>
  <si>
    <t>Xã Hồng Quang</t>
  </si>
  <si>
    <t>Xã Hồng Vũ</t>
  </si>
  <si>
    <t>Xã Hưng Hà</t>
  </si>
  <si>
    <t>Xã Hưng Phú</t>
  </si>
  <si>
    <t>Xã Khoái Châu</t>
  </si>
  <si>
    <t>Xã Kiến Xương</t>
  </si>
  <si>
    <t>Xã Lạc Đạo</t>
  </si>
  <si>
    <t>Xã Lê Quý Đôn</t>
  </si>
  <si>
    <t>Xã Long Hưng</t>
  </si>
  <si>
    <t>Xã Lương Bằng</t>
  </si>
  <si>
    <t>Xã Mễ Sở</t>
  </si>
  <si>
    <t>Xã Minh Thọ</t>
  </si>
  <si>
    <t>Xã Nam Đông Hưng</t>
  </si>
  <si>
    <t>Xã Nam Thái Ninh</t>
  </si>
  <si>
    <t>Xã Nam Thụy Anh</t>
  </si>
  <si>
    <t>Xã Nam Tiền Hải</t>
  </si>
  <si>
    <t>Xã Nam Tiên Hưng</t>
  </si>
  <si>
    <t>Xã Nghĩa Dân</t>
  </si>
  <si>
    <t>Xã Nghĩa Trụ</t>
  </si>
  <si>
    <t>Xã Ngọc Lâm</t>
  </si>
  <si>
    <t>Xã Ngự Thiên</t>
  </si>
  <si>
    <t>Xã Nguyễn Du</t>
  </si>
  <si>
    <t>Xã Nguyễn Trãi</t>
  </si>
  <si>
    <t>Xã Nguyễn Văn Linh</t>
  </si>
  <si>
    <t>Xã Như Quỳnh</t>
  </si>
  <si>
    <t>Xã Phạm Ngũ Lão</t>
  </si>
  <si>
    <t>Xã Phụ Dực</t>
  </si>
  <si>
    <t>Xã Phụng Công</t>
  </si>
  <si>
    <t>Xã Quang Hưng</t>
  </si>
  <si>
    <t>Xã Quang Lịch</t>
  </si>
  <si>
    <t>Xã Quỳnh An</t>
  </si>
  <si>
    <t>Xã Quỳnh Phụ</t>
  </si>
  <si>
    <t>Xã Tân Hưng</t>
  </si>
  <si>
    <t>Xã Tân Thuận</t>
  </si>
  <si>
    <t>Xã Tây Thái Ninh</t>
  </si>
  <si>
    <t>Xã Tây Thụy Anh</t>
  </si>
  <si>
    <t>Xã Tây Tiền Hải</t>
  </si>
  <si>
    <t>Xã Thái Ninh</t>
  </si>
  <si>
    <t>Xã Thái Thụy</t>
  </si>
  <si>
    <t>Xã Thần Khê</t>
  </si>
  <si>
    <t>Xã Thư Trì</t>
  </si>
  <si>
    <t>Xã Thư Vũ</t>
  </si>
  <si>
    <t>Xã Thụy Anh</t>
  </si>
  <si>
    <t>Xã Tiền Hải</t>
  </si>
  <si>
    <t>Xã Tiên Hoa</t>
  </si>
  <si>
    <t>Xã Tiên Hưng</t>
  </si>
  <si>
    <t>Xã Tiên La</t>
  </si>
  <si>
    <t>Xã Tiên Tiến</t>
  </si>
  <si>
    <t>Xã Tống Trân</t>
  </si>
  <si>
    <t>Xã Trà Giang</t>
  </si>
  <si>
    <t>Xã Triệu Việt Vương</t>
  </si>
  <si>
    <t>Xã Văn Giang</t>
  </si>
  <si>
    <t>Xã Vạn Xuân</t>
  </si>
  <si>
    <t>Xã Việt Tiến</t>
  </si>
  <si>
    <t>Xã Việt Yên</t>
  </si>
  <si>
    <t>Xã Vũ Quý</t>
  </si>
  <si>
    <t>Xã Vũ Thư</t>
  </si>
  <si>
    <t>Xã Vũ Tiên</t>
  </si>
  <si>
    <t>Xã Xuân Trúc</t>
  </si>
  <si>
    <t>Xã Yên Mỹ</t>
  </si>
  <si>
    <t>Phường Bắc Giang</t>
  </si>
  <si>
    <t>Phường Bồng Lai</t>
  </si>
  <si>
    <t>Phường Cảnh Thụy</t>
  </si>
  <si>
    <t>Phường Chũ</t>
  </si>
  <si>
    <t>Phường Đa Mai</t>
  </si>
  <si>
    <t>Phường Đào Viên</t>
  </si>
  <si>
    <t>Phường Đồng Nguyên</t>
  </si>
  <si>
    <t>Phường Hạp Lĩnh</t>
  </si>
  <si>
    <t>Phường Kinh Bắc</t>
  </si>
  <si>
    <t>Phường Mão Điền</t>
  </si>
  <si>
    <t>Phường Nam Sơn</t>
  </si>
  <si>
    <t>Phường Nếnh</t>
  </si>
  <si>
    <t>Phường Nhân Hòa</t>
  </si>
  <si>
    <t>Phường Ninh Xá</t>
  </si>
  <si>
    <t>Phường Phù Khê</t>
  </si>
  <si>
    <t>Phường Phương Liễu</t>
  </si>
  <si>
    <t>Phường Phượng Sơn</t>
  </si>
  <si>
    <t>Phường Quế Võ</t>
  </si>
  <si>
    <t>Phường Song Liễu</t>
  </si>
  <si>
    <t>Phường Tam Sơn</t>
  </si>
  <si>
    <t>Phường Tân An</t>
  </si>
  <si>
    <t>Phường Tân Tiến</t>
  </si>
  <si>
    <t>Phường Thuận Thành</t>
  </si>
  <si>
    <t>Phường Tiền Phong</t>
  </si>
  <si>
    <t>Phường Trạm Lộ</t>
  </si>
  <si>
    <t>Phường Trí Quả</t>
  </si>
  <si>
    <t>Phường Tự Lạn</t>
  </si>
  <si>
    <t>Phường Từ Sơn</t>
  </si>
  <si>
    <t>Phường Vân Hà</t>
  </si>
  <si>
    <t>Phường Việt Yên</t>
  </si>
  <si>
    <t>Phường Võ Cường</t>
  </si>
  <si>
    <t>Phường Vũ Ninh</t>
  </si>
  <si>
    <t>Phường Yên Dũng</t>
  </si>
  <si>
    <t>Xã An Lạc</t>
  </si>
  <si>
    <t>Xã Bắc Lũng</t>
  </si>
  <si>
    <t>Xã Bảo Đài</t>
  </si>
  <si>
    <t>Xã Biển Động</t>
  </si>
  <si>
    <t>Xã Biên Sơn</t>
  </si>
  <si>
    <t>Xã Bố Hạ</t>
  </si>
  <si>
    <t>Xã Cẩm Lý</t>
  </si>
  <si>
    <t>Xã Cao Đức</t>
  </si>
  <si>
    <t>Xã Đại Lai</t>
  </si>
  <si>
    <t>Xã Đèo Gia</t>
  </si>
  <si>
    <t>Xã Đông Cứu</t>
  </si>
  <si>
    <t>Xã Đồng Kỳ</t>
  </si>
  <si>
    <t>Xã Đông Phú</t>
  </si>
  <si>
    <t>Xã Đồng Việt</t>
  </si>
  <si>
    <t>Xã Dương Hưu</t>
  </si>
  <si>
    <t>Xã Gia Bình</t>
  </si>
  <si>
    <t>Xã Hiệp Hòa</t>
  </si>
  <si>
    <t>Xã Hoàng Vân</t>
  </si>
  <si>
    <t>Xã Hợp Thịnh</t>
  </si>
  <si>
    <t>Xã Kép</t>
  </si>
  <si>
    <t>Xã Kiên Lao</t>
  </si>
  <si>
    <t>Xã Lâm Thao</t>
  </si>
  <si>
    <t>Xã Lạng Giang</t>
  </si>
  <si>
    <t>Xã Liên Bão</t>
  </si>
  <si>
    <t>Xã Lục Nam</t>
  </si>
  <si>
    <t>Xã Lục Ngạn</t>
  </si>
  <si>
    <t>Xã Lục Sơn</t>
  </si>
  <si>
    <t>Xã Lương Tài</t>
  </si>
  <si>
    <t>Xã Mỹ Thái</t>
  </si>
  <si>
    <t>Xã Nam Dương</t>
  </si>
  <si>
    <t>Xã Nghĩa Phương</t>
  </si>
  <si>
    <t>Xã Ngọc Thiện</t>
  </si>
  <si>
    <t>Xã Nhã Nam</t>
  </si>
  <si>
    <t>Xã Nhân Thắng</t>
  </si>
  <si>
    <t>Xã Phật Tích</t>
  </si>
  <si>
    <t>Xã Phù Lãng</t>
  </si>
  <si>
    <t>Xã Phúc Hoà</t>
  </si>
  <si>
    <t>Xã Sa Lý</t>
  </si>
  <si>
    <t>Xã Sơn Động</t>
  </si>
  <si>
    <t>Xã Sơn Hải</t>
  </si>
  <si>
    <t>Xã Tam Đa</t>
  </si>
  <si>
    <t>Xã Tam Giang</t>
  </si>
  <si>
    <t>Xã Tam Tiến</t>
  </si>
  <si>
    <t>Xã Tân Chi</t>
  </si>
  <si>
    <t>Xã Tân Dĩnh</t>
  </si>
  <si>
    <t>Xã Tân Sơn</t>
  </si>
  <si>
    <t>Xã Tây Yên Tử</t>
  </si>
  <si>
    <t>Xã Tiên Du</t>
  </si>
  <si>
    <t>Xã Tiên Lục</t>
  </si>
  <si>
    <t>Xã Trung Chính</t>
  </si>
  <si>
    <t>Xã Trung Kênh</t>
  </si>
  <si>
    <t>Xã Trường Sơn</t>
  </si>
  <si>
    <t>Xã Tuấn Đạo</t>
  </si>
  <si>
    <t>Xã Văn Môn</t>
  </si>
  <si>
    <t>Xã Vân Sơn</t>
  </si>
  <si>
    <t>Xã Xuân Cẩm</t>
  </si>
  <si>
    <t>Xã Xuân Lương</t>
  </si>
  <si>
    <t>Xã Yên Định</t>
  </si>
  <si>
    <t>Xã Yên Thế</t>
  </si>
  <si>
    <t>Xã Yên Trung</t>
  </si>
  <si>
    <t>Phường Âu Cơ</t>
  </si>
  <si>
    <t>Phường Kỳ Sơn</t>
  </si>
  <si>
    <t>Phường Nông Trang</t>
  </si>
  <si>
    <t>Phường Phong Châu</t>
  </si>
  <si>
    <t>Phường Phú Thọ</t>
  </si>
  <si>
    <t>Phường Phúc Yên</t>
  </si>
  <si>
    <t>Phường Tân Hòa</t>
  </si>
  <si>
    <t>Phường Thanh Miếu</t>
  </si>
  <si>
    <t>Phường Thống Nhất</t>
  </si>
  <si>
    <t>Phường Vân Phú</t>
  </si>
  <si>
    <t>Phường Việt Trì</t>
  </si>
  <si>
    <t>Phường Vĩnh Phúc</t>
  </si>
  <si>
    <t>Phường Vĩnh Yên</t>
  </si>
  <si>
    <t>Phường Xuân Hòa</t>
  </si>
  <si>
    <t>Xã An Bình</t>
  </si>
  <si>
    <t>Xã An Nghĩa</t>
  </si>
  <si>
    <t>Xã Bản Nguyên</t>
  </si>
  <si>
    <t>Xã Bằng Luân</t>
  </si>
  <si>
    <t>Xã Bao La</t>
  </si>
  <si>
    <t>Xã Bình Phú</t>
  </si>
  <si>
    <t>Xã Bình Tuyền</t>
  </si>
  <si>
    <t>Xã Bình Xuyên</t>
  </si>
  <si>
    <t>Xã Cẩm Khê</t>
  </si>
  <si>
    <t>Xã Cao Dương</t>
  </si>
  <si>
    <t>Xã Cao Phong</t>
  </si>
  <si>
    <t>Xã Chân Mộng</t>
  </si>
  <si>
    <t>Xã Chí Đám</t>
  </si>
  <si>
    <t>Xã Chí Tiên</t>
  </si>
  <si>
    <t>Xã Cự Đồng</t>
  </si>
  <si>
    <t>Xã Đà Bắc</t>
  </si>
  <si>
    <t>Xã Đại Đình</t>
  </si>
  <si>
    <t>Xã Dân Chủ</t>
  </si>
  <si>
    <t>Xã Đan Thượng</t>
  </si>
  <si>
    <t>Xã Đạo Trù</t>
  </si>
  <si>
    <t>Xã Đồng Lương</t>
  </si>
  <si>
    <t>Xã Đông Thành</t>
  </si>
  <si>
    <t>Xã Đức Nhàn</t>
  </si>
  <si>
    <t>Xã Dũng Tiến</t>
  </si>
  <si>
    <t>Xã Hạ Hòa</t>
  </si>
  <si>
    <t>Xã Hải Lựu</t>
  </si>
  <si>
    <t>Xã Hiền Lương</t>
  </si>
  <si>
    <t>Xã Hiền Quan</t>
  </si>
  <si>
    <t>Xã Hoàng An</t>
  </si>
  <si>
    <t>Xã Hoàng Cương</t>
  </si>
  <si>
    <t>Xã Hội Thịnh</t>
  </si>
  <si>
    <t>Xã Hợp Kim</t>
  </si>
  <si>
    <t>Xã Hợp Lý</t>
  </si>
  <si>
    <t>Xã Hùng Việt</t>
  </si>
  <si>
    <t>Xã Hương Cần</t>
  </si>
  <si>
    <t>Xã Hy Cương</t>
  </si>
  <si>
    <t>Xã Khả Cửu</t>
  </si>
  <si>
    <t>Xã Kim Bôi</t>
  </si>
  <si>
    <t>Xã Lạc Lương</t>
  </si>
  <si>
    <t>Xã Lạc Sơn</t>
  </si>
  <si>
    <t>Xã Lạc Thủy</t>
  </si>
  <si>
    <t>Xã Lai Đồng</t>
  </si>
  <si>
    <t>Xã Lập Thạch</t>
  </si>
  <si>
    <t>Xã Liên Châu</t>
  </si>
  <si>
    <t>Xã Liên Hòa</t>
  </si>
  <si>
    <t>Xã Long Cốc</t>
  </si>
  <si>
    <t>Xã Lương Sơn</t>
  </si>
  <si>
    <t>Xã Mường Bi</t>
  </si>
  <si>
    <t>Xã Mường Động</t>
  </si>
  <si>
    <t>Xã Mường Hoa</t>
  </si>
  <si>
    <t>Xã Mường Thàng</t>
  </si>
  <si>
    <t>Xã Mường Vang</t>
  </si>
  <si>
    <t>Xã Nật Sơn</t>
  </si>
  <si>
    <t>Xã Ngọc Sơn</t>
  </si>
  <si>
    <t>Xã Quảng Yên</t>
  </si>
  <si>
    <t>Xã Sơn Đông</t>
  </si>
  <si>
    <t>Xã Sông Lô</t>
  </si>
  <si>
    <t>Xã Tam Đảo</t>
  </si>
  <si>
    <t>Xã Tam Dương</t>
  </si>
  <si>
    <t>Xã Tam Dương Bắc</t>
  </si>
  <si>
    <t>Xã Tam Nông</t>
  </si>
  <si>
    <t>Xã Tam Sơn</t>
  </si>
  <si>
    <t>Xã Thanh Sơn</t>
  </si>
  <si>
    <t>Xã Thượng Cốc</t>
  </si>
  <si>
    <t>Xã Thượng Long</t>
  </si>
  <si>
    <t>Xã Tiên Lương</t>
  </si>
  <si>
    <t>Xã Trạm Thản</t>
  </si>
  <si>
    <t>Xã Văn Miếu</t>
  </si>
  <si>
    <t>Xã Vĩnh An</t>
  </si>
  <si>
    <t>Xã Vĩnh Chân</t>
  </si>
  <si>
    <t>Xã Vĩnh Hưng</t>
  </si>
  <si>
    <t>Xã Vĩnh Phú</t>
  </si>
  <si>
    <t>Xã Vĩnh Thành</t>
  </si>
  <si>
    <t>Xã Vĩnh Tường</t>
  </si>
  <si>
    <t>Xã Võ Miếu</t>
  </si>
  <si>
    <t>Xã Xuân Đài</t>
  </si>
  <si>
    <t>Xã Xuân Lãng</t>
  </si>
  <si>
    <t>Xã Xuân Lũng</t>
  </si>
  <si>
    <t>Xã Xuân Viên</t>
  </si>
  <si>
    <t>Xã Yên Kỳ</t>
  </si>
  <si>
    <t>Xã Yên Lạc</t>
  </si>
  <si>
    <t>Phường Châu Sơn</t>
  </si>
  <si>
    <t>Phường Đông A</t>
  </si>
  <si>
    <t>Phường Đông Hoa Lư</t>
  </si>
  <si>
    <t>Phường Đồng Văn</t>
  </si>
  <si>
    <t>Phường Duy Hà</t>
  </si>
  <si>
    <t>Phường Duy Tân</t>
  </si>
  <si>
    <t>Phường Duy Tiên</t>
  </si>
  <si>
    <t>Phường Hà Nam</t>
  </si>
  <si>
    <t>Phường Hoa Lư</t>
  </si>
  <si>
    <t>Phường Hồng Quang</t>
  </si>
  <si>
    <t>Phường Kim Bảng</t>
  </si>
  <si>
    <t>Phường Kim Thanh</t>
  </si>
  <si>
    <t>Phường Lê Hồ</t>
  </si>
  <si>
    <t>Phường Liêm Tuyền</t>
  </si>
  <si>
    <t>Phường Lý Thường Kiệt</t>
  </si>
  <si>
    <t>Phường Mỹ Lộc</t>
  </si>
  <si>
    <t>Phường Nam Định</t>
  </si>
  <si>
    <t>Phường Nam Hoa Lư</t>
  </si>
  <si>
    <t>Phường Nguyễn úy</t>
  </si>
  <si>
    <t>Phường Phủ Lý</t>
  </si>
  <si>
    <t>Phường Phù Vân</t>
  </si>
  <si>
    <t>Phường Tam Chúc</t>
  </si>
  <si>
    <t>Phường Tam Điệp</t>
  </si>
  <si>
    <t>Phường Tây Hoa Lư</t>
  </si>
  <si>
    <t>Phường Thành Nam</t>
  </si>
  <si>
    <t>Phường Thiên Trường</t>
  </si>
  <si>
    <t>Phường Tiên Sơn</t>
  </si>
  <si>
    <t>Phường Trung Sơn</t>
  </si>
  <si>
    <t>Phường Trường Thi</t>
  </si>
  <si>
    <t>Phường Vị Khê</t>
  </si>
  <si>
    <t>Phường Yên Sơn</t>
  </si>
  <si>
    <t>Phường Yên Thắng</t>
  </si>
  <si>
    <t>Xã Bắc Lý</t>
  </si>
  <si>
    <t>Xã Bình Lục</t>
  </si>
  <si>
    <t>Xã Bình Mỹ</t>
  </si>
  <si>
    <t>Xã Bình Sơn</t>
  </si>
  <si>
    <t>Xã Cát Thành</t>
  </si>
  <si>
    <t>Xã Chất Bình</t>
  </si>
  <si>
    <t>Xã Cổ Lễ</t>
  </si>
  <si>
    <t>Xã Cúc Phương</t>
  </si>
  <si>
    <t>Xã Đại Hoàng</t>
  </si>
  <si>
    <t>Xã Đồng Thái</t>
  </si>
  <si>
    <t>Xã Đồng Thịnh</t>
  </si>
  <si>
    <t>Xã Gia Hưng</t>
  </si>
  <si>
    <t>Xã Gia Phong</t>
  </si>
  <si>
    <t>Xã Gia Trấn</t>
  </si>
  <si>
    <t>Xã Gia Tường</t>
  </si>
  <si>
    <t>Xã Gia Vân</t>
  </si>
  <si>
    <t>Xã Gia Viễn</t>
  </si>
  <si>
    <t>Xã Giao Bình</t>
  </si>
  <si>
    <t>Xã Giao Hòa</t>
  </si>
  <si>
    <t>Xã Giao Hưng</t>
  </si>
  <si>
    <t>Xã Giao Minh</t>
  </si>
  <si>
    <t>Xã Giao Ninh</t>
  </si>
  <si>
    <t>Xã Giao Phúc</t>
  </si>
  <si>
    <t>Xã Giao Thủy</t>
  </si>
  <si>
    <t>Xã Hải An</t>
  </si>
  <si>
    <t>Xã Hải Anh</t>
  </si>
  <si>
    <t>Xã Hải Hậu</t>
  </si>
  <si>
    <t>Xã Hải Quang</t>
  </si>
  <si>
    <t>Xã Hải Thịnh</t>
  </si>
  <si>
    <t>Xã Hải Tiến</t>
  </si>
  <si>
    <t>Xã Hải Xuân</t>
  </si>
  <si>
    <t>Xã Hiển Khánh</t>
  </si>
  <si>
    <t>Xã Khánh Hội</t>
  </si>
  <si>
    <t>Xã Khánh Nhạc</t>
  </si>
  <si>
    <t>Xã Khánh Thiện</t>
  </si>
  <si>
    <t>Xã Khánh Trung</t>
  </si>
  <si>
    <t>Xã Kim Đông</t>
  </si>
  <si>
    <t>Xã Kim Sơn</t>
  </si>
  <si>
    <t>Xã Lai Thành</t>
  </si>
  <si>
    <t>Xã Liêm Hà</t>
  </si>
  <si>
    <t>Xã Lý Nhân</t>
  </si>
  <si>
    <t>Xã Minh Thái</t>
  </si>
  <si>
    <t>Xã Nam Đồng</t>
  </si>
  <si>
    <t>Xã Nam Hồng</t>
  </si>
  <si>
    <t>Xã Nam Lý</t>
  </si>
  <si>
    <t>Xã Nam Minh</t>
  </si>
  <si>
    <t>Xã Nam Ninh</t>
  </si>
  <si>
    <t>Xã Nam Trực</t>
  </si>
  <si>
    <t>Xã Nam Xang</t>
  </si>
  <si>
    <t>Xã Nghĩa Hưng</t>
  </si>
  <si>
    <t>Xã Nghĩa Lâm</t>
  </si>
  <si>
    <t>Xã Nghĩa Sơn</t>
  </si>
  <si>
    <t>Xã Nhân Hà</t>
  </si>
  <si>
    <t>Xã Nho Quan</t>
  </si>
  <si>
    <t>Xã Ninh Cường</t>
  </si>
  <si>
    <t>Xã Phát Diệm</t>
  </si>
  <si>
    <t>Xã Phong Doanh</t>
  </si>
  <si>
    <t>Xã Phú Long</t>
  </si>
  <si>
    <t>Xã Phú Sơn</t>
  </si>
  <si>
    <t>Xã Quang Thiện</t>
  </si>
  <si>
    <t>Xã Quỹ Nhất</t>
  </si>
  <si>
    <t>Xã Quỳnh Lưu</t>
  </si>
  <si>
    <t>Xã Rạng Đông</t>
  </si>
  <si>
    <t>Xã Thanh Bình</t>
  </si>
  <si>
    <t>Xã Thanh Lâm</t>
  </si>
  <si>
    <t>Xã Thanh Liêm</t>
  </si>
  <si>
    <t>Xã Trần Thương</t>
  </si>
  <si>
    <t>Xã Trực Ninh</t>
  </si>
  <si>
    <t>Xã Vạn Thắng</t>
  </si>
  <si>
    <t>Xã Vĩnh Trụ</t>
  </si>
  <si>
    <t>Xã Vụ Bản</t>
  </si>
  <si>
    <t>Xã Vũ Dương</t>
  </si>
  <si>
    <t>Xã Xuân Hồng</t>
  </si>
  <si>
    <t>Xã Xuân Hưng</t>
  </si>
  <si>
    <t>Xã ý Yên</t>
  </si>
  <si>
    <t>Xã Yên Đồng</t>
  </si>
  <si>
    <t>Xã Yên Khánh</t>
  </si>
  <si>
    <t>Xã Yên Mạc</t>
  </si>
  <si>
    <t>Xã Yên Mô</t>
  </si>
  <si>
    <t>Xã Yên Từ</t>
  </si>
  <si>
    <t>Phường Bỉm Sơn</t>
  </si>
  <si>
    <t>Phường Đào Duy Từ</t>
  </si>
  <si>
    <t>Phường Đông Quang</t>
  </si>
  <si>
    <t>Phường Đông Sơn</t>
  </si>
  <si>
    <t>Phường Đông Tiến</t>
  </si>
  <si>
    <t>Phường Hạc Thành</t>
  </si>
  <si>
    <t>Phường Hải Bình</t>
  </si>
  <si>
    <t>Phường Hải Lĩnh</t>
  </si>
  <si>
    <t>Phường Hàm Rồng</t>
  </si>
  <si>
    <t>Phường Nam Sầm Sơn</t>
  </si>
  <si>
    <t>Phường Nghi Sơn</t>
  </si>
  <si>
    <t>Phường Ngọc Sơn</t>
  </si>
  <si>
    <t>Phường Nguyệt Viên</t>
  </si>
  <si>
    <t>Phường Quảng Phú</t>
  </si>
  <si>
    <t>Phường Quang Trung</t>
  </si>
  <si>
    <t>Phường Sầm Sơn</t>
  </si>
  <si>
    <t>Phường Tân Dân</t>
  </si>
  <si>
    <t>Phường Tĩnh Gia</t>
  </si>
  <si>
    <t>Phường Trúc Lâm</t>
  </si>
  <si>
    <t>Xã An Nông</t>
  </si>
  <si>
    <t>Xã Ba Đình</t>
  </si>
  <si>
    <t>Xã Bá Thước</t>
  </si>
  <si>
    <t>Xã Bát Mọt</t>
  </si>
  <si>
    <t>Xã Biện Thượng</t>
  </si>
  <si>
    <t>Xã Các Sơn</t>
  </si>
  <si>
    <t>Xã Cẩm Tân</t>
  </si>
  <si>
    <t>Xã Cẩm Thạch</t>
  </si>
  <si>
    <t>Xã Cẩm Thủy</t>
  </si>
  <si>
    <t>Xã Cẩm Tú</t>
  </si>
  <si>
    <t>Xã Cẩm Vân</t>
  </si>
  <si>
    <t>Xã Cổ Lũng</t>
  </si>
  <si>
    <t>Xã Công Chính</t>
  </si>
  <si>
    <t>Xã Điền Lư</t>
  </si>
  <si>
    <t>Xã Điền Quang</t>
  </si>
  <si>
    <t>Xã Hồ Vương</t>
  </si>
  <si>
    <t>Xã Hoằng Châu</t>
  </si>
  <si>
    <t>Xã Hoằng Giang</t>
  </si>
  <si>
    <t>Xã Hoằng Hóa</t>
  </si>
  <si>
    <t>Xã Hoằng Lộc</t>
  </si>
  <si>
    <t>Xã Hoằng Phú</t>
  </si>
  <si>
    <t>Xã Hoằng Sơn</t>
  </si>
  <si>
    <t>Xã Hoằng Thanh</t>
  </si>
  <si>
    <t>Xã Hoằng Tiến</t>
  </si>
  <si>
    <t>Xã Hoạt Giang</t>
  </si>
  <si>
    <t>Xã Hồi Xuân</t>
  </si>
  <si>
    <t>Xã Kiên Thọ</t>
  </si>
  <si>
    <t>Xã Kim Tân</t>
  </si>
  <si>
    <t>Xã Lam Sơn</t>
  </si>
  <si>
    <t>Xã Linh Sơn</t>
  </si>
  <si>
    <t>Xã Lĩnh Toại</t>
  </si>
  <si>
    <t>Xã Luận Thành</t>
  </si>
  <si>
    <t>Xã Lưu Vệ</t>
  </si>
  <si>
    <t>Xã Mậu Lâm</t>
  </si>
  <si>
    <t>Xã Mường Lát</t>
  </si>
  <si>
    <t>Xã Mường Lý</t>
  </si>
  <si>
    <t>Xã Mường Mìn</t>
  </si>
  <si>
    <t>Xã Na Mèo</t>
  </si>
  <si>
    <t>Xã Nam Xuân</t>
  </si>
  <si>
    <t>Xã Nga An</t>
  </si>
  <si>
    <t>Xã Nga Sơn</t>
  </si>
  <si>
    <t>Xã Nga Thắng</t>
  </si>
  <si>
    <t>Xã Ngọc Lặc</t>
  </si>
  <si>
    <t>Xã Ngọc Liên</t>
  </si>
  <si>
    <t>Xã Ngọc Trạo</t>
  </si>
  <si>
    <t>Xã Nguyệt ấn</t>
  </si>
  <si>
    <t>Xã Nhi Sơn</t>
  </si>
  <si>
    <t>Xã Như Thanh</t>
  </si>
  <si>
    <t>Xã Như Xuân</t>
  </si>
  <si>
    <t>Xã Nông Cống</t>
  </si>
  <si>
    <t>Xã Phú Lệ</t>
  </si>
  <si>
    <t>Xã Phú Xuân (huyện Quan Hóa)</t>
  </si>
  <si>
    <t>Xã Pù Luông</t>
  </si>
  <si>
    <t>Xã Pù Nhi</t>
  </si>
  <si>
    <t>Xã Quảng Bình</t>
  </si>
  <si>
    <t>Xã Quang Chiểu</t>
  </si>
  <si>
    <t>Xã Quảng Chính</t>
  </si>
  <si>
    <t>Xã Quảng Ngọc</t>
  </si>
  <si>
    <t>Xã Quảng Ninh</t>
  </si>
  <si>
    <t>Xã Quý Lộc</t>
  </si>
  <si>
    <t>Xã Quý Lương</t>
  </si>
  <si>
    <t>Xã Sao Vàng</t>
  </si>
  <si>
    <t>Xã Sơn Điện</t>
  </si>
  <si>
    <t>Xã Tam Chung</t>
  </si>
  <si>
    <t>Xã Tam Lư</t>
  </si>
  <si>
    <t>Xã Tam Thanh</t>
  </si>
  <si>
    <t>Xã Tân Ninh</t>
  </si>
  <si>
    <t>Xã Tây Đô</t>
  </si>
  <si>
    <t>Xã Thạch Bình</t>
  </si>
  <si>
    <t>Xã Thạch Lập</t>
  </si>
  <si>
    <t>Xã Thạch Quảng</t>
  </si>
  <si>
    <t>Xã Thăng Bình</t>
  </si>
  <si>
    <t>Xã Thắng Lộc</t>
  </si>
  <si>
    <t>Xã Thắng Lợi</t>
  </si>
  <si>
    <t>Xã Thanh Kỳ</t>
  </si>
  <si>
    <t>Xã Thanh Phong</t>
  </si>
  <si>
    <t>Xã Thanh Quân</t>
  </si>
  <si>
    <t>Xã Thành Vinh</t>
  </si>
  <si>
    <t>Xã Thiên Phủ</t>
  </si>
  <si>
    <t>Xã Thiết ống</t>
  </si>
  <si>
    <t>Xã Thiệu Hóa</t>
  </si>
  <si>
    <t>Xã Thiệu Quang</t>
  </si>
  <si>
    <t>Xã Thiệu Tiến</t>
  </si>
  <si>
    <t>Xã Thiệu Toán</t>
  </si>
  <si>
    <t>Xã Thiệu Trung</t>
  </si>
  <si>
    <t>Xã Thọ Bình</t>
  </si>
  <si>
    <t>Xã Thọ Lập</t>
  </si>
  <si>
    <t>Xã Thọ Long</t>
  </si>
  <si>
    <t>Xã Thọ Ngọc</t>
  </si>
  <si>
    <t>Xã Thọ Phú</t>
  </si>
  <si>
    <t>Xã Thọ Xuân</t>
  </si>
  <si>
    <t>Xã Thượng Ninh</t>
  </si>
  <si>
    <t>Xã Thường Xuân</t>
  </si>
  <si>
    <t>Xã Tiên Trang</t>
  </si>
  <si>
    <t>Xã Tống Sơn</t>
  </si>
  <si>
    <t>Xã Triệu Lộc</t>
  </si>
  <si>
    <t>Xã Triệu Sơn</t>
  </si>
  <si>
    <t>Xã Trung Hạ</t>
  </si>
  <si>
    <t>Xã Trung Lý</t>
  </si>
  <si>
    <t>Xã Trung Thành</t>
  </si>
  <si>
    <t>Xã Trường Lâm</t>
  </si>
  <si>
    <t>Xã Trường Văn</t>
  </si>
  <si>
    <t>Xã Tượng Lĩnh</t>
  </si>
  <si>
    <t>Xã Vân Du</t>
  </si>
  <si>
    <t>Xã Vạn Lộc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</si>
  <si>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</si>
  <si>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</si>
  <si>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</si>
  <si>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</si>
  <si>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</si>
  <si>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</si>
  <si>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</si>
  <si>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Xuân Thái</t>
  </si>
  <si>
    <t>Xã Xuân Tín</t>
  </si>
  <si>
    <t>Xã Yên Khương</t>
  </si>
  <si>
    <t>Xã Yên Nhân</t>
  </si>
  <si>
    <t>Xã Yên Ninh</t>
  </si>
  <si>
    <t>Xã Yên Thắng</t>
  </si>
  <si>
    <t>Xã Yên Thọ</t>
  </si>
  <si>
    <t>Xã Yên Trường</t>
  </si>
  <si>
    <t>Phường Cửa Lò</t>
  </si>
  <si>
    <t>Phường Quỳnh Mai</t>
  </si>
  <si>
    <t>Phường Tân Mai</t>
  </si>
  <si>
    <t>Phường Tây Hiếu</t>
  </si>
  <si>
    <t>Phường Thái Hòa</t>
  </si>
  <si>
    <t>Phường Thành Vinh</t>
  </si>
  <si>
    <t>Phường Trường Vinh</t>
  </si>
  <si>
    <t>Phường Vinh Hưng</t>
  </si>
  <si>
    <t>Phường Vinh Lộc</t>
  </si>
  <si>
    <t>Phường Vinh Phú</t>
  </si>
  <si>
    <t>Xã An Châu</t>
  </si>
  <si>
    <t>Xã Anh Sơn</t>
  </si>
  <si>
    <t>Xã Anh Sơn Đông</t>
  </si>
  <si>
    <t>Xã Bạch Hà</t>
  </si>
  <si>
    <t>Xã Bích Hào</t>
  </si>
  <si>
    <t>Xã Bình Chuẩn</t>
  </si>
  <si>
    <t>Xã Cam Phục</t>
  </si>
  <si>
    <t>Xã Cát Ngạn</t>
  </si>
  <si>
    <t>Xã Châu Bình</t>
  </si>
  <si>
    <t>Xã Châu Hồng</t>
  </si>
  <si>
    <t>Xã Châu Khê</t>
  </si>
  <si>
    <t>Xã Châu Lộc</t>
  </si>
  <si>
    <t>Xã Châu Tiến</t>
  </si>
  <si>
    <t>Xã Chiêu Lưu</t>
  </si>
  <si>
    <t>Xã Con Cuông</t>
  </si>
  <si>
    <t>Xã Đại Huệ</t>
  </si>
  <si>
    <t>Xã Diễn Châu</t>
  </si>
  <si>
    <t>Xã Đô Lương</t>
  </si>
  <si>
    <t>Xã Đông Hiếu</t>
  </si>
  <si>
    <t>Xã Đông Lộc</t>
  </si>
  <si>
    <t>Xã Đức Châu</t>
  </si>
  <si>
    <t>Xã Giai Lạc</t>
  </si>
  <si>
    <t>Xã Giai Xuân</t>
  </si>
  <si>
    <t>Xã Hải Châu</t>
  </si>
  <si>
    <t>Xã Hải Lộc</t>
  </si>
  <si>
    <t>Xã Hạnh Lâm</t>
  </si>
  <si>
    <t>Xã Hoa Quân</t>
  </si>
  <si>
    <t>Xã Hợp Minh</t>
  </si>
  <si>
    <t>Xã Hùng Chân</t>
  </si>
  <si>
    <t>Xã Hùng Châu</t>
  </si>
  <si>
    <t>Xã Hưng Nguyên</t>
  </si>
  <si>
    <t>Xã Hưng Nguyên Nam</t>
  </si>
  <si>
    <t>Xã Huồi Tụ</t>
  </si>
  <si>
    <t>Xã Hữu Khuông</t>
  </si>
  <si>
    <t>Xã Hữu Kiệm</t>
  </si>
  <si>
    <t>Xã Keng Đu</t>
  </si>
  <si>
    <t>Xã Kim Bảng</t>
  </si>
  <si>
    <t>Xã Kim Liên</t>
  </si>
  <si>
    <t>Xã Lam Thành</t>
  </si>
  <si>
    <t>Xã Lượng Minh</t>
  </si>
  <si>
    <t>Xã Mậu Thạch</t>
  </si>
  <si>
    <t>Xã Minh Hợp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</si>
  <si>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</si>
  <si>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</si>
  <si>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</si>
  <si>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</si>
  <si>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</si>
  <si>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</si>
  <si>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</si>
  <si>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Mỹ Lý</t>
  </si>
  <si>
    <t>Xã Na Loi</t>
  </si>
  <si>
    <t>Xã Na Ngoi</t>
  </si>
  <si>
    <t>Xã Nậm Cắn</t>
  </si>
  <si>
    <t>Xã Nam Đàn</t>
  </si>
  <si>
    <t>Xã Nga My</t>
  </si>
  <si>
    <t>Xã Nghi Lộc</t>
  </si>
  <si>
    <t>Xã Nghĩa Đàn</t>
  </si>
  <si>
    <t>Xã Nghĩa Đồng</t>
  </si>
  <si>
    <t>Xã Nghĩa Hành</t>
  </si>
  <si>
    <t>Xã Nghĩa Khánh</t>
  </si>
  <si>
    <t>Xã Nghĩa Lộc</t>
  </si>
  <si>
    <t>Xã Nghĩa Mai</t>
  </si>
  <si>
    <t>Xã Nghĩa Thọ</t>
  </si>
  <si>
    <t>Xã Nhân Hòa</t>
  </si>
  <si>
    <t>Xã Nhôn Mai</t>
  </si>
  <si>
    <t>Xã Quan Thành</t>
  </si>
  <si>
    <t>Xã Quảng Châu</t>
  </si>
  <si>
    <t>Xã Quang Đồng</t>
  </si>
  <si>
    <t>Xã Quế Phong</t>
  </si>
  <si>
    <t>Xã Quỳ Châu</t>
  </si>
  <si>
    <t>Xã Quỳ Hợp</t>
  </si>
  <si>
    <t>Xã Quỳnh Anh</t>
  </si>
  <si>
    <t>Xã Quỳnh Phú</t>
  </si>
  <si>
    <t>Xã Quỳnh Sơn</t>
  </si>
  <si>
    <t>Xã Quỳnh Tam</t>
  </si>
  <si>
    <t>Xã Quỳnh Thắng</t>
  </si>
  <si>
    <t>Xã Quỳnh Văn</t>
  </si>
  <si>
    <t>Xã Sơn Lâm</t>
  </si>
  <si>
    <t>Xã Tam Đồng</t>
  </si>
  <si>
    <t>Xã Tam Hợp</t>
  </si>
  <si>
    <t>Xã Tam Quang</t>
  </si>
  <si>
    <t>Xã Tam Thái</t>
  </si>
  <si>
    <t>Xã Tân Châu</t>
  </si>
  <si>
    <t>Xã Tân Phú</t>
  </si>
  <si>
    <t>Xã Thần Lĩnh</t>
  </si>
  <si>
    <t>Xã Thành Bình Thọ</t>
  </si>
  <si>
    <t>Xã Thiên Nhẫn</t>
  </si>
  <si>
    <t>Xã Thông Thụ</t>
  </si>
  <si>
    <t>Xã Thuần Trung</t>
  </si>
  <si>
    <t>Xã Tiên Đồng</t>
  </si>
  <si>
    <t>Xã Trung Lộc</t>
  </si>
  <si>
    <t>Xã Tương Dương</t>
  </si>
  <si>
    <t>Xã Vạn An</t>
  </si>
  <si>
    <t>Xã Văn Hiến</t>
  </si>
  <si>
    <t>Xã Văn Kiều</t>
  </si>
  <si>
    <t>Xã Vân Tụ</t>
  </si>
  <si>
    <t>Xã Xuân Lâm</t>
  </si>
  <si>
    <t>Xã Yên Hòa</t>
  </si>
  <si>
    <t>Xã Yên Na</t>
  </si>
  <si>
    <t>Phường Bắc Hồng Lĩnh</t>
  </si>
  <si>
    <t>Phường Hà Huy Tập</t>
  </si>
  <si>
    <t>Phường Hải Ninh</t>
  </si>
  <si>
    <t>Phường Hoành Sơn</t>
  </si>
  <si>
    <t>Phường Nam Hồng Lĩnh</t>
  </si>
  <si>
    <t>Phường Sông Trí</t>
  </si>
  <si>
    <t>Phường Thành Sen</t>
  </si>
  <si>
    <t>Phường Trần Phú</t>
  </si>
  <si>
    <t>Phường Vũng áng</t>
  </si>
  <si>
    <t>Xã Cẩm Bình</t>
  </si>
  <si>
    <t>Xã Cẩm Duệ</t>
  </si>
  <si>
    <t>Xã Cẩm Hưng</t>
  </si>
  <si>
    <t>Xã Cẩm Lạc</t>
  </si>
  <si>
    <t>Xã Cẩm Trung</t>
  </si>
  <si>
    <t>Xã Cẩm Xuyên</t>
  </si>
  <si>
    <t>Xã Can Lộc</t>
  </si>
  <si>
    <t>Xã Cổ Đạm</t>
  </si>
  <si>
    <t>Xã Đan Hải</t>
  </si>
  <si>
    <t>Xã Đông Kinh</t>
  </si>
  <si>
    <t>Xã Đồng Lộc</t>
  </si>
  <si>
    <t>Xã Đức Đồng</t>
  </si>
  <si>
    <t>Xã Đức Minh</t>
  </si>
  <si>
    <t>Xã Đức Quang</t>
  </si>
  <si>
    <t>Xã Đức Thịnh</t>
  </si>
  <si>
    <t>Xã Đức Thọ</t>
  </si>
  <si>
    <t>Xã Gia Hanh</t>
  </si>
  <si>
    <t>Xã Hà Linh</t>
  </si>
  <si>
    <t>Xã Hồng Lộc</t>
  </si>
  <si>
    <t>Xã Hương Bình</t>
  </si>
  <si>
    <t>Xã Hương Đô</t>
  </si>
  <si>
    <t>Xã Hương Khê</t>
  </si>
  <si>
    <t>Xã Hương Phố</t>
  </si>
  <si>
    <t>Xã Hương Xuân</t>
  </si>
  <si>
    <t>Xã Kim Hoa</t>
  </si>
  <si>
    <t>Xã Kỳ Anh</t>
  </si>
  <si>
    <t>Xã Kỳ Hoa</t>
  </si>
  <si>
    <t>Xã Kỳ Khang</t>
  </si>
  <si>
    <t>Xã Kỳ Lạc</t>
  </si>
  <si>
    <t>Xã Kỳ Văn</t>
  </si>
  <si>
    <t>Xã Kỳ Xuân</t>
  </si>
  <si>
    <t>Xã Lộc Hà</t>
  </si>
  <si>
    <t>Xã Mai Hoa</t>
  </si>
  <si>
    <t>Xã Mai Phụ</t>
  </si>
  <si>
    <t>Xã Nghi Xuân</t>
  </si>
  <si>
    <t>Xã Phúc Trạch</t>
  </si>
  <si>
    <t>Xã Sơn Giang</t>
  </si>
  <si>
    <t>Xã Sơn Hồng</t>
  </si>
  <si>
    <t>Xã Sơn Kim 1</t>
  </si>
  <si>
    <t>Xã Sơn Kim 2</t>
  </si>
  <si>
    <t>Xã Sơn Tây</t>
  </si>
  <si>
    <t>Xã Sơn Tiến</t>
  </si>
  <si>
    <t>Xã Thạch Hà</t>
  </si>
  <si>
    <t>Xã Thạch Khê</t>
  </si>
  <si>
    <t>Xã Thạch Lạc</t>
  </si>
  <si>
    <t>Xã Thạch Xuân</t>
  </si>
  <si>
    <t>Xã Thiên Cầm</t>
  </si>
  <si>
    <t>Xã Thượng Đức</t>
  </si>
  <si>
    <t>Xã Tiên Điền</t>
  </si>
  <si>
    <t>Xã Toàn Lưu</t>
  </si>
  <si>
    <t>Xã Trường Lưu</t>
  </si>
  <si>
    <t>Xã Tứ Mỹ</t>
  </si>
  <si>
    <t>Xã Tùng Lộc</t>
  </si>
  <si>
    <t>Xã Việt Xuyên</t>
  </si>
  <si>
    <t>Xã Vũ Quang</t>
  </si>
  <si>
    <t>Xã Xuân Lộc</t>
  </si>
  <si>
    <t>Đặc khu Cồn Cỏ</t>
  </si>
  <si>
    <t>Phường Ba Đồn</t>
  </si>
  <si>
    <t>Phường Bắc Gianh</t>
  </si>
  <si>
    <t>Phường Đông Hà</t>
  </si>
  <si>
    <t>Phường Đồng Hới</t>
  </si>
  <si>
    <t>Phường Đồng Sơn</t>
  </si>
  <si>
    <t>Phường Đồng Thuận</t>
  </si>
  <si>
    <t>Phường Nam Đông Hà</t>
  </si>
  <si>
    <t>Phường Quảng Trị</t>
  </si>
  <si>
    <t>Xã A Dơi</t>
  </si>
  <si>
    <t>Xã ái Tử</t>
  </si>
  <si>
    <t>Xã Ba Lòng</t>
  </si>
  <si>
    <t>Xã Bắc Trạch</t>
  </si>
  <si>
    <t>Xã Bến Hải</t>
  </si>
  <si>
    <t>Xã Bến Quan</t>
  </si>
  <si>
    <t>Xã Bố Trạch</t>
  </si>
  <si>
    <t>Xã Cam Hồng</t>
  </si>
  <si>
    <t>Xã Cam Lộ</t>
  </si>
  <si>
    <t>Xã Cồn Tiên</t>
  </si>
  <si>
    <t>Xã Cửa Tùng</t>
  </si>
  <si>
    <t>Xã Cửa Việt</t>
  </si>
  <si>
    <t>Xã Đakrông</t>
  </si>
  <si>
    <t>Xã Dân Hóa</t>
  </si>
  <si>
    <t>Xã Diên Sanh</t>
  </si>
  <si>
    <t>Xã Đồng Lê</t>
  </si>
  <si>
    <t>Xã Đông Trạch</t>
  </si>
  <si>
    <t>Xã Gio Linh</t>
  </si>
  <si>
    <t>Xã Hải Lăng</t>
  </si>
  <si>
    <t>Xã Hiếu Giang</t>
  </si>
  <si>
    <t>Xã Hòa Trạch</t>
  </si>
  <si>
    <t>Xã Hoàn Lão</t>
  </si>
  <si>
    <t>Xã Hướng Hiệp</t>
  </si>
  <si>
    <t>Xã Hướng Lập</t>
  </si>
  <si>
    <t>Xã Hướng Phùng</t>
  </si>
  <si>
    <t>Xã Khe Sanh</t>
  </si>
  <si>
    <t>Xã Kim Điền</t>
  </si>
  <si>
    <t>Xã Kim Ngân</t>
  </si>
  <si>
    <t>Xã Kim Phú</t>
  </si>
  <si>
    <t>Xã La Lay</t>
  </si>
  <si>
    <t>Xã Lao Bảo</t>
  </si>
  <si>
    <t>Xã Lệ Ninh</t>
  </si>
  <si>
    <t>Xã Lệ Thủy</t>
  </si>
  <si>
    <t>Xã Lìa</t>
  </si>
  <si>
    <t>Xã Minh Hóa</t>
  </si>
  <si>
    <t>Xã Mỹ Thủy</t>
  </si>
  <si>
    <t>Xã Nam Ba Đồn</t>
  </si>
  <si>
    <t>Xã Nam Cửa Việt</t>
  </si>
  <si>
    <t>Xã Nam Gianh</t>
  </si>
  <si>
    <t>Xã Nam Hải Lăng</t>
  </si>
  <si>
    <t>Xã Nam Trạch</t>
  </si>
  <si>
    <t>Xã Ninh Châu</t>
  </si>
  <si>
    <t>Xã Phong Nha</t>
  </si>
  <si>
    <t>Xã Phú Trạch</t>
  </si>
  <si>
    <t>Xã Quảng Trạch</t>
  </si>
  <si>
    <t>Xã Sen Ngư</t>
  </si>
  <si>
    <t>Xã Tà Rụt</t>
  </si>
  <si>
    <t>Xã Tân Gianh</t>
  </si>
  <si>
    <t>Xã Tân Lập</t>
  </si>
  <si>
    <t>Xã Tân Thành (huyện Minh Hóa)</t>
  </si>
  <si>
    <t>Xã Thượng Trạch</t>
  </si>
  <si>
    <t>Xã Triệu Bình</t>
  </si>
  <si>
    <t>Xã Triệu Cơ</t>
  </si>
  <si>
    <t>Xã Triệu Phong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</si>
  <si>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</si>
  <si>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</si>
  <si>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</si>
  <si>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</si>
  <si>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</si>
  <si>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</si>
  <si>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</si>
  <si>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Tuyên Sơn</t>
  </si>
  <si>
    <t>Xã Vĩnh Định</t>
  </si>
  <si>
    <t>Xã Vĩnh Hoàng</t>
  </si>
  <si>
    <t>Xã Vĩnh Linh</t>
  </si>
  <si>
    <t>Xã Vĩnh Thủy</t>
  </si>
  <si>
    <t>Phường An Cựu</t>
  </si>
  <si>
    <t>Phường Hóa Châu</t>
  </si>
  <si>
    <t>Phường Hương An</t>
  </si>
  <si>
    <t>Phường Hương Thủy</t>
  </si>
  <si>
    <t>Phường Hương Trà</t>
  </si>
  <si>
    <t>Phường Kim Long</t>
  </si>
  <si>
    <t>Phường Kim Trà</t>
  </si>
  <si>
    <t>Phường Mỹ Thượng</t>
  </si>
  <si>
    <t>Phường Phong Điền</t>
  </si>
  <si>
    <t>Phường Phong Dinh</t>
  </si>
  <si>
    <t>Phường Phong Phú</t>
  </si>
  <si>
    <t>Phường Phong Quảng</t>
  </si>
  <si>
    <t>Phường Phong Thái</t>
  </si>
  <si>
    <t>Phường Phú Bài</t>
  </si>
  <si>
    <t>Phường Phú Xuân</t>
  </si>
  <si>
    <t>Phường Thanh Thủy</t>
  </si>
  <si>
    <t>Phường Thuận An</t>
  </si>
  <si>
    <t>Phường Thuận Hóa</t>
  </si>
  <si>
    <t>Phường Thủy Xuân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</si>
  <si>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</si>
  <si>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</si>
  <si>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</si>
  <si>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</si>
  <si>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</si>
  <si>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</si>
  <si>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</si>
  <si>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</si>
  <si>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Đan Điền</t>
  </si>
  <si>
    <t>Xã Hưng Lộc</t>
  </si>
  <si>
    <t>Xã Khe Tre</t>
  </si>
  <si>
    <t>Xã Lộc An</t>
  </si>
  <si>
    <t>Xã Long Quảng</t>
  </si>
  <si>
    <t>Xã Nam Đông</t>
  </si>
  <si>
    <t>Xã Phú Hồ</t>
  </si>
  <si>
    <t>Xã Phú Lộc</t>
  </si>
  <si>
    <t>Xã Phú Vang</t>
  </si>
  <si>
    <t>Xã Phú Vinh</t>
  </si>
  <si>
    <t>Xã Quảng Điền</t>
  </si>
  <si>
    <t>Xã Vinh Lộc</t>
  </si>
  <si>
    <t>Phường Dương Nỗ</t>
  </si>
  <si>
    <t>Đặc khu Hoàng Sa</t>
  </si>
  <si>
    <t>Phường An Khê</t>
  </si>
  <si>
    <t>Phường An Thắng</t>
  </si>
  <si>
    <t>Phường Bàn Thạch</t>
  </si>
  <si>
    <t>Phường Cẩm Lệ</t>
  </si>
  <si>
    <t>Phường Điện Bàn</t>
  </si>
  <si>
    <t>Phường Điện Bàn Bắc</t>
  </si>
  <si>
    <t>Phường Điện Bàn Đông</t>
  </si>
  <si>
    <t>Phường Hải Châu</t>
  </si>
  <si>
    <t>Phường Hải Vân</t>
  </si>
  <si>
    <t>Phường Hòa Cường</t>
  </si>
  <si>
    <t>Phường Hòa Khánh</t>
  </si>
  <si>
    <t>Phường Hòa Xuân</t>
  </si>
  <si>
    <t>Phường Hội An</t>
  </si>
  <si>
    <t>Phường Hội An Đông</t>
  </si>
  <si>
    <t>Phường Hội An Tây</t>
  </si>
  <si>
    <t>Phường Liên Chiểu</t>
  </si>
  <si>
    <t>Phường Ngũ Hành Sơn</t>
  </si>
  <si>
    <t>Phường Sơn Trà</t>
  </si>
  <si>
    <t>Phường Tam Kỳ</t>
  </si>
  <si>
    <t>Phường Thanh Khê</t>
  </si>
  <si>
    <t>Xã Avương</t>
  </si>
  <si>
    <t>Xã Bà Nà</t>
  </si>
  <si>
    <t>Xã Bến Giằng</t>
  </si>
  <si>
    <t>Xã Bến Hiên</t>
  </si>
  <si>
    <t>Xã Chiên Đàn</t>
  </si>
  <si>
    <t>Xã Đắc Pring</t>
  </si>
  <si>
    <t>Xã Đại Lộc</t>
  </si>
  <si>
    <t>Xã Điện Bàn Tây</t>
  </si>
  <si>
    <t>Xã Đồng Dương</t>
  </si>
  <si>
    <t>Xã Đông Giang</t>
  </si>
  <si>
    <t>Xã Đức Phú</t>
  </si>
  <si>
    <t>Xã Duy Nghĩa</t>
  </si>
  <si>
    <t>Xã Duy Xuyên</t>
  </si>
  <si>
    <t>Xã Gò Nổi</t>
  </si>
  <si>
    <t>Xã Hà Nha</t>
  </si>
  <si>
    <t>Xã Hiệp Đức</t>
  </si>
  <si>
    <t>Xã Hòa Tiến</t>
  </si>
  <si>
    <t>Xã Hòa Vang</t>
  </si>
  <si>
    <t>Xã Hùng Sơn</t>
  </si>
  <si>
    <t>Xã Khâm Đức</t>
  </si>
  <si>
    <t>Xã La Dêê</t>
  </si>
  <si>
    <t>Xã La Êê</t>
  </si>
  <si>
    <t>Xã Lãnh Ngọc</t>
  </si>
  <si>
    <t>Xã Nam Giang</t>
  </si>
  <si>
    <t>Xã Nam Phước</t>
  </si>
  <si>
    <t>Xã Nam Trà My</t>
  </si>
  <si>
    <t>Xã Nông Sơn</t>
  </si>
  <si>
    <t>Xã Núi Thành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</si>
  <si>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</si>
  <si>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</si>
  <si>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</si>
  <si>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</si>
  <si>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</si>
  <si>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</si>
  <si>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</si>
  <si>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</si>
  <si>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</si>
  <si>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</si>
  <si>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</si>
  <si>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Sông Kôn</t>
  </si>
  <si>
    <t>Xã Sông Vàng</t>
  </si>
  <si>
    <t>Xã Tam Anh</t>
  </si>
  <si>
    <t>Xã Tam Hải</t>
  </si>
  <si>
    <t>Xã Tam Mỹ</t>
  </si>
  <si>
    <t>Xã Tam Xuân</t>
  </si>
  <si>
    <t>Xã Tân Hiệp</t>
  </si>
  <si>
    <t>Xã Tây Giang</t>
  </si>
  <si>
    <t>Xã Tây Hồ</t>
  </si>
  <si>
    <t>Xã Thăng An</t>
  </si>
  <si>
    <t>Xã Thăng Điền</t>
  </si>
  <si>
    <t>Xã Thăng Phú</t>
  </si>
  <si>
    <t>Xã Thăng Trường</t>
  </si>
  <si>
    <t>Xã Thạnh Bình</t>
  </si>
  <si>
    <t>Xã Thạnh Mỹ</t>
  </si>
  <si>
    <t>Xã Thu Bồn</t>
  </si>
  <si>
    <t>Xã Tiên Phước</t>
  </si>
  <si>
    <t>Xã Trà Đốc</t>
  </si>
  <si>
    <t>Xã Trà Giáp</t>
  </si>
  <si>
    <t>Xã Trà Leng</t>
  </si>
  <si>
    <t>Xã Trà Liên</t>
  </si>
  <si>
    <t>Xã Trà Linh</t>
  </si>
  <si>
    <t>Xã Trà My</t>
  </si>
  <si>
    <t>Xã Trà Tân</t>
  </si>
  <si>
    <t>Xã Trà Tập</t>
  </si>
  <si>
    <t>Xã Trà Vân</t>
  </si>
  <si>
    <t>Xã Việt An</t>
  </si>
  <si>
    <t>Xã Vu Gia</t>
  </si>
  <si>
    <t>Xã Xuân Phú</t>
  </si>
  <si>
    <t>Đặc khu Lý Sơn</t>
  </si>
  <si>
    <t>Phường Cẩm Thành</t>
  </si>
  <si>
    <t>Phường Đăk Bla</t>
  </si>
  <si>
    <t>Phường Đăk Cấm</t>
  </si>
  <si>
    <t>Phường Đức Phổ</t>
  </si>
  <si>
    <t>Phường Kon Tum</t>
  </si>
  <si>
    <t>Phường Sa Huỳnh</t>
  </si>
  <si>
    <t>Phường Trà Câu</t>
  </si>
  <si>
    <t>Phường Trương Quang Trọng</t>
  </si>
  <si>
    <t>Xã Ba Dinh</t>
  </si>
  <si>
    <t>Xã Ba Động</t>
  </si>
  <si>
    <t>Xã Ba Gia</t>
  </si>
  <si>
    <t>Xã Ba Tô</t>
  </si>
  <si>
    <t>Xã Ba Tơ</t>
  </si>
  <si>
    <t>Xã Ba Vinh</t>
  </si>
  <si>
    <t>Xã Ba Xa</t>
  </si>
  <si>
    <t>Xã Bình Chương</t>
  </si>
  <si>
    <t>Xã Bờ Y</t>
  </si>
  <si>
    <t>Xã Cà Đam</t>
  </si>
  <si>
    <t>Xã Đăk Hà</t>
  </si>
  <si>
    <t>Xã Đăk Kôi</t>
  </si>
  <si>
    <t>Xã Đăk Long</t>
  </si>
  <si>
    <t>Xã Đăk Mar</t>
  </si>
  <si>
    <t>Xã Đăk Môn</t>
  </si>
  <si>
    <t>Xã Đăk Pék</t>
  </si>
  <si>
    <t>Xã Đăk Plô</t>
  </si>
  <si>
    <t>Xã Đăk Pxi</t>
  </si>
  <si>
    <t>Xã Đăk Rơ Wa</t>
  </si>
  <si>
    <t>Xã Đăk Rve</t>
  </si>
  <si>
    <t>Xã Đăk Sao</t>
  </si>
  <si>
    <t>Xã Đăk Tô</t>
  </si>
  <si>
    <t>Xã Đăk Tờ Kan</t>
  </si>
  <si>
    <t>Xã Đăk Ui</t>
  </si>
  <si>
    <t>Xã Đặng Thùy Trâm</t>
  </si>
  <si>
    <t>Xã Đình Cương</t>
  </si>
  <si>
    <t>Xã Đông Sơn</t>
  </si>
  <si>
    <t>Xã Đông Trà Bồng</t>
  </si>
  <si>
    <t>Xã Dục Nông</t>
  </si>
  <si>
    <t>Xã Ia Chim</t>
  </si>
  <si>
    <t>Xã Ia Đal</t>
  </si>
  <si>
    <t>Xã Ia Tơi</t>
  </si>
  <si>
    <t>Xã Khánh Cường</t>
  </si>
  <si>
    <t>Xã Kon Braih</t>
  </si>
  <si>
    <t>Xã Kon Đào</t>
  </si>
  <si>
    <t>Xã Kon Plông</t>
  </si>
  <si>
    <t>Xã Lân Phong</t>
  </si>
  <si>
    <t>Xã Long Phụng</t>
  </si>
  <si>
    <t>Xã Măng Bút</t>
  </si>
  <si>
    <t>Xã Măng Đen</t>
  </si>
  <si>
    <t>Xã Măng Ri</t>
  </si>
  <si>
    <t>Xã Minh Long</t>
  </si>
  <si>
    <t>Xã Mỏ Cày</t>
  </si>
  <si>
    <t>Xã Mộ Đức</t>
  </si>
  <si>
    <t>Xã Mô Rai</t>
  </si>
  <si>
    <t>Xã Nghĩa Giang</t>
  </si>
  <si>
    <t>Xã Ngọc Linh</t>
  </si>
  <si>
    <t>Xã Ngọc Tụ</t>
  </si>
  <si>
    <t>Xã Ngọk Bay</t>
  </si>
  <si>
    <t>Xã Ngọk Réo</t>
  </si>
  <si>
    <t>Xã Nguyễn Nghiêm</t>
  </si>
  <si>
    <t>Xã Phước Giang</t>
  </si>
  <si>
    <t>Xã Rờ Kơi</t>
  </si>
  <si>
    <t>Xã Sa Bình</t>
  </si>
  <si>
    <t>Xã Sa Loong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</si>
  <si>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</si>
  <si>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</si>
  <si>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</si>
  <si>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</si>
  <si>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</si>
  <si>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</si>
  <si>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</si>
  <si>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</si>
  <si>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Sơn Tịnh</t>
  </si>
  <si>
    <t>Xã Tây Trà</t>
  </si>
  <si>
    <t>Xã Tây Trà Bồng</t>
  </si>
  <si>
    <t>Xã Thanh Bồng</t>
  </si>
  <si>
    <t>Xã Thiện Tín</t>
  </si>
  <si>
    <t>Xã Thọ Phong</t>
  </si>
  <si>
    <t>Xã Tịnh Khê</t>
  </si>
  <si>
    <t>Xã Trà Bồng</t>
  </si>
  <si>
    <t>Xã Trường Giang</t>
  </si>
  <si>
    <t>Xã Tu Mơ Rông</t>
  </si>
  <si>
    <t>Xã Tư Nghĩa</t>
  </si>
  <si>
    <t>Xã Vạn Tường</t>
  </si>
  <si>
    <t>Xã Vệ Giang</t>
  </si>
  <si>
    <t>Xã Xốp</t>
  </si>
  <si>
    <t>Xã Ya Ly</t>
  </si>
  <si>
    <t>Đặc khu Trường Sa</t>
  </si>
  <si>
    <t>Phường Ba Ngòi</t>
  </si>
  <si>
    <t>Phường Bắc Cam Ranh</t>
  </si>
  <si>
    <t>Phường Bắc Nha Trang</t>
  </si>
  <si>
    <t>Phường Bảo An</t>
  </si>
  <si>
    <t>Phường Cam Linh</t>
  </si>
  <si>
    <t>Phường Cam Ranh</t>
  </si>
  <si>
    <t>Phường Đô Vinh</t>
  </si>
  <si>
    <t>Phường Đông Ninh Hòa</t>
  </si>
  <si>
    <t>Phường Hòa Thắng</t>
  </si>
  <si>
    <t>Phường Nam Nha Trang</t>
  </si>
  <si>
    <t>Phường Nha Trang</t>
  </si>
  <si>
    <t>Phường Ninh Chử</t>
  </si>
  <si>
    <t>Phường Ninh Hòa</t>
  </si>
  <si>
    <t>Phường Phan Rang</t>
  </si>
  <si>
    <t>Phường Tây Nha Trang</t>
  </si>
  <si>
    <t>Xã Anh Dũng</t>
  </si>
  <si>
    <t>Xã Bác ái</t>
  </si>
  <si>
    <t>Xã Bác ái Đông</t>
  </si>
  <si>
    <t>Xã Bác ái Tây</t>
  </si>
  <si>
    <t>Xã Bắc Khánh Vĩnh</t>
  </si>
  <si>
    <t>Xã Bắc Ninh Hòa</t>
  </si>
  <si>
    <t>Xã Cà Ná</t>
  </si>
  <si>
    <t>Xã Cam An</t>
  </si>
  <si>
    <t>Xã Cam Hiệp</t>
  </si>
  <si>
    <t>Xã Cam Lâm</t>
  </si>
  <si>
    <t>Xã Công Hải</t>
  </si>
  <si>
    <t>Xã Đại Lãnh</t>
  </si>
  <si>
    <t>Xã Diên Điền</t>
  </si>
  <si>
    <t>Xã Diên Khánh</t>
  </si>
  <si>
    <t>Xã Diên Lạc</t>
  </si>
  <si>
    <t>Xã Diên Lâm</t>
  </si>
  <si>
    <t>Xã Diên Thọ</t>
  </si>
  <si>
    <t>Xã Đông Khánh Sơn</t>
  </si>
  <si>
    <t>Xã Hòa Trí</t>
  </si>
  <si>
    <t>Xã Khánh Sơn</t>
  </si>
  <si>
    <t>Xã Khánh Vĩnh</t>
  </si>
  <si>
    <t>Xã Lâm Sơn</t>
  </si>
  <si>
    <t>Xã Mỹ Sơn</t>
  </si>
  <si>
    <t>Xã Nam Cam Ranh</t>
  </si>
  <si>
    <t>Xã Nam Khánh Vĩnh</t>
  </si>
  <si>
    <t>Xã Nam Ninh Hòa</t>
  </si>
  <si>
    <t>Xã Ninh Hải</t>
  </si>
  <si>
    <t>Xã Ninh Phước</t>
  </si>
  <si>
    <t>Xã Ninh Sơn</t>
  </si>
  <si>
    <t>Xã Phước Dinh</t>
  </si>
  <si>
    <t>Xã Phước Hà</t>
  </si>
  <si>
    <t>Xã Phước Hậu</t>
  </si>
  <si>
    <t>Xã Phước Hữu</t>
  </si>
  <si>
    <t>Xã Suối Dầu</t>
  </si>
  <si>
    <t>Xã Suối Hiệp</t>
  </si>
  <si>
    <t>Xã Tân Định</t>
  </si>
  <si>
    <t>Xã Tây Khánh Sơn</t>
  </si>
  <si>
    <t>Xã Tây Khánh Vĩnh</t>
  </si>
  <si>
    <t>Xã Tây Ninh Hòa</t>
  </si>
  <si>
    <t>Xã Thuận Bắc</t>
  </si>
  <si>
    <t>Xã Thuận Nam</t>
  </si>
  <si>
    <t>Xã Trung Khánh Vĩnh</t>
  </si>
  <si>
    <t>Xã Tu Bông</t>
  </si>
  <si>
    <t>Xã Vạn Hưng</t>
  </si>
  <si>
    <t>Xã Vạn Ninh</t>
  </si>
  <si>
    <t>Xã Xuân Hải</t>
  </si>
  <si>
    <t>Phường An Bình</t>
  </si>
  <si>
    <t>Phường An Nhơn</t>
  </si>
  <si>
    <t>Phường An Nhơn Bắc</t>
  </si>
  <si>
    <t>Phường An Nhơn Đông</t>
  </si>
  <si>
    <t>Phường An Nhơn Nam</t>
  </si>
  <si>
    <t>Phường An Phú</t>
  </si>
  <si>
    <t>Phường Ayun Pa</t>
  </si>
  <si>
    <t>Phường Bình Định</t>
  </si>
  <si>
    <t>Phường Bồng Sơn</t>
  </si>
  <si>
    <t>Phường Diên Hồng</t>
  </si>
  <si>
    <t>Phường Hoài Nhơn</t>
  </si>
  <si>
    <t>Phường Hoài Nhơn Bắc</t>
  </si>
  <si>
    <t>Phường Hoài Nhơn Đông</t>
  </si>
  <si>
    <t>Phường Hoài Nhơn Nam</t>
  </si>
  <si>
    <t>Phường Hoài Nhơn Tây</t>
  </si>
  <si>
    <t>Phường Hội Phú</t>
  </si>
  <si>
    <t>Phường Pleiku</t>
  </si>
  <si>
    <t>Phường Quy Nhơn</t>
  </si>
  <si>
    <t>Phường Quy Nhơn Bắc</t>
  </si>
  <si>
    <t>Phường Quy Nhơn Đông</t>
  </si>
  <si>
    <t>Phường Quy Nhơn Nam</t>
  </si>
  <si>
    <t>Phường Quy Nhơn Tây</t>
  </si>
  <si>
    <t>Phường Tam Quan</t>
  </si>
  <si>
    <t>Xã Al Bá</t>
  </si>
  <si>
    <t>Xã Ân Hảo</t>
  </si>
  <si>
    <t>Xã An Hòa</t>
  </si>
  <si>
    <t>Xã An Lương</t>
  </si>
  <si>
    <t>Xã An Nhơn Tây</t>
  </si>
  <si>
    <t>Xã An Toàn</t>
  </si>
  <si>
    <t>Xã Ân Tường</t>
  </si>
  <si>
    <t>Xã An Vinh</t>
  </si>
  <si>
    <t>Xã Ayun</t>
  </si>
  <si>
    <t>Xã Bàu Cạn</t>
  </si>
  <si>
    <t>Xã Biển Hồ</t>
  </si>
  <si>
    <t>Xã Bình Dương</t>
  </si>
  <si>
    <t>Xã Bình Hiệp</t>
  </si>
  <si>
    <t>Xã Bình Khê</t>
  </si>
  <si>
    <t>Xã Bờ Ngoong</t>
  </si>
  <si>
    <t>Xã Canh Liên</t>
  </si>
  <si>
    <t>Xã Canh Vinh</t>
  </si>
  <si>
    <t>Xã Cát Tiến</t>
  </si>
  <si>
    <t>Xã Chơ Long</t>
  </si>
  <si>
    <t>Xã Chư A Thai</t>
  </si>
  <si>
    <t>Xã Chư Păh</t>
  </si>
  <si>
    <t>Xã Chư Prông</t>
  </si>
  <si>
    <t>Xã Chư Pưh</t>
  </si>
  <si>
    <t>Xã Chư Sê</t>
  </si>
  <si>
    <t>Xã Chur Krey</t>
  </si>
  <si>
    <t>Xã Cửu An</t>
  </si>
  <si>
    <t>Xã Đak Đoa</t>
  </si>
  <si>
    <t>Xã Đak Pơ</t>
  </si>
  <si>
    <t>Xã Đak Rong</t>
  </si>
  <si>
    <t>Xã Đak Sơmei</t>
  </si>
  <si>
    <t>Xã Đăk Song</t>
  </si>
  <si>
    <t>Xã Đề Gi</t>
  </si>
  <si>
    <t>Xã Đức Cơ</t>
  </si>
  <si>
    <t>Xã Gào</t>
  </si>
  <si>
    <t>Xã Hòa Hội</t>
  </si>
  <si>
    <t>Xã Hoài Ân</t>
  </si>
  <si>
    <t>Xã Hội Sơn</t>
  </si>
  <si>
    <t>Xã Hra</t>
  </si>
  <si>
    <t>Xã Ia Băng</t>
  </si>
  <si>
    <t>Xã Ia Boòng</t>
  </si>
  <si>
    <t>Xã Ia Chia</t>
  </si>
  <si>
    <t>Xã Ia Dơk</t>
  </si>
  <si>
    <t>Xã Ia Dom</t>
  </si>
  <si>
    <t>Xã Ia Dreh</t>
  </si>
  <si>
    <t>Xã Ia Grai</t>
  </si>
  <si>
    <t>Xã Ia Hiao</t>
  </si>
  <si>
    <t>Xã Ia Hrú</t>
  </si>
  <si>
    <t>Xã Ia Hrung</t>
  </si>
  <si>
    <t>Xã Ia Khươl</t>
  </si>
  <si>
    <t>Xã Ia Ko</t>
  </si>
  <si>
    <t>Xã Ia Krái</t>
  </si>
  <si>
    <t>Xã Ia Krêl</t>
  </si>
  <si>
    <t>Xã Ia Lâu</t>
  </si>
  <si>
    <t>Xã Ia Le</t>
  </si>
  <si>
    <t>Xã Ia Ly</t>
  </si>
  <si>
    <t>Xã Ia Mo</t>
  </si>
  <si>
    <t>Xã Ia Nh</t>
  </si>
  <si>
    <t>Xã Ia O</t>
  </si>
  <si>
    <t>Xã Ia Pa</t>
  </si>
  <si>
    <t>Xã Ia Phí</t>
  </si>
  <si>
    <t>Xã Ia Phôn</t>
  </si>
  <si>
    <t>Xã Ia Pia</t>
  </si>
  <si>
    <t>Xã Ia Púch</t>
  </si>
  <si>
    <t>Xã Ia Rbol</t>
  </si>
  <si>
    <t>Xã Ia Rsai</t>
  </si>
  <si>
    <t>Xã Ia Sao</t>
  </si>
  <si>
    <t>Xã Ia Tôr</t>
  </si>
  <si>
    <t>Xã Ia Tul</t>
  </si>
  <si>
    <t>Xã Kbang</t>
  </si>
  <si>
    <t>Xã KDang</t>
  </si>
  <si>
    <t>Xã Kon Chiêng</t>
  </si>
  <si>
    <t>Xã Kon Gang</t>
  </si>
  <si>
    <t>Xã Kông Bơ La</t>
  </si>
  <si>
    <t>Xã Kông Chro</t>
  </si>
  <si>
    <t>Xã Krong</t>
  </si>
  <si>
    <t>Xã Lơ Pang</t>
  </si>
  <si>
    <t>Xã Mang Yang</t>
  </si>
  <si>
    <t>Xã Ngô Mây</t>
  </si>
  <si>
    <t>Xã Nhơn Châu</t>
  </si>
  <si>
    <t>Xã Phù Cát</t>
  </si>
  <si>
    <t>Xã Phù Mỹ</t>
  </si>
  <si>
    <t>Xã Phù Mỹ Bắc</t>
  </si>
  <si>
    <t>Xã Phù Mỹ Đông</t>
  </si>
  <si>
    <t>Xã Phù Mỹ Nam</t>
  </si>
  <si>
    <t>Xã Phù Mỹ Tây</t>
  </si>
  <si>
    <t>Xã Phú Thiện</t>
  </si>
  <si>
    <t>Xã Phú Túc</t>
  </si>
  <si>
    <t>Xã Pờ Tó</t>
  </si>
  <si>
    <t>Xã Son Lang</t>
  </si>
  <si>
    <t>Xã SRó</t>
  </si>
  <si>
    <t>Xã Tây Sơn</t>
  </si>
  <si>
    <t>Xã Tơ Tung</t>
  </si>
  <si>
    <t>Xã Tuy Phước</t>
  </si>
  <si>
    <t>Xã Tuy Phước Bắc</t>
  </si>
  <si>
    <t>Xã Tuy Phước Đông</t>
  </si>
  <si>
    <t>Xã Tuy Phước Tây</t>
  </si>
  <si>
    <t>Xã Uar</t>
  </si>
  <si>
    <t>Xã Vân Canh</t>
  </si>
  <si>
    <t>Xã Vạn Đức</t>
  </si>
  <si>
    <t>Xã Vĩnh Quang</t>
  </si>
  <si>
    <t>Xã Vĩnh Sơn</t>
  </si>
  <si>
    <t>Xã Xuân An</t>
  </si>
  <si>
    <t>Xã Ya Hội</t>
  </si>
  <si>
    <t>Xã Ya Ma</t>
  </si>
  <si>
    <t>Đặc khu Côn Đảo</t>
  </si>
  <si>
    <t>Phường An Đông</t>
  </si>
  <si>
    <t>Phường An Hội Đông</t>
  </si>
  <si>
    <t>Phường An Hội Tây</t>
  </si>
  <si>
    <t>Phường An Khánh</t>
  </si>
  <si>
    <t>Phường An Lạc</t>
  </si>
  <si>
    <t>Phường An Phú Đông</t>
  </si>
  <si>
    <t>Phường Bà Rịa</t>
  </si>
  <si>
    <t>Phường Bàn Cờ</t>
  </si>
  <si>
    <t>Phường Bảy Hiền</t>
  </si>
  <si>
    <t>Phường Bến Cát</t>
  </si>
  <si>
    <t>Phường Bến Thành</t>
  </si>
  <si>
    <t>Phường Bình Cơ</t>
  </si>
  <si>
    <t>Phường Bình Đông</t>
  </si>
  <si>
    <t>Phường Bình Dương</t>
  </si>
  <si>
    <t>Phường Bình Hòa</t>
  </si>
  <si>
    <t>Phường Bình Hưng Hòa</t>
  </si>
  <si>
    <t>Phường Bình Lợi Trung</t>
  </si>
  <si>
    <t>Phường Bình Phú</t>
  </si>
  <si>
    <t>Phường Bình Quới</t>
  </si>
  <si>
    <t>Phường Bình Tân</t>
  </si>
  <si>
    <t>Phường Bình Tây</t>
  </si>
  <si>
    <t>Phường Bình Thạnh</t>
  </si>
  <si>
    <t>Phường Bình Thới</t>
  </si>
  <si>
    <t>Phường Bình Tiên</t>
  </si>
  <si>
    <t>Phường Bình Trị Đông</t>
  </si>
  <si>
    <t>Phường Bình Trưng</t>
  </si>
  <si>
    <t>Phường Cát Lái</t>
  </si>
  <si>
    <t>Phường Cầu Kiệu</t>
  </si>
  <si>
    <t>Phường Cầu Ông Lãnh</t>
  </si>
  <si>
    <t>Phường Chánh Hiệp</t>
  </si>
  <si>
    <t>Phường Chánh Hưng</t>
  </si>
  <si>
    <t>Phường Chánh Phú Hòa</t>
  </si>
  <si>
    <t>Phường Chợ Lớn</t>
  </si>
  <si>
    <t>Phường Chợ Quán</t>
  </si>
  <si>
    <t>Phường Dĩ An</t>
  </si>
  <si>
    <t>Phường Đông Hòa</t>
  </si>
  <si>
    <t>Phường Đông Hưng Thuận</t>
  </si>
  <si>
    <t>Phường Đức Nhuận</t>
  </si>
  <si>
    <t>Phường Gia Định</t>
  </si>
  <si>
    <t>Phường Gò Vấp</t>
  </si>
  <si>
    <t>Phường Hạnh Thông</t>
  </si>
  <si>
    <t>Phường Hiệp Bình</t>
  </si>
  <si>
    <t>Phường Hòa Hưng</t>
  </si>
  <si>
    <t>Phường Hòa Lợi</t>
  </si>
  <si>
    <t>Phường Khánh Hội</t>
  </si>
  <si>
    <t>Phường Lái Thiêu</t>
  </si>
  <si>
    <t>Phường Linh Xuân</t>
  </si>
  <si>
    <t>Phường Long Bình</t>
  </si>
  <si>
    <t>Phường Long Hương</t>
  </si>
  <si>
    <t>Phường Long Nguyên</t>
  </si>
  <si>
    <t>Phường Long Phước</t>
  </si>
  <si>
    <t>Phường Long Trường</t>
  </si>
  <si>
    <t>Phường Minh Phụng</t>
  </si>
  <si>
    <t>Phường Nhiêu Lộc</t>
  </si>
  <si>
    <t>Phường Phú An</t>
  </si>
  <si>
    <t>Phường Phú Định</t>
  </si>
  <si>
    <t>Phường Phú Lâm</t>
  </si>
  <si>
    <t>Phường Phú Lợi</t>
  </si>
  <si>
    <t>Phường Phú Mỹ</t>
  </si>
  <si>
    <t>Phường Phú Nhuận</t>
  </si>
  <si>
    <t>Phường Phú Thạnh</t>
  </si>
  <si>
    <t>Phường Phú Thọ Hòa</t>
  </si>
  <si>
    <t>Phường Phú Thuận</t>
  </si>
  <si>
    <t>Phường Phước Long</t>
  </si>
  <si>
    <t>Phường Phước Thắng</t>
  </si>
  <si>
    <t>Phường Rạch Dừa</t>
  </si>
  <si>
    <t>Phường Sài Gòn</t>
  </si>
  <si>
    <t>Phường Tam Bình</t>
  </si>
  <si>
    <t>Phường Tam Long</t>
  </si>
  <si>
    <t>Phường Tam Thắng</t>
  </si>
  <si>
    <t>Phường Tân Bình</t>
  </si>
  <si>
    <t>Phường Tân Định</t>
  </si>
  <si>
    <t>Phường Tân Đông Hiệp</t>
  </si>
  <si>
    <t>Phường Tân Hải</t>
  </si>
  <si>
    <t>Phường Tân Hiệp</t>
  </si>
  <si>
    <t>Phường Tân Khánh</t>
  </si>
  <si>
    <t>Phường Tân Mỹ</t>
  </si>
  <si>
    <t>Phường Tân Phú</t>
  </si>
  <si>
    <t>Phường Tân Phước</t>
  </si>
  <si>
    <t>Phường Tân Sơn</t>
  </si>
  <si>
    <t>Phường Tân Sơn Hòa</t>
  </si>
  <si>
    <t>Phường Tân Sơn Nhất</t>
  </si>
  <si>
    <t>Phường Tân Sơn Nhì</t>
  </si>
  <si>
    <t>Phường Tân Tạo</t>
  </si>
  <si>
    <t>Phường Tân Thành</t>
  </si>
  <si>
    <t>Phường Tân Thới Hiệp</t>
  </si>
  <si>
    <t>Phường Tân Thuận</t>
  </si>
  <si>
    <t>Phường Tân Uyên</t>
  </si>
  <si>
    <t>Phường Tăng Nhơn Phú</t>
  </si>
  <si>
    <t>Phường Tây Nam</t>
  </si>
  <si>
    <t>Phường Tây Thạnh</t>
  </si>
  <si>
    <t>Phường Thạnh Mỹ Tây</t>
  </si>
  <si>
    <t>Phường Thới An</t>
  </si>
  <si>
    <t>Phường Thới Hòa</t>
  </si>
  <si>
    <t>Phường Thông Tây Hội</t>
  </si>
  <si>
    <t>Phường Thủ Dầu Một</t>
  </si>
  <si>
    <t>Phường Thủ Đức</t>
  </si>
  <si>
    <t>Phường Thuận Giao</t>
  </si>
  <si>
    <t>Phường Trung Mỹ Tây</t>
  </si>
  <si>
    <t>Phường Vĩnh Hội</t>
  </si>
  <si>
    <t>Phường Vĩnh Tân</t>
  </si>
  <si>
    <t>Phường Vũng Tàu</t>
  </si>
  <si>
    <t>Phường Vườn Lài</t>
  </si>
  <si>
    <t>Phường Xóm Chiếu</t>
  </si>
  <si>
    <t>Xã An Long</t>
  </si>
  <si>
    <t>Xã An Thới Đông</t>
  </si>
  <si>
    <t>Xã Bà Điểm</t>
  </si>
  <si>
    <t>Xã Bắc Tân Uyên</t>
  </si>
  <si>
    <t>Xã Bàu Bàng</t>
  </si>
  <si>
    <t>Xã Bàu Lâm</t>
  </si>
  <si>
    <t>Xã Bình Chánh</t>
  </si>
  <si>
    <t>Xã Bình Châu</t>
  </si>
  <si>
    <t>Xã Bình Giã</t>
  </si>
  <si>
    <t>Xã Bình Hưng</t>
  </si>
  <si>
    <t>Xã Bình Khánh</t>
  </si>
  <si>
    <t>Xã Bình Lợi</t>
  </si>
  <si>
    <t>Xã Cần Giờ</t>
  </si>
  <si>
    <t>Xã Châu Đức</t>
  </si>
  <si>
    <t>Xã Châu Pha</t>
  </si>
  <si>
    <t>Xã Củ Chi</t>
  </si>
  <si>
    <t>Xã Đất Đỏ</t>
  </si>
  <si>
    <t>Xã Dầu Tiếng</t>
  </si>
  <si>
    <t>Xã Đông Thạnh</t>
  </si>
  <si>
    <t>Xã Hiệp Phước</t>
  </si>
  <si>
    <t>Xã Hồ Tràm</t>
  </si>
  <si>
    <t>Xã Hòa Hiệp</t>
  </si>
  <si>
    <t>Xã Hóc Môn</t>
  </si>
  <si>
    <t>Xã Hưng Long</t>
  </si>
  <si>
    <t>Xã Kim Long</t>
  </si>
  <si>
    <t>Xã Long Điền</t>
  </si>
  <si>
    <t>Xã Long Hải</t>
  </si>
  <si>
    <t>Xã Long Hòa</t>
  </si>
  <si>
    <t>Xã Long Sơn</t>
  </si>
  <si>
    <t>Xã Minh Thạnh</t>
  </si>
  <si>
    <t>Xã Ngãi Giao</t>
  </si>
  <si>
    <t>Xã Nghĩa Thành</t>
  </si>
  <si>
    <t>Xã Nhà Bè</t>
  </si>
  <si>
    <t>Xã Nhuận Đức</t>
  </si>
  <si>
    <t>Xã Phú Giáo</t>
  </si>
  <si>
    <t>Xã Phú Hòa Đông</t>
  </si>
  <si>
    <t>Xã Phước Hải</t>
  </si>
  <si>
    <t>Xã Phước Hòa</t>
  </si>
  <si>
    <t>Xã Tân An Hội</t>
  </si>
  <si>
    <t>Xã Tân Nhựt</t>
  </si>
  <si>
    <t>Xã Tân Vĩnh Lộc</t>
  </si>
  <si>
    <t>Xã Thái Mỹ</t>
  </si>
  <si>
    <t>Xã Thạnh An</t>
  </si>
  <si>
    <t>Xã Thường Tân</t>
  </si>
  <si>
    <t>Xã Trừ Văn Thố</t>
  </si>
  <si>
    <t>Xã Xuân Sơn</t>
  </si>
  <si>
    <t>Xã Xuân Thới Sơn</t>
  </si>
  <si>
    <t>Xã Xuyên Mộc</t>
  </si>
  <si>
    <t>Phường Bình Kiến</t>
  </si>
  <si>
    <t>Phường Buôn Hồ</t>
  </si>
  <si>
    <t>Phường Buôn Ma Thuột</t>
  </si>
  <si>
    <t>Phường Cư Bao</t>
  </si>
  <si>
    <t>Phường Ea Kao</t>
  </si>
  <si>
    <t>Phường Hòa Hiệp</t>
  </si>
  <si>
    <t>Phường Phú Yên</t>
  </si>
  <si>
    <t>Phường Sông Cầu</t>
  </si>
  <si>
    <t>Phường Tân Lập</t>
  </si>
  <si>
    <t>Phường Thành Nhất</t>
  </si>
  <si>
    <t>Phường Tuy Hòa</t>
  </si>
  <si>
    <t>Phường Xuân Đài</t>
  </si>
  <si>
    <t>Xã Buôn Đôn</t>
  </si>
  <si>
    <t>Xã Cư M�gar</t>
  </si>
  <si>
    <t>Xã Cư M�ta</t>
  </si>
  <si>
    <t>Xã Cư Pơng</t>
  </si>
  <si>
    <t>Xã Cư Prao</t>
  </si>
  <si>
    <t>Xã Cư Pui</t>
  </si>
  <si>
    <t>Xã Cư Yang</t>
  </si>
  <si>
    <t>Xã Cuôr Đăng</t>
  </si>
  <si>
    <t>Xã Đắk Liêng</t>
  </si>
  <si>
    <t>Xã Đắk Phơi</t>
  </si>
  <si>
    <t>Xã Dang Kang</t>
  </si>
  <si>
    <t>Xã Dliê Ya</t>
  </si>
  <si>
    <t>Xã Đồng Xuân</t>
  </si>
  <si>
    <t>Xã Dray Bhăng</t>
  </si>
  <si>
    <t>Xã Đức Bình</t>
  </si>
  <si>
    <t>Xã Dur Kmăl</t>
  </si>
  <si>
    <t>Xã Ea Bá</t>
  </si>
  <si>
    <t>Xã Ea Bung</t>
  </si>
  <si>
    <t>Xã Ea Drăng</t>
  </si>
  <si>
    <t>Xã Ea Drông</t>
  </si>
  <si>
    <t>xã Ea H�Leo</t>
  </si>
  <si>
    <t>Xã Ea Hiao</t>
  </si>
  <si>
    <t>Xã Ea Kar</t>
  </si>
  <si>
    <t>Xã Ea Khăl</t>
  </si>
  <si>
    <t>Xã Ea Kiết</t>
  </si>
  <si>
    <t>Xã Ea Kly</t>
  </si>
  <si>
    <t>Xã Ea Knốp</t>
  </si>
  <si>
    <t>Xã Ea Knuếc</t>
  </si>
  <si>
    <t>Xã Ea Ktur</t>
  </si>
  <si>
    <t>Xã Ea Ly</t>
  </si>
  <si>
    <t>Xã Ea M�Droh</t>
  </si>
  <si>
    <t>Xã Ea Na</t>
  </si>
  <si>
    <t>Xã Ea Ning</t>
  </si>
  <si>
    <t>Xã Ea Nuôl</t>
  </si>
  <si>
    <t>Xã Ea Ô</t>
  </si>
  <si>
    <t>Xã Ea Păl</t>
  </si>
  <si>
    <t>Xã Ea Phê</t>
  </si>
  <si>
    <t>Xã Ea Riêng</t>
  </si>
  <si>
    <t>Xã Ea Rốk</t>
  </si>
  <si>
    <t>Xã Ea Súp</t>
  </si>
  <si>
    <t>Xã Ea Tul</t>
  </si>
  <si>
    <t>Xã Ea Wer</t>
  </si>
  <si>
    <t>Xã Ea Wy</t>
  </si>
  <si>
    <t>Xã Hòa Mỹ</t>
  </si>
  <si>
    <t>Xã Hòa Sơn</t>
  </si>
  <si>
    <t>Xã Hòa Thịnh</t>
  </si>
  <si>
    <t>Xã Hòa Xuân</t>
  </si>
  <si>
    <t>Xã Krông á</t>
  </si>
  <si>
    <t>Xã Krông Ana</t>
  </si>
  <si>
    <t>Xã Krông Bông</t>
  </si>
  <si>
    <t>Xã Krông Búk</t>
  </si>
  <si>
    <t>Xã Krông Năng</t>
  </si>
  <si>
    <t>Xã Krông Pắc</t>
  </si>
  <si>
    <t>Xã Liên Sơn Lắk</t>
  </si>
  <si>
    <t>Xã M�Drắk</t>
  </si>
  <si>
    <t>Xã Nam Ka</t>
  </si>
  <si>
    <t>Xã Ô Loan</t>
  </si>
  <si>
    <t>Xã Phú Hòa 1</t>
  </si>
  <si>
    <t>Xã Phú Hòa 2</t>
  </si>
  <si>
    <t>Xã Phú Mỡ</t>
  </si>
  <si>
    <t>Xã Phú Xuân</t>
  </si>
  <si>
    <t>Xã Pơng Drang</t>
  </si>
  <si>
    <t>Xã Quảng Phú</t>
  </si>
  <si>
    <t>Xã Sơn Hòa</t>
  </si>
  <si>
    <t>Xã Sơn Thành</t>
  </si>
  <si>
    <t>Xã Sông Hinh</t>
  </si>
  <si>
    <t>Xã Suối Trai</t>
  </si>
  <si>
    <t>Xã Tây Hòa</t>
  </si>
  <si>
    <t>Xã Tuy An Bắc</t>
  </si>
  <si>
    <t>Xã Tuy An Đông</t>
  </si>
  <si>
    <t>Xã Tuy An Nam</t>
  </si>
  <si>
    <t>Xã Tuy An Tây</t>
  </si>
  <si>
    <t>Xã Vân Hòa</t>
  </si>
  <si>
    <t>Xã Xuân Cảnh</t>
  </si>
  <si>
    <t>Xã Xuân Lãnh</t>
  </si>
  <si>
    <t>Xã Xuân Phước</t>
  </si>
  <si>
    <t>Xã Xuân Thọ</t>
  </si>
  <si>
    <t>Xã Yang Mao</t>
  </si>
  <si>
    <t>XãEa Trang</t>
  </si>
  <si>
    <t>XãIa Lốp</t>
  </si>
  <si>
    <t>XãIa Rvê</t>
  </si>
  <si>
    <t>XãKrông Nô</t>
  </si>
  <si>
    <t>XãVụ Bổn</t>
  </si>
  <si>
    <t>Đặc khu Phú Quý</t>
  </si>
  <si>
    <t>Phường 1 Bảo Lộc</t>
  </si>
  <si>
    <t>Phường 2 Bảo Lộc</t>
  </si>
  <si>
    <t>Phường 3 Bảo Lộc</t>
  </si>
  <si>
    <t>Phường B�Lao</t>
  </si>
  <si>
    <t>Phường Bắc Gia Nghĩa</t>
  </si>
  <si>
    <t>Phường Cam Ly - Đà Lạt</t>
  </si>
  <si>
    <t>Phường Đông Gia Nghĩa</t>
  </si>
  <si>
    <t>Phường Hàm Thắng</t>
  </si>
  <si>
    <t>Phường La Gi</t>
  </si>
  <si>
    <t>Phường Lâm Viên - Đà Lạt</t>
  </si>
  <si>
    <t>Phường Lang Biang - Đà Lạt</t>
  </si>
  <si>
    <t>Phường Mũi Né</t>
  </si>
  <si>
    <t>Phường Nam Gia Nghĩa</t>
  </si>
  <si>
    <t>Phường Phan Thiết</t>
  </si>
  <si>
    <t>Phường Phú Thủy</t>
  </si>
  <si>
    <t>Phường Phước Hội</t>
  </si>
  <si>
    <t>Phường Tiến Thành</t>
  </si>
  <si>
    <t>Phường Xuân Hương - Đà Lạt</t>
  </si>
  <si>
    <t>Phường Xuân Trường - Đà Lạt</t>
  </si>
  <si>
    <t>Xã Bắc Bình</t>
  </si>
  <si>
    <t>Xã Bắc Ruộng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</si>
  <si>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</si>
  <si>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</si>
  <si>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</si>
  <si>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</si>
  <si>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</si>
  <si>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</si>
  <si>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</si>
  <si>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</si>
  <si>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</si>
  <si>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</si>
  <si>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D�Ran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</si>
  <si>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</si>
  <si>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</si>
  <si>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</si>
  <si>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</si>
  <si>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</si>
  <si>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</si>
  <si>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</si>
  <si>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Sắk</t>
  </si>
  <si>
    <t>Xã Đắk Song</t>
  </si>
  <si>
    <t>Xã Đắk Wil</t>
  </si>
  <si>
    <t>Xã Đam Rông 1</t>
  </si>
  <si>
    <t>Xã Đam Rông 2</t>
  </si>
  <si>
    <t>Xã Đam Rông 3</t>
  </si>
  <si>
    <t>Xã Đam Rông 4</t>
  </si>
  <si>
    <t>Xã Di Linh</t>
  </si>
  <si>
    <t>Xã Đinh Trang Thượng</t>
  </si>
  <si>
    <t>Xã Đinh Văn Lâm Hà</t>
  </si>
  <si>
    <t>Xã Đơn Dương</t>
  </si>
  <si>
    <t>Xã Đồng Kho</t>
  </si>
  <si>
    <t>Xã Đức An</t>
  </si>
  <si>
    <t>Xã Đức Lập</t>
  </si>
  <si>
    <t>Xã Đức Linh</t>
  </si>
  <si>
    <t>Xã Đức Trọng</t>
  </si>
  <si>
    <t>Xã Gia Hiệp</t>
  </si>
  <si>
    <t>Xã Hàm Kiệm</t>
  </si>
  <si>
    <t>Xã Hàm Liêm</t>
  </si>
  <si>
    <t>Xã Hàm Tân</t>
  </si>
  <si>
    <t>Xã Hàm Thạnh</t>
  </si>
  <si>
    <t>Xã Hàm Thuận</t>
  </si>
  <si>
    <t>Xã Hàm Thuận Bắc</t>
  </si>
  <si>
    <t>Xã Hàm Thuận Nam</t>
  </si>
  <si>
    <t>Xã Hiệp Thạnh</t>
  </si>
  <si>
    <t>Xã Hòa Bắc</t>
  </si>
  <si>
    <t>Xã Hòa Ninh</t>
  </si>
  <si>
    <t>Xã Hòa Thắng</t>
  </si>
  <si>
    <t>Xã Ka Đô</t>
  </si>
  <si>
    <t>Xã Kiến Đức</t>
  </si>
  <si>
    <t>Xã Krông Nô</t>
  </si>
  <si>
    <t>Xã La Dạ</t>
  </si>
  <si>
    <t>Xã Lạc Dương</t>
  </si>
  <si>
    <t>Xã Liên Hương</t>
  </si>
  <si>
    <t>Xã Nam Ban Lâm Hà</t>
  </si>
  <si>
    <t>Xã Nam Đà</t>
  </si>
  <si>
    <t>Xã Nam Dong</t>
  </si>
  <si>
    <t>Xã Nam Hà Lâm Hà</t>
  </si>
  <si>
    <t>Xã Nâm Nung</t>
  </si>
  <si>
    <t>Xã Nam Thành</t>
  </si>
  <si>
    <t>Xã Nghị Đức</t>
  </si>
  <si>
    <t>Xã Nhân Cơ</t>
  </si>
  <si>
    <t>Xã Ninh Gia</t>
  </si>
  <si>
    <t>Xã Phan Rí Cửa</t>
  </si>
  <si>
    <t>Xã Phan Sơn</t>
  </si>
  <si>
    <t>Xã Phú Sơn Lâm Hà</t>
  </si>
  <si>
    <t>Xã Phúc Thọ Lâm Hà</t>
  </si>
  <si>
    <t>xã Quảng Hòa</t>
  </si>
  <si>
    <t>Xã Quảng Khê</t>
  </si>
  <si>
    <t>Xã Quảng Lập</t>
  </si>
  <si>
    <t>Xã Quảng Sơn</t>
  </si>
  <si>
    <t>Xã Quảng Tín</t>
  </si>
  <si>
    <t>Xã Quảng Trực</t>
  </si>
  <si>
    <t>Xã Sơn Điền</t>
  </si>
  <si>
    <t>Xã Sơn Mỹ</t>
  </si>
  <si>
    <t>Xã Sông Lũy</t>
  </si>
  <si>
    <t>Xã Suối Kiết</t>
  </si>
  <si>
    <t>Xã Tà Đùng</t>
  </si>
  <si>
    <t>Xã Tà Hine</t>
  </si>
  <si>
    <t>Xã Tà Năng</t>
  </si>
  <si>
    <t>Xã Tân Hà Lâm Hà</t>
  </si>
  <si>
    <t>Xã Tân Hải</t>
  </si>
  <si>
    <t>Xã Tân Hội</t>
  </si>
  <si>
    <t>Xã Tánh Linh</t>
  </si>
  <si>
    <t>Xã Thuận Hạnh</t>
  </si>
  <si>
    <t>Xã Trường Xuân</t>
  </si>
  <si>
    <t>Xã Tuy Đức</t>
  </si>
  <si>
    <t>Xã Tuy Phong</t>
  </si>
  <si>
    <t>Xã Tuyên Quang</t>
  </si>
  <si>
    <t>Xã Vĩnh Hảo</t>
  </si>
  <si>
    <t>Phường An Tịnh</t>
  </si>
  <si>
    <t>Phường Bình Minh</t>
  </si>
  <si>
    <t>Phường Gia Lộc</t>
  </si>
  <si>
    <t>Phường Gò Dầu</t>
  </si>
  <si>
    <t>Phường Hòa Thành</t>
  </si>
  <si>
    <t>Phường Khánh Hậu</t>
  </si>
  <si>
    <t>Phường Kiến Tường</t>
  </si>
  <si>
    <t>Phường Long An</t>
  </si>
  <si>
    <t>Phường Long Hoa</t>
  </si>
  <si>
    <t>Phường Ninh Thạnh</t>
  </si>
  <si>
    <t>Phường Tân Ninh</t>
  </si>
  <si>
    <t>Phường Thanh Điền</t>
  </si>
  <si>
    <t>Phường Trảng Bàng</t>
  </si>
  <si>
    <t>Xã An Lục Long</t>
  </si>
  <si>
    <t>Xã Bến Cầu</t>
  </si>
  <si>
    <t>Xã Bến Lức</t>
  </si>
  <si>
    <t>Xã Bình Đức</t>
  </si>
  <si>
    <t>Xã Bình Hòa</t>
  </si>
  <si>
    <t>Xã Cần Đước</t>
  </si>
  <si>
    <t>Xã Cần Giuộc</t>
  </si>
  <si>
    <t>Xã Cầu Khởi</t>
  </si>
  <si>
    <t>Xã Châu Thành</t>
  </si>
  <si>
    <t>Xã Đức Hòa</t>
  </si>
  <si>
    <t>Xã Đức Huệ</t>
  </si>
  <si>
    <t>Xã Dương Minh Châu</t>
  </si>
  <si>
    <t>Xã Hảo Đước</t>
  </si>
  <si>
    <t>Xã Hậu Nghĩa</t>
  </si>
  <si>
    <t>Xã Hậu Thạnh</t>
  </si>
  <si>
    <t>Xã Hòa Khánh</t>
  </si>
  <si>
    <t>Xã Hưng Điền</t>
  </si>
  <si>
    <t>Xã Hưng Thuận</t>
  </si>
  <si>
    <t>Xã Khánh Hưng</t>
  </si>
  <si>
    <t>Xã Lộc Ninh</t>
  </si>
  <si>
    <t>Xã Long Cang</t>
  </si>
  <si>
    <t>Xã Long Chữ</t>
  </si>
  <si>
    <t>Xã Long Hựu</t>
  </si>
  <si>
    <t>Xã Long Thuận</t>
  </si>
  <si>
    <t>Xã Lương Hòa</t>
  </si>
  <si>
    <t>Xã Mộc Hóa</t>
  </si>
  <si>
    <t>Xã Mỹ An</t>
  </si>
  <si>
    <t>Xã Mỹ Hạnh</t>
  </si>
  <si>
    <t>Xã Mỹ Lệ</t>
  </si>
  <si>
    <t>Xã Mỹ Lộc</t>
  </si>
  <si>
    <t>Xã Mỹ Quý</t>
  </si>
  <si>
    <t>Xã Mỹ Thạnh</t>
  </si>
  <si>
    <t>Xã Mỹ Yên</t>
  </si>
  <si>
    <t>Xã Nhơn Hòa Lập</t>
  </si>
  <si>
    <t>Xã Nhơn Ninh</t>
  </si>
  <si>
    <t>Xã Nhựt Tảo</t>
  </si>
  <si>
    <t>Xã Ninh Điền</t>
  </si>
  <si>
    <t>Xã Phước Chỉ</t>
  </si>
  <si>
    <t>Xã Phước Lý</t>
  </si>
  <si>
    <t>Xã Phước Thạnh</t>
  </si>
  <si>
    <t>Xã Phước Vinh</t>
  </si>
  <si>
    <t>Xã Phước Vĩnh Tây</t>
  </si>
  <si>
    <t>Xã Rạch Kiến</t>
  </si>
  <si>
    <t>Xã Tầm Vu</t>
  </si>
  <si>
    <t>Xã Tân Biên</t>
  </si>
  <si>
    <t>Xã Tân Đông</t>
  </si>
  <si>
    <t>Xã Tân Hòa</t>
  </si>
  <si>
    <t>Xã Tân Lân</t>
  </si>
  <si>
    <t>Xã Tân Tập</t>
  </si>
  <si>
    <t>Xã Tân Tây</t>
  </si>
  <si>
    <t>Xã Tân Thạnh</t>
  </si>
  <si>
    <t>Xã Tân Trụ</t>
  </si>
  <si>
    <t>Xã Thạnh Đức</t>
  </si>
  <si>
    <t>Xã Thạnh Hóa</t>
  </si>
  <si>
    <t>Xã Thạnh Lợi</t>
  </si>
  <si>
    <t>Xã Thạnh Phước</t>
  </si>
  <si>
    <t>Xã Thủ Thừa</t>
  </si>
  <si>
    <t>Xã Thuận Mỹ</t>
  </si>
  <si>
    <t>Xã Trà Vong</t>
  </si>
  <si>
    <t>Xã Truông Mít</t>
  </si>
  <si>
    <t>Xã Tuyên Thạnh</t>
  </si>
  <si>
    <t>Xã Vàm Cỏ</t>
  </si>
  <si>
    <t>Xã Vĩnh Châu</t>
  </si>
  <si>
    <t>Xã Vĩnh Công</t>
  </si>
  <si>
    <t>Phường An Lộc</t>
  </si>
  <si>
    <t>Phường Bảo Vinh</t>
  </si>
  <si>
    <t>Phường Biên Hòa</t>
  </si>
  <si>
    <t>Phường Bình Lộc</t>
  </si>
  <si>
    <t>Phường Bình Long</t>
  </si>
  <si>
    <t>Phường Bình Phước</t>
  </si>
  <si>
    <t>Phường Chơn Thành</t>
  </si>
  <si>
    <t>Phường Đồng Xoài</t>
  </si>
  <si>
    <t>Phường Hàng Gòn</t>
  </si>
  <si>
    <t>Phường Hố Nai</t>
  </si>
  <si>
    <t>Phường Long Hưng</t>
  </si>
  <si>
    <t>Phường Long Khánh</t>
  </si>
  <si>
    <t>Phường Minh Hưng</t>
  </si>
  <si>
    <t>Phường Phước Bình</t>
  </si>
  <si>
    <t>Phường Phước Tân</t>
  </si>
  <si>
    <t>Phường Tam Hiệp</t>
  </si>
  <si>
    <t>Phường Tam Phước</t>
  </si>
  <si>
    <t>Phường Tân Triều</t>
  </si>
  <si>
    <t>Phường Trấn Biên</t>
  </si>
  <si>
    <t>Phường Trảng Dài</t>
  </si>
  <si>
    <t>Phường Xuân Lập</t>
  </si>
  <si>
    <t>Xã An Phước</t>
  </si>
  <si>
    <t>Xã An Viễn</t>
  </si>
  <si>
    <t>Xã Bàu Hàm</t>
  </si>
  <si>
    <t>Xã Bình Tân</t>
  </si>
  <si>
    <t>Xã Bom Bo</t>
  </si>
  <si>
    <t>Xã Bù Đăng</t>
  </si>
  <si>
    <t>Xã Bù Gia Mập</t>
  </si>
  <si>
    <t>Xã Cẩm Mỹ</t>
  </si>
  <si>
    <t>Xã Đa Kia</t>
  </si>
  <si>
    <t>Xã Đại Phước</t>
  </si>
  <si>
    <t>Xã Đak Lua</t>
  </si>
  <si>
    <t>Xã Đak Nhau</t>
  </si>
  <si>
    <t>Xã Đăk Ơ</t>
  </si>
  <si>
    <t>Xã Dầu Giây</t>
  </si>
  <si>
    <t>Xã Định Quán</t>
  </si>
  <si>
    <t>Xã Đồng Phú</t>
  </si>
  <si>
    <t>Xã Gia Kiệm</t>
  </si>
  <si>
    <t>Xã Hưng Phước</t>
  </si>
  <si>
    <t>Xã Hưng Thịnh</t>
  </si>
  <si>
    <t>Xã La Ngà</t>
  </si>
  <si>
    <t>Xã Lộc Hưng</t>
  </si>
  <si>
    <t>Xã Lộc Quang</t>
  </si>
  <si>
    <t>Xã Lộc Tấn</t>
  </si>
  <si>
    <t>Xã Lộc Thành</t>
  </si>
  <si>
    <t>Xã Lộc Thạnh</t>
  </si>
  <si>
    <t>Xã Long Hà</t>
  </si>
  <si>
    <t>Xã Long Phước</t>
  </si>
  <si>
    <t>Xã Long Thành</t>
  </si>
  <si>
    <t>Xã Minh Đức</t>
  </si>
  <si>
    <t>Xã Nam Cát Tiên</t>
  </si>
  <si>
    <t>Xã Nghĩa Trung</t>
  </si>
  <si>
    <t>Xã Nha Bích</t>
  </si>
  <si>
    <t>Xã Nhơn Trạch</t>
  </si>
  <si>
    <t>Xã Phú Hòa</t>
  </si>
  <si>
    <t>Xã Phú Lâm</t>
  </si>
  <si>
    <t>Xã Phú Lý</t>
  </si>
  <si>
    <t>Xã Phú Riềng</t>
  </si>
  <si>
    <t>Xã Phú Trung</t>
  </si>
  <si>
    <t>Xã Phước An</t>
  </si>
  <si>
    <t>Xã Phước Sơn</t>
  </si>
  <si>
    <t>Xã Phước Thái</t>
  </si>
  <si>
    <t>Xã Sông Ray</t>
  </si>
  <si>
    <t>Xã Tà Lài</t>
  </si>
  <si>
    <t>Xã Tân Khai</t>
  </si>
  <si>
    <t>Xã Tân Lợi</t>
  </si>
  <si>
    <t>Xã Tân Quan</t>
  </si>
  <si>
    <t>Xã Thanh Sơn (huyện Định Quán)</t>
  </si>
  <si>
    <t>Xã Thiện Hưng</t>
  </si>
  <si>
    <t>Xã Thọ Sơn</t>
  </si>
  <si>
    <t>Xã Thuận Lợi</t>
  </si>
  <si>
    <t>Xã Trảng Bom</t>
  </si>
  <si>
    <t>Xã Trị An</t>
  </si>
  <si>
    <t>Xã Xuân Bắc</t>
  </si>
  <si>
    <t>Xã Xuân Định</t>
  </si>
  <si>
    <t>Xã Xuân Đông</t>
  </si>
  <si>
    <t>Xã Xuân Đường</t>
  </si>
  <si>
    <t>Xã Xuân Quế</t>
  </si>
  <si>
    <t>Xã Xuân Thành</t>
  </si>
  <si>
    <t>Phường Bình Xuân</t>
  </si>
  <si>
    <t>Phường Cai Lậy</t>
  </si>
  <si>
    <t>Phường Cao Lãnh</t>
  </si>
  <si>
    <t>Phường Đạo Thạnh</t>
  </si>
  <si>
    <t>Phường Gò Công</t>
  </si>
  <si>
    <t>Phường Hồng Ngự</t>
  </si>
  <si>
    <t>Phường Long Thuận</t>
  </si>
  <si>
    <t>Phường Mỹ Ngãi</t>
  </si>
  <si>
    <t>Phường Mỹ Phong</t>
  </si>
  <si>
    <t>Phường Mỹ Phước Tây</t>
  </si>
  <si>
    <t>Phường Mỹ Tho</t>
  </si>
  <si>
    <t>Phường Mỹ Trà</t>
  </si>
  <si>
    <t>Phường Nhị Quý</t>
  </si>
  <si>
    <t>Phường Sa Đéc</t>
  </si>
  <si>
    <t>Phường Sơn Qui</t>
  </si>
  <si>
    <t>Phường Thanh Hòa</t>
  </si>
  <si>
    <t>Phường Thới Sơn</t>
  </si>
  <si>
    <t>Phường Thường Lạc</t>
  </si>
  <si>
    <t>Phường Trung An</t>
  </si>
  <si>
    <t>Xã An Hữu</t>
  </si>
  <si>
    <t>Xã An Thạnh Thủy</t>
  </si>
  <si>
    <t>Xã Ba Sao</t>
  </si>
  <si>
    <t>Xã Bình Hàng Trung</t>
  </si>
  <si>
    <t>Xã Bình Ninh</t>
  </si>
  <si>
    <t>Xã Bình Trưng</t>
  </si>
  <si>
    <t>Xã Cái Bè</t>
  </si>
  <si>
    <t>Xã Chợ Gạo</t>
  </si>
  <si>
    <t>Xã Đốc Binh Kiều</t>
  </si>
  <si>
    <t>Xã Đồng Sơn</t>
  </si>
  <si>
    <t>Xã Gia Thuận</t>
  </si>
  <si>
    <t>Xã Gò Công Đông</t>
  </si>
  <si>
    <t>Xã Hậu Mỹ</t>
  </si>
  <si>
    <t>Xã Hòa Long</t>
  </si>
  <si>
    <t>Xã Hội Cư</t>
  </si>
  <si>
    <t>Xã Hưng Thạnh</t>
  </si>
  <si>
    <t>Xã Lai Vung</t>
  </si>
  <si>
    <t>Xã Lấp Vò</t>
  </si>
  <si>
    <t>Xã Long Bình</t>
  </si>
  <si>
    <t>Xã Long Định</t>
  </si>
  <si>
    <t>Xã Long Khánh</t>
  </si>
  <si>
    <t>Xã Long Phú Thuận</t>
  </si>
  <si>
    <t>Xã Long Tiên</t>
  </si>
  <si>
    <t>Xã Lương Hòa Lạc</t>
  </si>
  <si>
    <t>Xã Mỹ An Hưng</t>
  </si>
  <si>
    <t>Xã Mỹ Đức Tây</t>
  </si>
  <si>
    <t>Xã Mỹ Hiệp</t>
  </si>
  <si>
    <t>Xã Mỹ Lợi</t>
  </si>
  <si>
    <t>Xã Mỹ Quí</t>
  </si>
  <si>
    <t>Xã Mỹ Thành</t>
  </si>
  <si>
    <t>Xã Mỹ Thiện</t>
  </si>
  <si>
    <t>Xã Mỹ Thọ</t>
  </si>
  <si>
    <t>Xã Mỹ Tịnh An</t>
  </si>
  <si>
    <t>Xã Ngũ Hiệp</t>
  </si>
  <si>
    <t>Xã Phong Hòa</t>
  </si>
  <si>
    <t>Xã Phong Mỹ</t>
  </si>
  <si>
    <t>Xã Phú Cường</t>
  </si>
  <si>
    <t>Xã Phú Hựu</t>
  </si>
  <si>
    <t>Xã Phú Thành</t>
  </si>
  <si>
    <t>Xã Phú Thọ</t>
  </si>
  <si>
    <t>Xã Phương Thịnh</t>
  </si>
  <si>
    <t>Xã Tân Điền</t>
  </si>
  <si>
    <t>Xã Tân Dương</t>
  </si>
  <si>
    <t>Xã Tân Hộ Cơ</t>
  </si>
  <si>
    <t>Xã Tân Hồng</t>
  </si>
  <si>
    <t>Xã Tân Hương</t>
  </si>
  <si>
    <t>Xã Tân Khánh Trung</t>
  </si>
  <si>
    <t>Xã Tân Nhuận Đông</t>
  </si>
  <si>
    <t>Xã Tân Phú Đông</t>
  </si>
  <si>
    <t>Xã Tân Phú Trung</t>
  </si>
  <si>
    <t>Xã Tân Phước 1</t>
  </si>
  <si>
    <t>Xã Tân Phước 2</t>
  </si>
  <si>
    <t>Xã Tân Phước 3</t>
  </si>
  <si>
    <t>Xã Tân Thới</t>
  </si>
  <si>
    <t>Xã Tân Thuận Bình</t>
  </si>
  <si>
    <t>Xã Thanh Hưng</t>
  </si>
  <si>
    <t>Xã Thanh Mỹ</t>
  </si>
  <si>
    <t>Xã Thạnh Phú</t>
  </si>
  <si>
    <t>Xã Tháp Mười</t>
  </si>
  <si>
    <t>Xã Thường Phước</t>
  </si>
  <si>
    <t>Xã Tràm Chim</t>
  </si>
  <si>
    <t>Xã Vĩnh Bình</t>
  </si>
  <si>
    <t>Xã Vĩnh Hựu</t>
  </si>
  <si>
    <t>Xã Vĩnh Kim</t>
  </si>
  <si>
    <t>Đặc khu Kiên Hải</t>
  </si>
  <si>
    <t>Đặc khu Phú Quốc</t>
  </si>
  <si>
    <t>Đặc khu Thổ Châu</t>
  </si>
  <si>
    <t>Phường Bình Đức</t>
  </si>
  <si>
    <t>Phường Châu Đốc</t>
  </si>
  <si>
    <t>Phường Chi Lăng</t>
  </si>
  <si>
    <t>Phường Hà Tiên</t>
  </si>
  <si>
    <t>Phường Long Phú</t>
  </si>
  <si>
    <t>Phường Long Xuyên</t>
  </si>
  <si>
    <t>Phường Mỹ Thới</t>
  </si>
  <si>
    <t>Phường Rạch Giá</t>
  </si>
  <si>
    <t>Phường Tân Châu</t>
  </si>
  <si>
    <t>Phường Tịnh Biên</t>
  </si>
  <si>
    <t>Phường Tô Châu</t>
  </si>
  <si>
    <t>Phường Vĩnh Tế</t>
  </si>
  <si>
    <t>Phường Vĩnh Thông</t>
  </si>
  <si>
    <t>Xã An Biên</t>
  </si>
  <si>
    <t>Xã An Cư</t>
  </si>
  <si>
    <t>Xã An Minh</t>
  </si>
  <si>
    <t>Xã Ba Chúc</t>
  </si>
  <si>
    <t>Xã Bình Thạnh Đông</t>
  </si>
  <si>
    <t>Xã Cần Đăng</t>
  </si>
  <si>
    <t>Xã Châu Phong</t>
  </si>
  <si>
    <t>Xã Châu Phú</t>
  </si>
  <si>
    <t>Xã Chợ Vàm</t>
  </si>
  <si>
    <t>Xã Cô Tô</t>
  </si>
  <si>
    <t>Xã Cù Lao Giêng</t>
  </si>
  <si>
    <t>Xã Định Mỹ</t>
  </si>
  <si>
    <t>Xã Đông Hòa</t>
  </si>
  <si>
    <t>Xã Đông Thái</t>
  </si>
  <si>
    <t>Xã Giang Thành</t>
  </si>
  <si>
    <t>Xã Giồng Riềng</t>
  </si>
  <si>
    <t>Xã Gò Quao</t>
  </si>
  <si>
    <t>Xã Hòa Điền</t>
  </si>
  <si>
    <t>Xã Hòa Hưng</t>
  </si>
  <si>
    <t>Xã Hòa Thuận</t>
  </si>
  <si>
    <t>Xã Hội An</t>
  </si>
  <si>
    <t>Xã Hòn Đất</t>
  </si>
  <si>
    <t>Xã Hòn Nghệ</t>
  </si>
  <si>
    <t>Xã Khánh Bình</t>
  </si>
  <si>
    <t>Xã Kiên Lương</t>
  </si>
  <si>
    <t>Xã Long Kiến</t>
  </si>
  <si>
    <t>Xã Long Thạnh</t>
  </si>
  <si>
    <t>Xã Mỹ Hòa Hưng</t>
  </si>
  <si>
    <t>Xã Mỹ Thuận</t>
  </si>
  <si>
    <t>Xã Ngọc Chúc</t>
  </si>
  <si>
    <t>Xã Nhơn Hội</t>
  </si>
  <si>
    <t>Xã Nhơn Mỹ</t>
  </si>
  <si>
    <t>Xã Núi Cấm</t>
  </si>
  <si>
    <t>Xã Ô Lâm</t>
  </si>
  <si>
    <t>Xã óc Eo</t>
  </si>
  <si>
    <t>Xã Phú An</t>
  </si>
  <si>
    <t>Xã Phú Hữu</t>
  </si>
  <si>
    <t>Xã Phú Tân</t>
  </si>
  <si>
    <t>Xã Sơn Kiên</t>
  </si>
  <si>
    <t>Xã Tây Phú</t>
  </si>
  <si>
    <t>Xã Tây Yên</t>
  </si>
  <si>
    <t>Xã Thạnh Đông</t>
  </si>
  <si>
    <t>Xã Thạnh Hưng</t>
  </si>
  <si>
    <t>Xã Thạnh Lộc</t>
  </si>
  <si>
    <t>Xã Thạnh Mỹ Tây</t>
  </si>
  <si>
    <t>Xã Thoại Sơn</t>
  </si>
  <si>
    <t>Xã Tiên Hải</t>
  </si>
  <si>
    <t>Xã Tri Tôn</t>
  </si>
  <si>
    <t>Xã U Minh Thượng</t>
  </si>
  <si>
    <t>Xã Vân Khánh</t>
  </si>
  <si>
    <t>Xã Vĩnh Điều</t>
  </si>
  <si>
    <t>Xã Vĩnh Gia</t>
  </si>
  <si>
    <t>Xã Vĩnh Hanh</t>
  </si>
  <si>
    <t>Xã Vĩnh Hậu</t>
  </si>
  <si>
    <t>Xã Vĩnh Hòa Hưng</t>
  </si>
  <si>
    <t>Xã Vĩnh Phong</t>
  </si>
  <si>
    <t>Xã Vĩnh Thạnh Trung</t>
  </si>
  <si>
    <t>Xã Vĩnh Trạch</t>
  </si>
  <si>
    <t>Xã Vĩnh Xương</t>
  </si>
  <si>
    <t>Phường An Hội</t>
  </si>
  <si>
    <t>Phường Bến Tre</t>
  </si>
  <si>
    <t>Phường Cái Vồn</t>
  </si>
  <si>
    <t>Phường Đông Thành</t>
  </si>
  <si>
    <t>Phường Duyên Hải</t>
  </si>
  <si>
    <t>Phường Hòa Thuận</t>
  </si>
  <si>
    <t>Phường Long Châu</t>
  </si>
  <si>
    <t>Phường Long Đức</t>
  </si>
  <si>
    <t>Phường Nguyệt Hóa</t>
  </si>
  <si>
    <t>Phường Phú Khương</t>
  </si>
  <si>
    <t>Phường Phú Tân</t>
  </si>
  <si>
    <t>Phường Phước Hậu</t>
  </si>
  <si>
    <t>Phường Sơn Đông</t>
  </si>
  <si>
    <t>Phường Tân Hạnh</t>
  </si>
  <si>
    <t>Phường Tân Ngãi</t>
  </si>
  <si>
    <t>Phường Thanh Đức</t>
  </si>
  <si>
    <t>Phường Trà Vinh</t>
  </si>
  <si>
    <t>Phường Trường Long Hòa</t>
  </si>
  <si>
    <t>Xã An Định</t>
  </si>
  <si>
    <t>Xã An Hiệp</t>
  </si>
  <si>
    <t>Xã An Ngãi Trung</t>
  </si>
  <si>
    <t>Xã An Phú Tân</t>
  </si>
  <si>
    <t>Xã An Qui</t>
  </si>
  <si>
    <t>Xã Ba Tri</t>
  </si>
  <si>
    <t>Xã Bảo Thạnh</t>
  </si>
  <si>
    <t>Xã Bình Đại</t>
  </si>
  <si>
    <t>Xã Bình Phước</t>
  </si>
  <si>
    <t>Xã Cái Ngang</t>
  </si>
  <si>
    <t>Xã Cái Nhum</t>
  </si>
  <si>
    <t>Xã Càng Long</t>
  </si>
  <si>
    <t>Xã Cầu Kè</t>
  </si>
  <si>
    <t>Xã Cầu Ngang</t>
  </si>
  <si>
    <t>Xã Châu Hòa</t>
  </si>
  <si>
    <t>Xã Châu Hưng</t>
  </si>
  <si>
    <t>Xã Chợ Lách</t>
  </si>
  <si>
    <t>Xã Đại An</t>
  </si>
  <si>
    <t>Xã Đại Điền</t>
  </si>
  <si>
    <t>Xã Đôn Châu</t>
  </si>
  <si>
    <t>Xã Đông Hải</t>
  </si>
  <si>
    <t>Xã Đồng Khởi</t>
  </si>
  <si>
    <t>Xã Giao Long</t>
  </si>
  <si>
    <t>Xã Giồng Trôm</t>
  </si>
  <si>
    <t>Xã Hàm Giang</t>
  </si>
  <si>
    <t>Xã Hiệp Mỹ</t>
  </si>
  <si>
    <t>Xã Hiếu Phụng</t>
  </si>
  <si>
    <t>Xã Hiếu Thành</t>
  </si>
  <si>
    <t>Xã Hòa Bình</t>
  </si>
  <si>
    <t>Xã Hòa Minh</t>
  </si>
  <si>
    <t>Xã Hùng Hòa</t>
  </si>
  <si>
    <t>Xã Hưng Khánh Trung</t>
  </si>
  <si>
    <t>Xã Hưng Mỹ</t>
  </si>
  <si>
    <t>Xã Hưng Nhượng</t>
  </si>
  <si>
    <t>Xã Hương Mỹ</t>
  </si>
  <si>
    <t>Xã Lộc Thuận</t>
  </si>
  <si>
    <t>Xã Long Hiệp</t>
  </si>
  <si>
    <t>Xã Long Hồ</t>
  </si>
  <si>
    <t>Xã Long Hữu</t>
  </si>
  <si>
    <t>Xã Long Vĩnh</t>
  </si>
  <si>
    <t>Xã Lục Sĩ Thành</t>
  </si>
  <si>
    <t>Xã Lương Phú</t>
  </si>
  <si>
    <t>Xã Lưu Nghiệp Anh</t>
  </si>
  <si>
    <t>Xã Mỹ Chánh Hòa</t>
  </si>
  <si>
    <t>Xã Mỹ Long</t>
  </si>
  <si>
    <t>Xã Ngãi Tứ</t>
  </si>
  <si>
    <t>Xã Ngũ Lạc</t>
  </si>
  <si>
    <t>Xã Nhị Long</t>
  </si>
  <si>
    <t>Xã Nhị Trường</t>
  </si>
  <si>
    <t>Xã Nhơn Phú</t>
  </si>
  <si>
    <t>Xã Nhuận Phú Tân</t>
  </si>
  <si>
    <t>Xã Phong Thạnh</t>
  </si>
  <si>
    <t>Xã Phú Phụng</t>
  </si>
  <si>
    <t>Xã Phú Quới</t>
  </si>
  <si>
    <t>Xã Phước Long</t>
  </si>
  <si>
    <t>Xã Phước Mỹ Trung</t>
  </si>
  <si>
    <t>Xã Quới An</t>
  </si>
  <si>
    <t>Xã Quới Điền</t>
  </si>
  <si>
    <t>Xã Quới Thiện</t>
  </si>
  <si>
    <t>Xã Song Lộc</t>
  </si>
  <si>
    <t>Xã Song Phú</t>
  </si>
  <si>
    <t>Xã Tam Bình</t>
  </si>
  <si>
    <t>Xã Tam Ngãi</t>
  </si>
  <si>
    <t>Xã Tân Hào</t>
  </si>
  <si>
    <t>Xã Tân Long Hội</t>
  </si>
  <si>
    <t>Xã Tân Lược</t>
  </si>
  <si>
    <t>Xã Tân Quới</t>
  </si>
  <si>
    <t>Xã Tân Thành Bình</t>
  </si>
  <si>
    <t>Xã Tân Thủy</t>
  </si>
  <si>
    <t>Xã Tân Xuân</t>
  </si>
  <si>
    <t>Xã Tập Ngãi</t>
  </si>
  <si>
    <t>Xã Tập Sơn</t>
  </si>
  <si>
    <t>Xã Thạnh Hải</t>
  </si>
  <si>
    <t>Xã Thạnh Phong</t>
  </si>
  <si>
    <t>Xã Thành Thới</t>
  </si>
  <si>
    <t>Xã Thạnh Trị</t>
  </si>
  <si>
    <t>Xã Thới Thuận</t>
  </si>
  <si>
    <t>Xã Tiên Thủy</t>
  </si>
  <si>
    <t>Xã Tiểu Cần</t>
  </si>
  <si>
    <t>Xã Trà Côn</t>
  </si>
  <si>
    <t>Xã Trà Cú</t>
  </si>
  <si>
    <t>Xã Trà Ôn</t>
  </si>
  <si>
    <t>Xã Trung Hiệp</t>
  </si>
  <si>
    <t>Xã Trung Ngãi</t>
  </si>
  <si>
    <t>Xã Vinh Kim</t>
  </si>
  <si>
    <t>Xã Vĩnh Xuân</t>
  </si>
  <si>
    <t>Phường Bình Thủy</t>
  </si>
  <si>
    <t>Phường Cái Khế</t>
  </si>
  <si>
    <t>Phường Cái Răng</t>
  </si>
  <si>
    <t>Phường Đại Thành</t>
  </si>
  <si>
    <t>Phường Hưng Phú</t>
  </si>
  <si>
    <t>Phường Khánh Hòa</t>
  </si>
  <si>
    <t>Phường Long Mỹ</t>
  </si>
  <si>
    <t>Phường Long Phú 1</t>
  </si>
  <si>
    <t>Phường Long Tuyền</t>
  </si>
  <si>
    <t>Phường Mỹ Quới</t>
  </si>
  <si>
    <t>Phường Mỹ Xuyên</t>
  </si>
  <si>
    <t>Phường Ngã Bảy</t>
  </si>
  <si>
    <t>Phường Ngã Năm</t>
  </si>
  <si>
    <t>Phường Ninh Kiều</t>
  </si>
  <si>
    <t>Phường Ô Môn</t>
  </si>
  <si>
    <t>Phường Phước Thới</t>
  </si>
  <si>
    <t>Phường Sóc Trăng</t>
  </si>
  <si>
    <t>Phường Tân Lộc</t>
  </si>
  <si>
    <t>Phường Thới An Đông</t>
  </si>
  <si>
    <t>Phường Thới Long</t>
  </si>
  <si>
    <t>Phường Thốt Nốt</t>
  </si>
  <si>
    <t>Phường Thuận Hưng</t>
  </si>
  <si>
    <t>Phường Trung Nhứt</t>
  </si>
  <si>
    <t>Phường Vị Tân</t>
  </si>
  <si>
    <t>Phường Vị Thanh</t>
  </si>
  <si>
    <t>Phường Vĩnh Châu</t>
  </si>
  <si>
    <t>Phường Vĩnh Phước</t>
  </si>
  <si>
    <t>Xã An Lạc Thôn</t>
  </si>
  <si>
    <t>Xã An Thạnh</t>
  </si>
  <si>
    <t>Xã Cờ Đỏ</t>
  </si>
  <si>
    <t>Xã Cù Lao Dung</t>
  </si>
  <si>
    <t>Xã Đại Hải</t>
  </si>
  <si>
    <t>Xã Đại Ngãi</t>
  </si>
  <si>
    <t>Xã Đông Hiệp</t>
  </si>
  <si>
    <t>Xã Đông Phước</t>
  </si>
  <si>
    <t>Xã Đông Thuận</t>
  </si>
  <si>
    <t>Xã Gia Hòa</t>
  </si>
  <si>
    <t>Xã Hiệp Hưng</t>
  </si>
  <si>
    <t>Xã Hồ Đắc Kiện</t>
  </si>
  <si>
    <t>Xã Hỏa Lựu</t>
  </si>
  <si>
    <t>Xã Hòa Tú</t>
  </si>
  <si>
    <t>Xã Kế Sách</t>
  </si>
  <si>
    <t>Xã Lai Hòa</t>
  </si>
  <si>
    <t>Xã Lâm Tân</t>
  </si>
  <si>
    <t>Xã Lịch Hội Thượng</t>
  </si>
  <si>
    <t>Xã Liêu Tú</t>
  </si>
  <si>
    <t>Xã Long Phú</t>
  </si>
  <si>
    <t>Xã Lương Tâm</t>
  </si>
  <si>
    <t>Xã Mỹ Hương</t>
  </si>
  <si>
    <t>Xã Mỹ Phước</t>
  </si>
  <si>
    <t>Xã Mỹ Tú</t>
  </si>
  <si>
    <t>Xã Ngọc Tố</t>
  </si>
  <si>
    <t>Xã Nhơn ái</t>
  </si>
  <si>
    <t>Xã Nhu Gia</t>
  </si>
  <si>
    <t>Xã Phong Điền</t>
  </si>
  <si>
    <t>Xã Phong Nẫm</t>
  </si>
  <si>
    <t>Xã Phú Tâm</t>
  </si>
  <si>
    <t>Xã Phụng Hiệp</t>
  </si>
  <si>
    <t>Xã Phương Bình</t>
  </si>
  <si>
    <t>Xã Tài Văn</t>
  </si>
  <si>
    <t>Xã Tân Bình</t>
  </si>
  <si>
    <t>Xã Tân Phước Hưng</t>
  </si>
  <si>
    <t>Xã Thạnh Hòa</t>
  </si>
  <si>
    <t>Xã Thạnh Quới</t>
  </si>
  <si>
    <t>Xã Thạnh Thới An</t>
  </si>
  <si>
    <t>Xã Thạnh Xuân</t>
  </si>
  <si>
    <t>Xã Thới An Hội</t>
  </si>
  <si>
    <t>Xã Thới Hưng</t>
  </si>
  <si>
    <t>Xã Thới Lai</t>
  </si>
  <si>
    <t>Xã Trần Đề</t>
  </si>
  <si>
    <t>Xã Trung Hưng</t>
  </si>
  <si>
    <t>Xã Trường Khánh</t>
  </si>
  <si>
    <t>Xã Trường Long</t>
  </si>
  <si>
    <t>Xã Trường Long Tây</t>
  </si>
  <si>
    <t>Xã Trường Thành</t>
  </si>
  <si>
    <t>Xã Vĩnh Thuận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</si>
  <si>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</si>
  <si>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</si>
  <si>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</si>
  <si>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</si>
  <si>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</si>
  <si>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</si>
  <si>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Vĩnh Trạch</t>
  </si>
  <si>
    <t>Xã Cái Đôi Vàm</t>
  </si>
  <si>
    <t>Xã Cái Nước</t>
  </si>
  <si>
    <t>Xã Châu Thới</t>
  </si>
  <si>
    <t>Xã Đá Bạc</t>
  </si>
  <si>
    <t>Xã Đầm Dơi</t>
  </si>
  <si>
    <t>Xã Đất Mới</t>
  </si>
  <si>
    <t>Xã Đất Mũi</t>
  </si>
  <si>
    <t>Xã Định Thành</t>
  </si>
  <si>
    <t>Xã Gành Hào</t>
  </si>
  <si>
    <t>Xã Hồ Thị Kỷ</t>
  </si>
  <si>
    <t>Xã Hồng Dân</t>
  </si>
  <si>
    <t>Xã Hưng Hội</t>
  </si>
  <si>
    <t>Xã Khánh An</t>
  </si>
  <si>
    <t>Xã Khánh Lâm</t>
  </si>
  <si>
    <t>Xã Lương Thế Trân</t>
  </si>
  <si>
    <t>Xã Năm Căn</t>
  </si>
  <si>
    <t>Xã Nguyễn Phích</t>
  </si>
  <si>
    <t>Xã Nguyễn Việt Khái</t>
  </si>
  <si>
    <t>Xã Ninh Quới</t>
  </si>
  <si>
    <t>Xã Ninh Thạnh Lợi</t>
  </si>
  <si>
    <t>Xã Phan Ngọc Hiển</t>
  </si>
  <si>
    <t>Xã Phong Hiệp</t>
  </si>
  <si>
    <t>Xã Quách Phẩm</t>
  </si>
  <si>
    <t>Xã Sông Đốc</t>
  </si>
  <si>
    <t>Xã Tạ An Khương</t>
  </si>
  <si>
    <t>Xã Tân Ân</t>
  </si>
  <si>
    <t>Xã Tân Lộc</t>
  </si>
  <si>
    <t>Xã Thanh Tùng</t>
  </si>
  <si>
    <t>Xã Thới Bình</t>
  </si>
  <si>
    <t>Xã Trần Phán</t>
  </si>
  <si>
    <t>Xã Trần Văn Thời</t>
  </si>
  <si>
    <t>Xã Trí Phải</t>
  </si>
  <si>
    <t>Xã U Minh</t>
  </si>
  <si>
    <t>Xã Vĩnh Mỹ</t>
  </si>
  <si>
    <t>Xã Vĩnh Phước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</si>
  <si>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</si>
  <si>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</si>
  <si>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</si>
  <si>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</si>
  <si>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</si>
  <si>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</si>
  <si>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</si>
  <si>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</si>
  <si>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</si>
  <si>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</si>
  <si>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</si>
  <si>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</si>
  <si>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</si>
  <si>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</si>
  <si>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</si>
  <si>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</si>
  <si>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</si>
  <si>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</si>
  <si>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</si>
  <si>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</si>
  <si>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</si>
  <si>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</si>
  <si>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</si>
  <si>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</si>
  <si>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</si>
  <si>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</si>
  <si>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</si>
  <si>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</si>
  <si>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</si>
  <si>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</si>
  <si>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</si>
  <si>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</si>
  <si>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</si>
  <si>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</si>
  <si>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</si>
  <si>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</si>
  <si>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</si>
  <si>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</si>
  <si>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</si>
  <si>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</si>
  <si>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</si>
  <si>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</si>
  <si>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</si>
  <si>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</si>
  <si>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</si>
  <si>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</si>
  <si>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</si>
  <si>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</si>
  <si>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</si>
  <si>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</si>
  <si>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</si>
  <si>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</si>
  <si>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</si>
  <si>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</si>
  <si>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</si>
  <si>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</si>
  <si>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</si>
  <si>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</si>
  <si>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</si>
  <si>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</si>
  <si>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</si>
  <si>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</si>
  <si>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</si>
  <si>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</si>
  <si>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</si>
  <si>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</si>
  <si>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</si>
  <si>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</si>
  <si>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</si>
  <si>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</si>
  <si>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</si>
  <si>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</si>
  <si>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</si>
  <si>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</si>
  <si>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</si>
  <si>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</si>
  <si>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</si>
  <si>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</si>
  <si>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</si>
  <si>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</si>
  <si>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</si>
  <si>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</si>
  <si>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</si>
  <si>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</si>
  <si>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</si>
  <si>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</si>
  <si>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</si>
  <si>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</si>
  <si>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</si>
  <si>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</si>
  <si>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</si>
  <si>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</si>
  <si>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</si>
  <si>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</si>
  <si>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</si>
  <si>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</si>
  <si>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</si>
  <si>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</si>
  <si>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</si>
  <si>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</si>
  <si>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</si>
  <si>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</si>
  <si>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</si>
  <si>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</si>
  <si>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</si>
  <si>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</si>
  <si>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</si>
  <si>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</si>
  <si>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</si>
  <si>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</si>
  <si>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</si>
  <si>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</si>
  <si>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B72</t>
  </si>
  <si>
    <t>B94</t>
  </si>
  <si>
    <t>B95</t>
  </si>
  <si>
    <t>B96</t>
  </si>
  <si>
    <t>B97</t>
  </si>
  <si>
    <t>B98</t>
  </si>
  <si>
    <t>B99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</si>
  <si>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</si>
  <si>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</si>
  <si>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</si>
  <si>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</si>
  <si>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</si>
  <si>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</si>
  <si>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</si>
  <si>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</si>
  <si>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</si>
  <si>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</si>
  <si>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</si>
  <si>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</si>
  <si>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</si>
  <si>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</si>
  <si>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</si>
  <si>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</si>
  <si>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</si>
  <si>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</si>
  <si>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</si>
  <si>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</si>
  <si>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</si>
  <si>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</si>
  <si>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</si>
  <si>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</si>
  <si>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</si>
  <si>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</si>
  <si>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</si>
  <si>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</si>
  <si>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</si>
  <si>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</si>
  <si>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</si>
  <si>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</si>
  <si>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</si>
  <si>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</si>
  <si>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</si>
  <si>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</si>
  <si>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</si>
  <si>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</si>
  <si>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</si>
  <si>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</si>
  <si>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</si>
  <si>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</si>
  <si>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</si>
  <si>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</si>
  <si>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</si>
  <si>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</si>
  <si>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</si>
  <si>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</si>
  <si>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</si>
  <si>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</si>
  <si>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</si>
  <si>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</si>
  <si>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</si>
  <si>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</si>
  <si>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</si>
  <si>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</si>
  <si>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</si>
  <si>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</si>
  <si>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</si>
  <si>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</si>
  <si>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</si>
  <si>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</si>
  <si>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</si>
  <si>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</si>
  <si>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</si>
  <si>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</si>
  <si>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</si>
  <si>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</si>
  <si>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</si>
  <si>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</si>
  <si>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</si>
  <si>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</si>
  <si>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</si>
  <si>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</si>
  <si>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</si>
  <si>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</si>
  <si>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</si>
  <si>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</si>
  <si>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</si>
  <si>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</si>
  <si>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</si>
  <si>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</si>
  <si>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</si>
  <si>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</si>
  <si>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</si>
  <si>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</si>
  <si>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</si>
  <si>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</si>
  <si>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</si>
  <si>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</si>
  <si>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</si>
  <si>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</si>
  <si>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</si>
  <si>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</si>
  <si>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</si>
  <si>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</si>
  <si>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</si>
  <si>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</si>
  <si>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</si>
  <si>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</si>
  <si>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</si>
  <si>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</si>
  <si>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</si>
  <si>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</si>
  <si>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</si>
  <si>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</si>
  <si>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</si>
  <si>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</si>
  <si>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</si>
  <si>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</si>
  <si>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</si>
  <si>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</si>
  <si>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</si>
  <si>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</si>
  <si>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</si>
  <si>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</si>
  <si>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</si>
  <si>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</si>
  <si>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</si>
  <si>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</si>
  <si>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</si>
  <si>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</si>
  <si>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</si>
  <si>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</si>
  <si>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</si>
  <si>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</si>
  <si>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</si>
  <si>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</si>
  <si>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</si>
  <si>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</si>
  <si>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</si>
  <si>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</si>
  <si>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</si>
  <si>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</si>
  <si>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</si>
  <si>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</si>
  <si>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</si>
  <si>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</si>
  <si>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</si>
  <si>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</si>
  <si>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</si>
  <si>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</si>
  <si>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</si>
  <si>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</si>
  <si>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</si>
  <si>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</si>
  <si>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</si>
  <si>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</si>
  <si>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</si>
  <si>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</si>
  <si>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</si>
  <si>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</si>
  <si>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</si>
  <si>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</si>
  <si>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</si>
  <si>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</si>
  <si>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</si>
  <si>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</si>
  <si>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</si>
  <si>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</si>
  <si>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</si>
  <si>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</si>
  <si>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</si>
  <si>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</si>
  <si>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</si>
  <si>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</si>
  <si>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</si>
  <si>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</si>
  <si>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</si>
  <si>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</si>
  <si>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</si>
  <si>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</si>
  <si>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</si>
  <si>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</si>
  <si>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</si>
  <si>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</si>
  <si>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</si>
  <si>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</si>
  <si>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</si>
  <si>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</si>
  <si>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</si>
  <si>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</si>
  <si>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</si>
  <si>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</si>
  <si>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</si>
  <si>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</si>
  <si>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</si>
  <si>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</si>
  <si>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</si>
  <si>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</si>
  <si>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</si>
  <si>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</si>
  <si>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</si>
  <si>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</si>
  <si>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</si>
  <si>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</si>
  <si>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</si>
  <si>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</si>
  <si>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</si>
  <si>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</si>
  <si>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</si>
  <si>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</si>
  <si>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</si>
  <si>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</si>
  <si>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</si>
  <si>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</si>
  <si>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</si>
  <si>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</si>
  <si>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</si>
  <si>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</si>
  <si>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</si>
  <si>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</si>
  <si>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</si>
  <si>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</si>
  <si>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</si>
  <si>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</si>
  <si>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</si>
  <si>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</si>
  <si>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</si>
  <si>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</si>
  <si>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</si>
  <si>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</si>
  <si>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</si>
  <si>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</si>
  <si>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</si>
  <si>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</si>
  <si>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</si>
  <si>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</si>
  <si>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</si>
  <si>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</si>
  <si>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</si>
  <si>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</si>
  <si>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</si>
  <si>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</si>
  <si>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</si>
  <si>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</si>
  <si>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</si>
  <si>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U01</t>
  </si>
  <si>
    <t>U02</t>
  </si>
  <si>
    <t>U03</t>
  </si>
  <si>
    <t>U04</t>
  </si>
  <si>
    <t>U05</t>
  </si>
  <si>
    <t>U06</t>
  </si>
  <si>
    <t>U07</t>
  </si>
  <si>
    <t>U08</t>
  </si>
  <si>
    <t>U09</t>
  </si>
  <si>
    <t>U10</t>
  </si>
  <si>
    <t>U11</t>
  </si>
  <si>
    <t>U12</t>
  </si>
  <si>
    <t>U13</t>
  </si>
  <si>
    <t>U14</t>
  </si>
  <si>
    <t>U15</t>
  </si>
  <si>
    <t>U16</t>
  </si>
  <si>
    <t>U17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</si>
  <si>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</si>
  <si>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</si>
  <si>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</si>
  <si>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</si>
  <si>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</si>
  <si>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</si>
  <si>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</si>
  <si>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</si>
  <si>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</si>
  <si>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</si>
  <si>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</si>
  <si>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</si>
  <si>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</si>
  <si>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</si>
  <si>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</si>
  <si>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</si>
  <si>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</si>
  <si>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</si>
  <si>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</si>
  <si>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</si>
  <si>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</si>
  <si>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</si>
  <si>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</si>
  <si>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</si>
  <si>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</si>
  <si>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</si>
  <si>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</si>
  <si>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</si>
  <si>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</si>
  <si>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</si>
  <si>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</si>
  <si>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</si>
  <si>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</si>
  <si>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</si>
  <si>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</si>
  <si>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</si>
  <si>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</si>
  <si>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</si>
  <si>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</si>
  <si>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</si>
  <si>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</si>
  <si>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</si>
  <si>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</si>
  <si>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</si>
  <si>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</si>
  <si>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</si>
  <si>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</si>
  <si>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</si>
  <si>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</si>
  <si>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</si>
  <si>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</si>
  <si>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</si>
  <si>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</si>
  <si>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</si>
  <si>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</si>
  <si>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</si>
  <si>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</si>
  <si>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</si>
  <si>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</si>
  <si>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</si>
  <si>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</si>
  <si>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</si>
  <si>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</si>
  <si>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</si>
  <si>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</si>
  <si>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</si>
  <si>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</si>
  <si>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</si>
  <si>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</si>
  <si>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</si>
  <si>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</si>
  <si>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</si>
  <si>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</si>
  <si>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</si>
  <si>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</si>
  <si>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</si>
  <si>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</si>
  <si>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</si>
  <si>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</si>
  <si>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</si>
  <si>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</si>
  <si>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</si>
  <si>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</si>
  <si>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</si>
  <si>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</si>
  <si>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</si>
  <si>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</si>
  <si>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</si>
  <si>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</si>
  <si>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</si>
  <si>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</si>
  <si>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</si>
  <si>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</si>
  <si>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O51</t>
  </si>
  <si>
    <t>O52</t>
  </si>
  <si>
    <t>O53</t>
  </si>
  <si>
    <t>O54</t>
  </si>
  <si>
    <t>O55</t>
  </si>
  <si>
    <t>O56</t>
  </si>
  <si>
    <t>O57</t>
  </si>
  <si>
    <t>O58</t>
  </si>
  <si>
    <t>O59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</si>
  <si>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</si>
  <si>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</si>
  <si>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</si>
  <si>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</si>
  <si>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</si>
  <si>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</si>
  <si>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</si>
  <si>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</si>
  <si>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</si>
  <si>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</si>
  <si>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</si>
  <si>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</si>
  <si>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</si>
  <si>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</si>
  <si>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</si>
  <si>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</si>
  <si>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</si>
  <si>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</si>
  <si>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O78</t>
  </si>
  <si>
    <t>O79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</si>
  <si>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</si>
  <si>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</si>
  <si>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</si>
  <si>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</si>
  <si>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</si>
  <si>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</si>
  <si>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</si>
  <si>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</si>
  <si>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</si>
  <si>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</si>
  <si>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</si>
  <si>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</si>
  <si>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</si>
  <si>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O93</t>
  </si>
  <si>
    <t>O94</t>
  </si>
  <si>
    <t>O95</t>
  </si>
  <si>
    <t>O96</t>
  </si>
  <si>
    <t>O97</t>
  </si>
  <si>
    <t>O98</t>
  </si>
  <si>
    <t>O99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</si>
  <si>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</si>
  <si>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</si>
  <si>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</si>
  <si>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</si>
  <si>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</si>
  <si>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</si>
  <si>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</si>
  <si>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</si>
  <si>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</si>
  <si>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</si>
  <si>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</si>
  <si>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</si>
  <si>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</si>
  <si>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</si>
  <si>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</si>
  <si>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</si>
  <si>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</si>
  <si>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</si>
  <si>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</si>
  <si>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</si>
  <si>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</si>
  <si>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</si>
  <si>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</si>
  <si>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</si>
  <si>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</si>
  <si>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</si>
  <si>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</si>
  <si>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</si>
  <si>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</si>
  <si>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</si>
  <si>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</si>
  <si>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</si>
  <si>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</si>
  <si>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</si>
  <si>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</si>
  <si>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</si>
  <si>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</si>
  <si>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</si>
  <si>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</si>
  <si>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</si>
  <si>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</si>
  <si>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</si>
  <si>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</si>
  <si>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</si>
  <si>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</si>
  <si>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</si>
  <si>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</si>
  <si>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</si>
  <si>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</si>
  <si>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</si>
  <si>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</si>
  <si>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</si>
  <si>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</si>
  <si>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</si>
  <si>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</si>
  <si>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</si>
  <si>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</si>
  <si>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</si>
  <si>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</si>
  <si>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</si>
  <si>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</si>
  <si>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</si>
  <si>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</si>
  <si>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</si>
  <si>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</si>
  <si>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</si>
  <si>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</si>
  <si>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</si>
  <si>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</si>
  <si>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</si>
  <si>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</si>
  <si>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</si>
  <si>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</si>
  <si>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</si>
  <si>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</si>
  <si>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</si>
  <si>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</si>
  <si>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</si>
  <si>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</si>
  <si>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</si>
  <si>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</si>
  <si>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</si>
  <si>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</si>
  <si>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</si>
  <si>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</si>
  <si>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</si>
  <si>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</si>
  <si>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</si>
  <si>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</si>
  <si>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</si>
  <si>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</si>
  <si>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</si>
  <si>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</si>
  <si>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</si>
  <si>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</si>
  <si>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</si>
  <si>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</si>
  <si>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</si>
  <si>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</si>
  <si>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</si>
  <si>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</si>
  <si>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</si>
  <si>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</si>
  <si>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</si>
  <si>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</si>
  <si>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</si>
  <si>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</si>
  <si>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</si>
  <si>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</si>
  <si>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</si>
  <si>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</si>
  <si>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</si>
  <si>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</si>
  <si>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</si>
  <si>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</si>
  <si>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</si>
  <si>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</si>
  <si>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</si>
  <si>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</si>
  <si>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</si>
  <si>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</si>
  <si>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</si>
  <si>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</si>
  <si>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</si>
  <si>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</si>
  <si>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</si>
  <si>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</si>
  <si>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</si>
  <si>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</si>
  <si>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</si>
  <si>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</si>
  <si>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</si>
  <si>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</si>
  <si>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</si>
  <si>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</si>
  <si>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</si>
  <si>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</si>
  <si>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</si>
  <si>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</si>
  <si>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</si>
  <si>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</si>
  <si>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</si>
  <si>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</si>
  <si>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</si>
  <si>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</si>
  <si>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</si>
  <si>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</si>
  <si>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</si>
  <si>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</si>
  <si>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</si>
  <si>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</si>
  <si>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</si>
  <si>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</si>
  <si>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</si>
  <si>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</si>
  <si>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</si>
  <si>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</si>
  <si>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</si>
  <si>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</si>
  <si>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</si>
  <si>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</si>
  <si>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</si>
  <si>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</si>
  <si>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</si>
  <si>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</si>
  <si>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</si>
  <si>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</si>
  <si>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</si>
  <si>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</si>
  <si>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</si>
  <si>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</si>
  <si>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</si>
  <si>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</si>
  <si>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</si>
  <si>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</si>
  <si>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</si>
  <si>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</si>
  <si>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</si>
  <si>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</si>
  <si>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</si>
  <si>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</si>
  <si>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</si>
  <si>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</si>
  <si>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</si>
  <si>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</si>
  <si>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</si>
  <si>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</si>
  <si>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</si>
  <si>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</si>
  <si>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</si>
  <si>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</si>
  <si>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</si>
  <si>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</si>
  <si>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</si>
  <si>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</si>
  <si>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</si>
  <si>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</si>
  <si>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</si>
  <si>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</si>
  <si>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</si>
  <si>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</si>
  <si>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</si>
  <si>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</si>
  <si>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</si>
  <si>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</si>
  <si>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</si>
  <si>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</si>
  <si>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</si>
  <si>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</si>
  <si>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</si>
  <si>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</si>
  <si>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</si>
  <si>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</si>
  <si>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</si>
  <si>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</si>
  <si>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</si>
  <si>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</si>
  <si>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</si>
  <si>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</si>
  <si>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</si>
  <si>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</si>
  <si>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</si>
  <si>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</si>
  <si>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</si>
  <si>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</si>
  <si>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</si>
  <si>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</si>
  <si>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</si>
  <si>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</si>
  <si>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</si>
  <si>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</si>
  <si>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</si>
  <si>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</si>
  <si>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</si>
  <si>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</si>
  <si>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</si>
  <si>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</si>
  <si>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</si>
  <si>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</si>
  <si>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</si>
  <si>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</si>
  <si>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</si>
  <si>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</si>
  <si>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</si>
  <si>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</si>
  <si>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</si>
  <si>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</si>
  <si>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</si>
  <si>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</si>
  <si>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</si>
  <si>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</si>
  <si>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</si>
  <si>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</si>
  <si>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</si>
  <si>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</si>
  <si>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</si>
  <si>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</si>
  <si>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</si>
  <si>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</si>
  <si>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</si>
  <si>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</si>
  <si>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</si>
  <si>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</si>
  <si>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</si>
  <si>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K96</t>
  </si>
  <si>
    <t>K97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</si>
  <si>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</si>
  <si>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</si>
  <si>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</si>
  <si>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</si>
  <si>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</si>
  <si>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</si>
  <si>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</si>
  <si>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</si>
  <si>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</si>
  <si>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</si>
  <si>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</si>
  <si>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</si>
  <si>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</si>
  <si>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</si>
  <si>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</si>
  <si>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</si>
  <si>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</si>
  <si>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</si>
  <si>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</si>
  <si>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</si>
  <si>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</si>
  <si>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</si>
  <si>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</si>
  <si>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</si>
  <si>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</si>
  <si>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</si>
  <si>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</si>
  <si>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</si>
  <si>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V01</t>
  </si>
  <si>
    <t>V02</t>
  </si>
  <si>
    <t>V03</t>
  </si>
  <si>
    <t>V04</t>
  </si>
  <si>
    <t>V05</t>
  </si>
  <si>
    <t>V06</t>
  </si>
  <si>
    <t>V07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</si>
  <si>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</si>
  <si>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</si>
  <si>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</si>
  <si>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</si>
  <si>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</si>
  <si>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</si>
  <si>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</si>
  <si>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</si>
  <si>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</si>
  <si>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</si>
  <si>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</si>
  <si>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</si>
  <si>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</si>
  <si>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</si>
  <si>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</si>
  <si>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</si>
  <si>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</si>
  <si>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</si>
  <si>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</si>
  <si>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</si>
  <si>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</si>
  <si>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</si>
  <si>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</si>
  <si>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</si>
  <si>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</si>
  <si>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</si>
  <si>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</si>
  <si>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</si>
  <si>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</si>
  <si>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</si>
  <si>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</si>
  <si>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</si>
  <si>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</si>
  <si>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</si>
  <si>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</si>
  <si>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</si>
  <si>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</si>
  <si>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</si>
  <si>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</si>
  <si>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</si>
  <si>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</si>
  <si>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</si>
  <si>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</si>
  <si>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K98</t>
  </si>
  <si>
    <t>K99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</si>
  <si>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</si>
  <si>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</si>
  <si>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</si>
  <si>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</si>
  <si>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</si>
  <si>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</si>
  <si>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</si>
  <si>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</si>
  <si>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</si>
  <si>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</si>
  <si>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</si>
  <si>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</si>
  <si>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</si>
  <si>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</si>
  <si>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</si>
  <si>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</si>
  <si>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</si>
  <si>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</si>
  <si>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</si>
  <si>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</si>
  <si>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</si>
  <si>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</si>
  <si>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</si>
  <si>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</si>
  <si>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</si>
  <si>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</si>
  <si>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</si>
  <si>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</si>
  <si>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</si>
  <si>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</si>
  <si>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</si>
  <si>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</si>
  <si>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</si>
  <si>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</si>
  <si>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</si>
  <si>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</si>
  <si>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</si>
  <si>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</si>
  <si>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</si>
  <si>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</si>
  <si>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</si>
  <si>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</si>
  <si>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</si>
  <si>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</si>
  <si>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</si>
  <si>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</si>
  <si>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</si>
  <si>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</si>
  <si>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</si>
  <si>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</si>
  <si>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</si>
  <si>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</si>
  <si>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</si>
  <si>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</si>
  <si>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</si>
  <si>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</si>
  <si>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</si>
  <si>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</si>
  <si>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</si>
  <si>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</si>
  <si>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</si>
  <si>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</si>
  <si>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</si>
  <si>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</si>
  <si>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</si>
  <si>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</si>
  <si>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</si>
  <si>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</si>
  <si>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</si>
  <si>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</si>
  <si>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</si>
  <si>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</si>
  <si>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</si>
  <si>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</si>
  <si>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</si>
  <si>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</si>
  <si>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</si>
  <si>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</si>
  <si>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</si>
  <si>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</si>
  <si>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</si>
  <si>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</si>
  <si>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</si>
  <si>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</si>
  <si>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</si>
  <si>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</si>
  <si>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</si>
  <si>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</si>
  <si>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</si>
  <si>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</si>
  <si>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</si>
  <si>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</si>
  <si>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</si>
  <si>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</si>
  <si>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</si>
  <si>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</si>
  <si>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</si>
  <si>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</si>
  <si>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</si>
  <si>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</si>
  <si>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</si>
  <si>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</si>
  <si>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</si>
  <si>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</si>
  <si>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</si>
  <si>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</si>
  <si>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</si>
  <si>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</si>
  <si>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</si>
  <si>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</si>
  <si>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</si>
  <si>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</si>
  <si>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</si>
  <si>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</si>
  <si>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</si>
  <si>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</si>
  <si>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</si>
  <si>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</si>
  <si>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</si>
  <si>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</si>
  <si>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</si>
  <si>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</si>
  <si>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</si>
  <si>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</si>
  <si>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</si>
  <si>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</si>
  <si>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</si>
  <si>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</si>
  <si>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</si>
  <si>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</si>
  <si>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</si>
  <si>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</si>
  <si>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</si>
  <si>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</si>
  <si>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</si>
  <si>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</si>
  <si>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</si>
  <si>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</si>
  <si>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</si>
  <si>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</si>
  <si>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</si>
  <si>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</si>
  <si>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</si>
  <si>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</si>
  <si>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</si>
  <si>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</si>
  <si>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</si>
  <si>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</si>
  <si>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</si>
  <si>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</si>
  <si>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</si>
  <si>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</si>
  <si>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</si>
  <si>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</si>
  <si>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</si>
  <si>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</si>
  <si>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</si>
  <si>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</si>
  <si>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</si>
  <si>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</si>
  <si>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</si>
  <si>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</si>
  <si>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</si>
  <si>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</si>
  <si>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</si>
  <si>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</si>
  <si>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</si>
  <si>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</si>
  <si>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</si>
  <si>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</si>
  <si>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</si>
  <si>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</si>
  <si>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</si>
  <si>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</si>
  <si>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</si>
  <si>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</si>
  <si>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</si>
  <si>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</si>
  <si>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</si>
  <si>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</si>
  <si>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</si>
  <si>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</si>
  <si>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</si>
  <si>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</si>
  <si>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</si>
  <si>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</si>
  <si>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</si>
  <si>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</si>
  <si>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</si>
  <si>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</si>
  <si>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</si>
  <si>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</si>
  <si>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</si>
  <si>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</si>
  <si>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</si>
  <si>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</si>
  <si>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</si>
  <si>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</si>
  <si>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</si>
  <si>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</si>
  <si>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</si>
  <si>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</si>
  <si>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</si>
  <si>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</si>
  <si>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</si>
  <si>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</si>
  <si>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</si>
  <si>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</si>
  <si>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</si>
  <si>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</si>
  <si>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</si>
  <si>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</si>
  <si>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</si>
  <si>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</si>
  <si>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</si>
  <si>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</si>
  <si>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</si>
  <si>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</si>
  <si>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</si>
  <si>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</si>
  <si>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</si>
  <si>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</si>
  <si>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</si>
  <si>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</si>
  <si>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</si>
  <si>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</si>
  <si>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</si>
  <si>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</si>
  <si>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</si>
  <si>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</si>
  <si>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</si>
  <si>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</si>
  <si>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</si>
  <si>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</si>
  <si>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</si>
  <si>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</si>
  <si>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</si>
  <si>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</si>
  <si>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</si>
  <si>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</si>
  <si>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</si>
  <si>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</si>
  <si>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</si>
  <si>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</si>
  <si>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</si>
  <si>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</si>
  <si>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</si>
  <si>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</si>
  <si>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</si>
  <si>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</si>
  <si>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</si>
  <si>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</si>
  <si>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</si>
  <si>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</si>
  <si>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</si>
  <si>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</si>
  <si>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</si>
  <si>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</si>
  <si>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</si>
  <si>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</si>
  <si>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</si>
  <si>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</si>
  <si>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</si>
  <si>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</si>
  <si>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</si>
  <si>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</si>
  <si>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</si>
  <si>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</si>
  <si>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</si>
  <si>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</si>
  <si>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</si>
  <si>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</si>
  <si>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</si>
  <si>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</si>
  <si>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</si>
  <si>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</si>
  <si>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</si>
  <si>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</si>
  <si>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</si>
  <si>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</si>
  <si>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</si>
  <si>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</si>
  <si>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</si>
  <si>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</si>
  <si>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</si>
  <si>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</si>
  <si>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</si>
  <si>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</si>
  <si>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</si>
  <si>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</si>
  <si>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</si>
  <si>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</si>
  <si>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</si>
  <si>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</si>
  <si>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</si>
  <si>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</si>
  <si>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</si>
  <si>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</si>
  <si>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</si>
  <si>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</si>
  <si>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</si>
  <si>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</si>
  <si>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</si>
  <si>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</si>
  <si>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</si>
  <si>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</si>
  <si>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</si>
  <si>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</si>
  <si>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</si>
  <si>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</si>
  <si>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</si>
  <si>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</si>
  <si>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</si>
  <si>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</si>
  <si>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</si>
  <si>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</si>
  <si>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</si>
  <si>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</si>
  <si>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</si>
  <si>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</si>
  <si>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</si>
  <si>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</si>
  <si>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</si>
  <si>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</si>
  <si>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</si>
  <si>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</si>
  <si>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</si>
  <si>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</si>
  <si>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</si>
  <si>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</si>
  <si>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</si>
  <si>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</si>
  <si>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</si>
  <si>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</si>
  <si>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</si>
  <si>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</si>
  <si>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</si>
  <si>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</si>
  <si>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</si>
  <si>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</si>
  <si>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</si>
  <si>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</si>
  <si>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</si>
  <si>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</si>
  <si>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</si>
  <si>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</si>
  <si>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</si>
  <si>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</si>
  <si>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</si>
  <si>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</si>
  <si>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</si>
  <si>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Q01</t>
  </si>
  <si>
    <t>Q02</t>
  </si>
  <si>
    <t>Q03</t>
  </si>
  <si>
    <t>Q04</t>
  </si>
  <si>
    <t>Q05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</si>
  <si>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</si>
  <si>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</si>
  <si>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</si>
  <si>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</si>
  <si>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</si>
  <si>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</si>
  <si>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</si>
  <si>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</si>
  <si>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</si>
  <si>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</si>
  <si>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</si>
  <si>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</si>
  <si>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</si>
  <si>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</si>
  <si>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</si>
  <si>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</si>
  <si>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</si>
  <si>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</si>
  <si>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</si>
  <si>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</si>
  <si>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</si>
  <si>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</si>
  <si>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</si>
  <si>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</si>
  <si>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</si>
  <si>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</si>
  <si>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</si>
  <si>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</si>
  <si>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</si>
  <si>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</si>
  <si>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</si>
  <si>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</si>
  <si>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</si>
  <si>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</si>
  <si>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</si>
  <si>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</si>
  <si>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</si>
  <si>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</si>
  <si>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</si>
  <si>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</si>
  <si>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</si>
  <si>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</si>
  <si>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</si>
  <si>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</si>
  <si>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</si>
  <si>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</si>
  <si>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</si>
  <si>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</si>
  <si>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</si>
  <si>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</si>
  <si>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</si>
  <si>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</si>
  <si>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</si>
  <si>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</si>
  <si>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</si>
  <si>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</si>
  <si>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</si>
  <si>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</si>
  <si>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</si>
  <si>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</si>
  <si>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</si>
  <si>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</si>
  <si>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</si>
  <si>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</si>
  <si>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</si>
  <si>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</si>
  <si>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</si>
  <si>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</si>
  <si>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</si>
  <si>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</si>
  <si>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</si>
  <si>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</si>
  <si>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</si>
  <si>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</si>
  <si>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</si>
  <si>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</si>
  <si>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</si>
  <si>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</si>
  <si>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</si>
  <si>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</si>
  <si>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</si>
  <si>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</si>
  <si>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</si>
  <si>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</si>
  <si>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</si>
  <si>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</si>
  <si>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</si>
  <si>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</si>
  <si>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</si>
  <si>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</si>
  <si>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</si>
  <si>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</si>
  <si>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</si>
  <si>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</si>
  <si>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</si>
  <si>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</si>
  <si>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</si>
  <si>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</si>
  <si>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</si>
  <si>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</si>
  <si>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</si>
  <si>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</si>
  <si>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</si>
  <si>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</si>
  <si>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</si>
  <si>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</si>
  <si>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</si>
  <si>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</si>
  <si>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</si>
  <si>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</si>
  <si>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</si>
  <si>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</si>
  <si>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</si>
  <si>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</si>
  <si>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</si>
  <si>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</si>
  <si>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</si>
  <si>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</si>
  <si>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</si>
  <si>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</si>
  <si>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</si>
  <si>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</si>
  <si>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</si>
  <si>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</si>
  <si>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</si>
  <si>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</si>
  <si>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V65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</si>
  <si>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</si>
  <si>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</si>
  <si>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</si>
  <si>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</si>
  <si>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</si>
  <si>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</si>
  <si>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</si>
  <si>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</si>
  <si>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</si>
  <si>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</si>
  <si>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</si>
  <si>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</si>
  <si>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</si>
  <si>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</si>
  <si>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</si>
  <si>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</si>
  <si>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</si>
  <si>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</si>
  <si>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</si>
  <si>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</si>
  <si>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</si>
  <si>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</si>
  <si>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</si>
  <si>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</si>
  <si>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</si>
  <si>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</si>
  <si>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</si>
  <si>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</si>
  <si>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</si>
  <si>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</si>
  <si>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</si>
  <si>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</si>
  <si>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</si>
  <si>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</si>
  <si>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</si>
  <si>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</si>
  <si>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</si>
  <si>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</si>
  <si>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</si>
  <si>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</si>
  <si>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</si>
  <si>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</si>
  <si>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</si>
  <si>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</si>
  <si>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</si>
  <si>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</si>
  <si>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</si>
  <si>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</si>
  <si>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</si>
  <si>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</si>
  <si>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</si>
  <si>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</si>
  <si>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</si>
  <si>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</si>
  <si>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</si>
  <si>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</si>
  <si>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</si>
  <si>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</si>
  <si>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</si>
  <si>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</si>
  <si>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</si>
  <si>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</si>
  <si>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</si>
  <si>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</si>
  <si>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</si>
  <si>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</si>
  <si>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</si>
  <si>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</si>
  <si>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</si>
  <si>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</si>
  <si>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</si>
  <si>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</si>
  <si>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</si>
  <si>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</si>
  <si>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</si>
  <si>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</si>
  <si>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</si>
  <si>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</si>
  <si>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</si>
  <si>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</si>
  <si>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</si>
  <si>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</si>
  <si>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</si>
  <si>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</si>
  <si>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</si>
  <si>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</si>
  <si>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</si>
  <si>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</si>
  <si>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</si>
  <si>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</si>
  <si>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</si>
  <si>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</si>
  <si>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</si>
  <si>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</si>
  <si>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</si>
  <si>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</si>
  <si>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</si>
  <si>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</si>
  <si>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</si>
  <si>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</si>
  <si>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</si>
  <si>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</si>
  <si>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</si>
  <si>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</si>
  <si>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</si>
  <si>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</si>
  <si>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</si>
  <si>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</si>
  <si>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</si>
  <si>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</si>
  <si>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</si>
  <si>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</si>
  <si>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</si>
  <si>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</si>
  <si>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</si>
  <si>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</si>
  <si>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</si>
  <si>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</si>
  <si>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</si>
  <si>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</si>
  <si>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</si>
  <si>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</si>
  <si>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</si>
  <si>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</si>
  <si>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</si>
  <si>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</si>
  <si>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</si>
  <si>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</si>
  <si>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</si>
  <si>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</si>
  <si>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</si>
  <si>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</si>
  <si>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</si>
  <si>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</si>
  <si>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</si>
  <si>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</si>
  <si>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</si>
  <si>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</si>
  <si>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</si>
  <si>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</si>
  <si>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</si>
  <si>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</si>
  <si>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</si>
  <si>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</si>
  <si>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</si>
  <si>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</si>
  <si>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</si>
  <si>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</si>
  <si>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</si>
  <si>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</si>
  <si>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</si>
  <si>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</si>
  <si>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</si>
  <si>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</si>
  <si>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</si>
  <si>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</si>
  <si>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</si>
  <si>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</si>
  <si>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</si>
  <si>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</si>
  <si>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</si>
  <si>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</si>
  <si>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</si>
  <si>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</si>
  <si>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</si>
  <si>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</si>
  <si>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</si>
  <si>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</si>
  <si>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</si>
  <si>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</si>
  <si>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</si>
  <si>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</si>
  <si>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</si>
  <si>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</si>
  <si>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</si>
  <si>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</si>
  <si>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</si>
  <si>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</si>
  <si>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</si>
  <si>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</si>
  <si>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</si>
  <si>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</si>
  <si>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</si>
  <si>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</si>
  <si>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I01</t>
  </si>
  <si>
    <t>I02</t>
  </si>
  <si>
    <t>I03</t>
  </si>
  <si>
    <t>I04</t>
  </si>
  <si>
    <t>I05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</si>
  <si>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</si>
  <si>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</si>
  <si>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</si>
  <si>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</si>
  <si>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</si>
  <si>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</si>
  <si>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</si>
  <si>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</si>
  <si>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</si>
  <si>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</si>
  <si>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</si>
  <si>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</si>
  <si>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</si>
  <si>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</si>
  <si>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</si>
  <si>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</si>
  <si>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</si>
  <si>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</si>
  <si>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</si>
  <si>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</si>
  <si>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</si>
  <si>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</si>
  <si>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</si>
  <si>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</si>
  <si>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</si>
  <si>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</si>
  <si>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</si>
  <si>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</si>
  <si>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</si>
  <si>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</si>
  <si>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</si>
  <si>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</si>
  <si>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</si>
  <si>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</si>
  <si>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</si>
  <si>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</si>
  <si>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</si>
  <si>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</si>
  <si>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</si>
  <si>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N01</t>
  </si>
  <si>
    <t>N02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</si>
  <si>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</si>
  <si>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</si>
  <si>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</si>
  <si>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</si>
  <si>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</si>
  <si>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</si>
  <si>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</si>
  <si>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</si>
  <si>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</si>
  <si>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</si>
  <si>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</si>
  <si>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</si>
  <si>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</si>
  <si>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</si>
  <si>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</si>
  <si>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</si>
  <si>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</si>
  <si>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</si>
  <si>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</si>
  <si>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</si>
  <si>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</si>
  <si>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</si>
  <si>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</si>
  <si>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</si>
  <si>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</si>
  <si>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</si>
  <si>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</si>
  <si>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</si>
  <si>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</si>
  <si>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</si>
  <si>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</si>
  <si>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</si>
  <si>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</si>
  <si>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</si>
  <si>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</si>
  <si>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</si>
  <si>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A24</t>
  </si>
  <si>
    <t>A25</t>
  </si>
  <si>
    <t>A26</t>
  </si>
  <si>
    <t>A27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</si>
  <si>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</si>
  <si>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</si>
  <si>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</si>
  <si>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</si>
  <si>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</si>
  <si>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</si>
  <si>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</si>
  <si>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</si>
  <si>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</si>
  <si>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</si>
  <si>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</si>
  <si>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</si>
  <si>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</si>
  <si>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</si>
  <si>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</si>
  <si>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</si>
  <si>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</si>
  <si>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</si>
  <si>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</si>
  <si>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</si>
  <si>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</si>
  <si>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</si>
  <si>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</si>
  <si>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</si>
  <si>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</si>
  <si>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</si>
  <si>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</si>
  <si>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</si>
  <si>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</si>
  <si>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</si>
  <si>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</si>
  <si>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</si>
  <si>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</si>
  <si>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</si>
  <si>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</si>
  <si>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</si>
  <si>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</si>
  <si>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</si>
  <si>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</si>
  <si>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</si>
  <si>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</si>
  <si>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</si>
  <si>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</si>
  <si>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</si>
  <si>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</si>
  <si>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</si>
  <si>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</si>
  <si>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</si>
  <si>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</si>
  <si>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</si>
  <si>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</si>
  <si>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</si>
  <si>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</si>
  <si>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</si>
  <si>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</si>
  <si>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</si>
  <si>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</si>
  <si>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</si>
  <si>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</si>
  <si>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</si>
  <si>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</si>
  <si>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</si>
  <si>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</si>
  <si>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</si>
  <si>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</si>
  <si>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</si>
  <si>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</si>
  <si>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</si>
  <si>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</si>
  <si>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</si>
  <si>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</si>
  <si>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</si>
  <si>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</si>
  <si>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</si>
  <si>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</si>
  <si>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</si>
  <si>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</si>
  <si>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</si>
  <si>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</si>
  <si>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</si>
  <si>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</si>
  <si>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</si>
  <si>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</si>
  <si>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</si>
  <si>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</si>
  <si>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</si>
  <si>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</si>
  <si>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</si>
  <si>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</si>
  <si>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</si>
  <si>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</si>
  <si>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</si>
  <si>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</si>
  <si>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</si>
  <si>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</si>
  <si>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</si>
  <si>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</si>
  <si>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</si>
  <si>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</si>
  <si>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</si>
  <si>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</si>
  <si>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</si>
  <si>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</si>
  <si>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</si>
  <si>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</si>
  <si>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</si>
  <si>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</si>
  <si>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</si>
  <si>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</si>
  <si>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</si>
  <si>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</si>
  <si>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</si>
  <si>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</si>
  <si>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</si>
  <si>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</si>
  <si>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</si>
  <si>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</si>
  <si>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</si>
  <si>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</si>
  <si>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</si>
  <si>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</si>
  <si>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</si>
  <si>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</si>
  <si>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</si>
  <si>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</si>
  <si>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</si>
  <si>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</si>
  <si>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</si>
  <si>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</si>
  <si>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</si>
  <si>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</si>
  <si>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</si>
  <si>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</si>
  <si>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</si>
  <si>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</si>
  <si>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</si>
  <si>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</si>
  <si>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</si>
  <si>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</si>
  <si>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</si>
  <si>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</si>
  <si>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</si>
  <si>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</si>
  <si>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</si>
  <si>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</si>
  <si>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</si>
  <si>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</si>
  <si>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</si>
  <si>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</si>
  <si>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</si>
  <si>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</si>
  <si>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</si>
  <si>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</si>
  <si>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</si>
  <si>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</si>
  <si>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</si>
  <si>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</si>
  <si>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</si>
  <si>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</si>
  <si>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</si>
  <si>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</si>
  <si>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</si>
  <si>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</si>
  <si>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</si>
  <si>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</si>
  <si>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</si>
  <si>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</si>
  <si>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</si>
  <si>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</si>
  <si>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</si>
  <si>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</si>
  <si>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</si>
  <si>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</si>
  <si>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</si>
  <si>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</si>
  <si>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</si>
  <si>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</si>
  <si>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</si>
  <si>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</si>
  <si>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</si>
  <si>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</si>
  <si>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</si>
  <si>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</si>
  <si>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</si>
  <si>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</si>
  <si>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</si>
  <si>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</si>
  <si>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</si>
  <si>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</si>
  <si>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</si>
  <si>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</si>
  <si>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</si>
  <si>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</si>
  <si>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</si>
  <si>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</si>
  <si>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</si>
  <si>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</si>
  <si>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</si>
  <si>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</si>
  <si>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</si>
  <si>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</si>
  <si>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</si>
  <si>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</si>
  <si>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</si>
  <si>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</si>
  <si>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</si>
  <si>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</si>
  <si>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</si>
  <si>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</si>
  <si>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</si>
  <si>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</si>
  <si>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</si>
  <si>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</si>
  <si>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</si>
  <si>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</si>
  <si>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</si>
  <si>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</si>
  <si>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</si>
  <si>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</si>
  <si>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</si>
  <si>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</si>
  <si>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</si>
  <si>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</si>
  <si>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</si>
  <si>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</si>
  <si>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</si>
  <si>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</si>
  <si>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</si>
  <si>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</si>
  <si>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</si>
  <si>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</si>
  <si>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</si>
  <si>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</si>
  <si>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</si>
  <si>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</si>
  <si>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</si>
  <si>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</si>
  <si>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</si>
  <si>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</si>
  <si>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</si>
  <si>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</si>
  <si>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</si>
  <si>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</si>
  <si>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</si>
  <si>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</si>
  <si>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</si>
  <si>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</si>
  <si>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</si>
  <si>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</si>
  <si>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</si>
  <si>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</si>
  <si>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</si>
  <si>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</si>
  <si>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</si>
  <si>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</si>
  <si>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</si>
  <si>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</si>
  <si>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</si>
  <si>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</si>
  <si>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</si>
  <si>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</si>
  <si>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</si>
  <si>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</si>
  <si>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</si>
  <si>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</si>
  <si>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</si>
  <si>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</si>
  <si>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</si>
  <si>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</si>
  <si>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</si>
  <si>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</si>
  <si>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</si>
  <si>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</si>
  <si>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</si>
  <si>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</si>
  <si>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</si>
  <si>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</si>
  <si>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</si>
  <si>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</si>
  <si>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</si>
  <si>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</si>
  <si>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</si>
  <si>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</si>
  <si>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</si>
  <si>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</si>
  <si>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</si>
  <si>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</si>
  <si>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</si>
  <si>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</si>
  <si>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</si>
  <si>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</si>
  <si>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</si>
  <si>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</si>
  <si>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</si>
  <si>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</si>
  <si>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</si>
  <si>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</si>
  <si>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</si>
  <si>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</si>
  <si>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</si>
  <si>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</si>
  <si>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</si>
  <si>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</si>
  <si>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</si>
  <si>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</si>
  <si>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</si>
  <si>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</si>
  <si>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</si>
  <si>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</si>
  <si>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</si>
  <si>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</si>
  <si>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</si>
  <si>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</si>
  <si>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</si>
  <si>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</si>
  <si>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</si>
  <si>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</si>
  <si>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</si>
  <si>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</si>
  <si>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</si>
  <si>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</si>
  <si>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</si>
  <si>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</si>
  <si>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</si>
  <si>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</si>
  <si>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</si>
  <si>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</si>
  <si>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</si>
  <si>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</si>
  <si>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</si>
  <si>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</si>
  <si>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</si>
  <si>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</si>
  <si>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</si>
  <si>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</si>
  <si>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</si>
  <si>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</si>
  <si>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</si>
  <si>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</si>
  <si>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</si>
  <si>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</si>
  <si>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</si>
  <si>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</si>
  <si>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</si>
  <si>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</si>
  <si>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</si>
  <si>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</si>
  <si>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</si>
  <si>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</si>
  <si>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</si>
  <si>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</si>
  <si>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</si>
  <si>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</si>
  <si>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</si>
  <si>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</si>
  <si>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</si>
  <si>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</si>
  <si>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</si>
  <si>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</si>
  <si>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</si>
  <si>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</si>
  <si>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</si>
  <si>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</si>
  <si>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</si>
  <si>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DF2</t>
  </si>
  <si>
    <t>DF3</t>
  </si>
  <si>
    <t>DF4</t>
  </si>
  <si>
    <t>DB9</t>
  </si>
  <si>
    <t>DC0</t>
  </si>
  <si>
    <t>DC1</t>
  </si>
  <si>
    <t>DC2</t>
  </si>
  <si>
    <t>DC3</t>
  </si>
  <si>
    <t>DC4</t>
  </si>
  <si>
    <t>DC5</t>
  </si>
  <si>
    <t>DC6</t>
  </si>
  <si>
    <t>DC7</t>
  </si>
  <si>
    <t>DC8</t>
  </si>
  <si>
    <t>DC9</t>
  </si>
  <si>
    <t>DD0</t>
  </si>
  <si>
    <t>DD1</t>
  </si>
  <si>
    <t>DD2</t>
  </si>
  <si>
    <t>DD3</t>
  </si>
  <si>
    <t>DD4</t>
  </si>
  <si>
    <t>DD5</t>
  </si>
  <si>
    <t>DD6</t>
  </si>
  <si>
    <t>DD7</t>
  </si>
  <si>
    <t>DD8</t>
  </si>
  <si>
    <t>DD9</t>
  </si>
  <si>
    <t>DE0</t>
  </si>
  <si>
    <t>DE1</t>
  </si>
  <si>
    <t>DE2</t>
  </si>
  <si>
    <t>DE3</t>
  </si>
  <si>
    <t>DE4</t>
  </si>
  <si>
    <t>DE5</t>
  </si>
  <si>
    <t>DE6</t>
  </si>
  <si>
    <t>DE7</t>
  </si>
  <si>
    <t>DE8</t>
  </si>
  <si>
    <t>DE9</t>
  </si>
  <si>
    <t>DF0</t>
  </si>
  <si>
    <t>DF1</t>
  </si>
  <si>
    <t>V64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</si>
  <si>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</si>
  <si>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</si>
  <si>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</si>
  <si>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</si>
  <si>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</si>
  <si>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</si>
  <si>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</si>
  <si>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</si>
  <si>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</si>
  <si>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</si>
  <si>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</si>
  <si>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</si>
  <si>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</si>
  <si>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</si>
  <si>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</si>
  <si>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</si>
  <si>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</si>
  <si>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</si>
  <si>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</si>
  <si>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</si>
  <si>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</si>
  <si>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</si>
  <si>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</si>
  <si>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</si>
  <si>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</si>
  <si>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</si>
  <si>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</si>
  <si>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</si>
  <si>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</si>
  <si>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</si>
  <si>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</si>
  <si>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</si>
  <si>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</si>
  <si>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</si>
  <si>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</si>
  <si>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</si>
  <si>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</si>
  <si>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</si>
  <si>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</si>
  <si>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</si>
  <si>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</si>
  <si>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</si>
  <si>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</si>
  <si>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</si>
  <si>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</si>
  <si>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</si>
  <si>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</si>
  <si>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</si>
  <si>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</si>
  <si>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</si>
  <si>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</si>
  <si>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</si>
  <si>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</si>
  <si>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</si>
  <si>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</si>
  <si>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</si>
  <si>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</si>
  <si>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</si>
  <si>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</si>
  <si>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</si>
  <si>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</si>
  <si>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</si>
  <si>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</si>
  <si>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</si>
  <si>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</si>
  <si>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</si>
  <si>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</si>
  <si>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</si>
  <si>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</si>
  <si>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</si>
  <si>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</si>
  <si>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</si>
  <si>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</si>
  <si>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</si>
  <si>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</si>
  <si>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</si>
  <si>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</si>
  <si>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</si>
  <si>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</si>
  <si>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</si>
  <si>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</si>
  <si>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</si>
  <si>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DF5</t>
  </si>
  <si>
    <t>DF6</t>
  </si>
  <si>
    <t>DF7</t>
  </si>
  <si>
    <t>DF8</t>
  </si>
  <si>
    <t>DF9</t>
  </si>
  <si>
    <t>DG0</t>
  </si>
  <si>
    <t>DG1</t>
  </si>
  <si>
    <t>DG2</t>
  </si>
  <si>
    <t>DG3</t>
  </si>
  <si>
    <t>DG4</t>
  </si>
  <si>
    <t>DG5</t>
  </si>
  <si>
    <t>DG6</t>
  </si>
  <si>
    <t>DG7</t>
  </si>
  <si>
    <t>DG8</t>
  </si>
  <si>
    <t>DG9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</si>
  <si>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</si>
  <si>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</si>
  <si>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</si>
  <si>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</si>
  <si>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</si>
  <si>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</si>
  <si>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</si>
  <si>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</si>
  <si>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</si>
  <si>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</si>
  <si>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</si>
  <si>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</si>
  <si>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</si>
  <si>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</si>
  <si>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</si>
  <si>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</si>
  <si>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</si>
  <si>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</si>
  <si>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</si>
  <si>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</si>
  <si>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</si>
  <si>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</si>
  <si>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</si>
  <si>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</si>
  <si>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</si>
  <si>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</si>
  <si>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</si>
  <si>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</si>
  <si>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</si>
  <si>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</si>
  <si>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</si>
  <si>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</si>
  <si>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</si>
  <si>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</si>
  <si>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</si>
  <si>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</si>
  <si>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</si>
  <si>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</si>
  <si>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</si>
  <si>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</si>
  <si>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</si>
  <si>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</si>
  <si>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</si>
  <si>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</si>
  <si>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</si>
  <si>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</si>
  <si>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</si>
  <si>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</si>
  <si>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</si>
  <si>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</si>
  <si>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</si>
  <si>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</si>
  <si>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</si>
  <si>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</si>
  <si>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</si>
  <si>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</si>
  <si>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</si>
  <si>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</si>
  <si>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</si>
  <si>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</si>
  <si>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</si>
  <si>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</si>
  <si>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</si>
  <si>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</si>
  <si>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</si>
  <si>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</si>
  <si>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</si>
  <si>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</si>
  <si>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</si>
  <si>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</si>
  <si>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</si>
  <si>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</si>
  <si>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</si>
  <si>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</si>
  <si>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</si>
  <si>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</si>
  <si>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</si>
  <si>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</si>
  <si>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DH0</t>
  </si>
  <si>
    <t>DH1</t>
  </si>
  <si>
    <t>DH2</t>
  </si>
  <si>
    <t>DH3</t>
  </si>
  <si>
    <t>DH4</t>
  </si>
  <si>
    <t>DH5</t>
  </si>
  <si>
    <t>DH6</t>
  </si>
  <si>
    <t>DH7</t>
  </si>
  <si>
    <t>DH8</t>
  </si>
  <si>
    <t>DH9</t>
  </si>
  <si>
    <t>DI0</t>
  </si>
  <si>
    <t>DI1</t>
  </si>
  <si>
    <t>DI2</t>
  </si>
  <si>
    <t>DI3</t>
  </si>
  <si>
    <t>DI4</t>
  </si>
  <si>
    <t>DI5</t>
  </si>
  <si>
    <t>DI6</t>
  </si>
  <si>
    <t>DI7</t>
  </si>
  <si>
    <t>DI8</t>
  </si>
  <si>
    <t>DI9</t>
  </si>
  <si>
    <t>DJ0</t>
  </si>
  <si>
    <t>DJ1</t>
  </si>
  <si>
    <t>DJ2</t>
  </si>
  <si>
    <t>DJ3</t>
  </si>
  <si>
    <t>DJ4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</si>
  <si>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</si>
  <si>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</si>
  <si>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</si>
  <si>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</si>
  <si>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</si>
  <si>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</si>
  <si>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</si>
  <si>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</si>
  <si>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</si>
  <si>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</si>
  <si>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</si>
  <si>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</si>
  <si>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</si>
  <si>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</si>
  <si>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</si>
  <si>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</si>
  <si>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</si>
  <si>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</si>
  <si>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</si>
  <si>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</si>
  <si>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</si>
  <si>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</si>
  <si>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</si>
  <si>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</si>
  <si>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</si>
  <si>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</si>
  <si>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</si>
  <si>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</si>
  <si>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</si>
  <si>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</si>
  <si>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</si>
  <si>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</si>
  <si>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</si>
  <si>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</si>
  <si>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</si>
  <si>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</si>
  <si>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</si>
  <si>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</si>
  <si>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</si>
  <si>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</si>
  <si>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</si>
  <si>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</si>
  <si>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</si>
  <si>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</si>
  <si>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</si>
  <si>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</si>
  <si>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</si>
  <si>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</si>
  <si>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</si>
  <si>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</si>
  <si>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</si>
  <si>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</si>
  <si>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</si>
  <si>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</si>
  <si>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</si>
  <si>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</si>
  <si>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</si>
  <si>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</si>
  <si>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</si>
  <si>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</si>
  <si>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</si>
  <si>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</si>
  <si>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</si>
  <si>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</si>
  <si>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</si>
  <si>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</si>
  <si>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</si>
  <si>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</si>
  <si>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</si>
  <si>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</si>
  <si>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</si>
  <si>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</si>
  <si>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</si>
  <si>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</si>
  <si>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</si>
  <si>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</si>
  <si>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</si>
  <si>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</si>
  <si>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</si>
  <si>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</si>
  <si>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</si>
  <si>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</si>
  <si>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DJ5</t>
  </si>
  <si>
    <t>DJ6</t>
  </si>
  <si>
    <t>DJ7</t>
  </si>
  <si>
    <t>DJ8</t>
  </si>
  <si>
    <t>DJ9</t>
  </si>
  <si>
    <t>DK0</t>
  </si>
  <si>
    <t>DK1</t>
  </si>
  <si>
    <t>DK2</t>
  </si>
  <si>
    <t>DK3</t>
  </si>
  <si>
    <t>DK4</t>
  </si>
  <si>
    <t>DK5</t>
  </si>
  <si>
    <t>DK6</t>
  </si>
  <si>
    <t>DK7</t>
  </si>
  <si>
    <t>DK8</t>
  </si>
  <si>
    <t>DK9</t>
  </si>
  <si>
    <t>DL0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</si>
  <si>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</si>
  <si>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</si>
  <si>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</si>
  <si>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</si>
  <si>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</si>
  <si>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</si>
  <si>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</si>
  <si>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</si>
  <si>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</si>
  <si>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</si>
  <si>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</si>
  <si>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</si>
  <si>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</si>
  <si>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</si>
  <si>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</si>
  <si>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</si>
  <si>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</si>
  <si>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</si>
  <si>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</si>
  <si>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</si>
  <si>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</si>
  <si>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</si>
  <si>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</si>
  <si>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</si>
  <si>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</si>
  <si>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</si>
  <si>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</si>
  <si>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</si>
  <si>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</si>
  <si>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</si>
  <si>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</si>
  <si>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</si>
  <si>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</si>
  <si>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</si>
  <si>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</si>
  <si>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</si>
  <si>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</si>
  <si>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</si>
  <si>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</si>
  <si>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</si>
  <si>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</si>
  <si>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</si>
  <si>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</si>
  <si>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</si>
  <si>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</si>
  <si>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</si>
  <si>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</si>
  <si>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</si>
  <si>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</si>
  <si>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</si>
  <si>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</si>
  <si>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</si>
  <si>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</si>
  <si>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</si>
  <si>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</si>
  <si>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</si>
  <si>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</si>
  <si>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</si>
  <si>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</si>
  <si>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</si>
  <si>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</si>
  <si>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</si>
  <si>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</si>
  <si>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</si>
  <si>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</si>
  <si>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</si>
  <si>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</si>
  <si>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</si>
  <si>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</si>
  <si>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</si>
  <si>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</si>
  <si>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</si>
  <si>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</si>
  <si>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</si>
  <si>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</si>
  <si>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</si>
  <si>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</si>
  <si>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</si>
  <si>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</si>
  <si>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</si>
  <si>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</si>
  <si>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</si>
  <si>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DL1</t>
  </si>
  <si>
    <t>DL2</t>
  </si>
  <si>
    <t>DL3</t>
  </si>
  <si>
    <t>DL4</t>
  </si>
  <si>
    <t>DL5</t>
  </si>
  <si>
    <t>DL6</t>
  </si>
  <si>
    <t>DL7</t>
  </si>
  <si>
    <t>DL8</t>
  </si>
  <si>
    <t>DL9</t>
  </si>
  <si>
    <t>DM0</t>
  </si>
  <si>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</si>
  <si>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</si>
  <si>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</si>
  <si>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</si>
  <si>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</si>
  <si>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</si>
  <si>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</si>
  <si>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</si>
  <si>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</si>
  <si>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DN0</t>
  </si>
  <si>
    <t>DN1</t>
  </si>
  <si>
    <t>DN2</t>
  </si>
  <si>
    <t>DN3</t>
  </si>
  <si>
    <t>Y93</t>
  </si>
  <si>
    <t>Y94</t>
  </si>
  <si>
    <t>Y95</t>
  </si>
  <si>
    <t>Y96</t>
  </si>
  <si>
    <t>Y97</t>
  </si>
  <si>
    <t>Y98</t>
  </si>
  <si>
    <t>Y99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</si>
  <si>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</si>
  <si>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</si>
  <si>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</si>
  <si>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</si>
  <si>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</si>
  <si>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</si>
  <si>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</si>
  <si>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</si>
  <si>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</si>
  <si>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</si>
  <si>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</si>
  <si>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</si>
  <si>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</si>
  <si>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</si>
  <si>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</si>
  <si>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</si>
  <si>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</si>
  <si>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</si>
  <si>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</si>
  <si>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</si>
  <si>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</si>
  <si>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</si>
  <si>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</si>
  <si>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</si>
  <si>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</si>
  <si>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</si>
  <si>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</si>
  <si>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</si>
  <si>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</si>
  <si>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</si>
  <si>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</si>
  <si>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</si>
  <si>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</si>
  <si>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</si>
  <si>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</si>
  <si>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</si>
  <si>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</si>
  <si>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</si>
  <si>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</si>
  <si>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</si>
  <si>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</si>
  <si>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</si>
  <si>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</si>
  <si>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</si>
  <si>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</si>
  <si>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</si>
  <si>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</si>
  <si>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</si>
  <si>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</si>
  <si>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</si>
  <si>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</si>
  <si>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</si>
  <si>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</si>
  <si>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</si>
  <si>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</si>
  <si>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</si>
  <si>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</si>
  <si>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</si>
  <si>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</si>
  <si>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</si>
  <si>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</si>
  <si>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</si>
  <si>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</si>
  <si>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</si>
  <si>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</si>
  <si>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</si>
  <si>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</si>
  <si>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</si>
  <si>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</si>
  <si>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</si>
  <si>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</si>
  <si>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</si>
  <si>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</si>
  <si>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</si>
  <si>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</si>
  <si>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</si>
  <si>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</si>
  <si>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DN4</t>
  </si>
  <si>
    <t>DN5</t>
  </si>
  <si>
    <t>DN6</t>
  </si>
  <si>
    <t>DN7</t>
  </si>
  <si>
    <t>DN8</t>
  </si>
  <si>
    <t>DN9</t>
  </si>
  <si>
    <t>DO0</t>
  </si>
  <si>
    <t>DO1</t>
  </si>
  <si>
    <t>DO2</t>
  </si>
  <si>
    <t>DO3</t>
  </si>
  <si>
    <t>DO4</t>
  </si>
  <si>
    <t>DO5</t>
  </si>
  <si>
    <t>DO6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</si>
  <si>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</si>
  <si>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</si>
  <si>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</si>
  <si>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</si>
  <si>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</si>
  <si>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</si>
  <si>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</si>
  <si>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</si>
  <si>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</si>
  <si>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</si>
  <si>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</si>
  <si>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</si>
  <si>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</si>
  <si>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</si>
  <si>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</si>
  <si>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</si>
  <si>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</si>
  <si>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</si>
  <si>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</si>
  <si>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</si>
  <si>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</si>
  <si>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</si>
  <si>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AA0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</si>
  <si>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</si>
  <si>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</si>
  <si>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</si>
  <si>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</si>
  <si>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</si>
  <si>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</si>
  <si>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</si>
  <si>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</si>
  <si>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</si>
  <si>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AB0</t>
  </si>
  <si>
    <t>AB1</t>
  </si>
  <si>
    <t>AB2</t>
  </si>
  <si>
    <t>AB3</t>
  </si>
  <si>
    <t>AB4</t>
  </si>
  <si>
    <t>AB5</t>
  </si>
  <si>
    <t>AB6</t>
  </si>
  <si>
    <t>AB7</t>
  </si>
  <si>
    <t>AB8</t>
  </si>
  <si>
    <t>AB9</t>
  </si>
  <si>
    <t>AC0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</si>
  <si>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</si>
  <si>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</si>
  <si>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</si>
  <si>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</si>
  <si>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</si>
  <si>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</si>
  <si>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</si>
  <si>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</si>
  <si>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</si>
  <si>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AD0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</si>
  <si>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</si>
  <si>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</si>
  <si>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</si>
  <si>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</si>
  <si>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</si>
  <si>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</si>
  <si>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</si>
  <si>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</si>
  <si>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</si>
  <si>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AE0</t>
  </si>
  <si>
    <t>AE1</t>
  </si>
  <si>
    <t>AE2</t>
  </si>
  <si>
    <t>AE3</t>
  </si>
  <si>
    <t>AE4</t>
  </si>
  <si>
    <t>AE5</t>
  </si>
  <si>
    <t>AE6</t>
  </si>
  <si>
    <t>AE7</t>
  </si>
  <si>
    <t>AE8</t>
  </si>
  <si>
    <t>AE9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</si>
  <si>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</si>
  <si>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</si>
  <si>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</si>
  <si>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</si>
  <si>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</si>
  <si>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</si>
  <si>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</si>
  <si>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</si>
  <si>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</si>
  <si>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</si>
  <si>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AG0</t>
  </si>
  <si>
    <t>AG1</t>
  </si>
  <si>
    <t>DO7</t>
  </si>
  <si>
    <t>DO8</t>
  </si>
  <si>
    <t>DO9</t>
  </si>
  <si>
    <t>DP0</t>
  </si>
  <si>
    <t>AG2</t>
  </si>
  <si>
    <t>AG3</t>
  </si>
  <si>
    <t>AG4</t>
  </si>
  <si>
    <t>AG5</t>
  </si>
  <si>
    <t>AG6</t>
  </si>
  <si>
    <t>AG7</t>
  </si>
  <si>
    <t>AG8</t>
  </si>
  <si>
    <t>AG9</t>
  </si>
  <si>
    <t>AH0</t>
  </si>
  <si>
    <t>AH1</t>
  </si>
  <si>
    <t>AH2</t>
  </si>
  <si>
    <t>AH3</t>
  </si>
  <si>
    <t>AH4</t>
  </si>
  <si>
    <t>AH5</t>
  </si>
  <si>
    <t>AH6</t>
  </si>
  <si>
    <t>AH7</t>
  </si>
  <si>
    <t>AH8</t>
  </si>
  <si>
    <t>AH9</t>
  </si>
  <si>
    <t>AI0</t>
  </si>
  <si>
    <t>AI1</t>
  </si>
  <si>
    <t>AI2</t>
  </si>
  <si>
    <t>AI3</t>
  </si>
  <si>
    <t>AI4</t>
  </si>
  <si>
    <t>AI5</t>
  </si>
  <si>
    <t>AI6</t>
  </si>
  <si>
    <t>AI7</t>
  </si>
  <si>
    <t>AI8</t>
  </si>
  <si>
    <t>AI9</t>
  </si>
  <si>
    <t>AJ0</t>
  </si>
  <si>
    <t>AJ1</t>
  </si>
  <si>
    <t>AJ2</t>
  </si>
  <si>
    <t>AJ3</t>
  </si>
  <si>
    <t>AJ4</t>
  </si>
  <si>
    <t>AJ5</t>
  </si>
  <si>
    <t>AJ6</t>
  </si>
  <si>
    <t>AJ7</t>
  </si>
  <si>
    <t>AJ8</t>
  </si>
  <si>
    <t>AJ9</t>
  </si>
  <si>
    <t>AK0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</si>
  <si>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</si>
  <si>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</si>
  <si>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</si>
  <si>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</si>
  <si>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</si>
  <si>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</si>
  <si>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</si>
  <si>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</si>
  <si>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</si>
  <si>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AL0</t>
  </si>
  <si>
    <t>AL1</t>
  </si>
  <si>
    <t>AL2</t>
  </si>
  <si>
    <t>AL3</t>
  </si>
  <si>
    <t>AL4</t>
  </si>
  <si>
    <t>AL5</t>
  </si>
  <si>
    <t>AL6</t>
  </si>
  <si>
    <t>AL7</t>
  </si>
  <si>
    <t>AL8</t>
  </si>
  <si>
    <t>AL9</t>
  </si>
  <si>
    <t>AM0</t>
  </si>
  <si>
    <t>AM1</t>
  </si>
  <si>
    <t>AM2</t>
  </si>
  <si>
    <t>AM3</t>
  </si>
  <si>
    <t>AM4</t>
  </si>
  <si>
    <t>AM5</t>
  </si>
  <si>
    <t>AM6</t>
  </si>
  <si>
    <t>AM7</t>
  </si>
  <si>
    <t>AM8</t>
  </si>
  <si>
    <t>AM9</t>
  </si>
  <si>
    <t>AN0</t>
  </si>
  <si>
    <t>AN1</t>
  </si>
  <si>
    <t>AN2</t>
  </si>
  <si>
    <t>AN3</t>
  </si>
  <si>
    <t>AN4</t>
  </si>
  <si>
    <t>AN5</t>
  </si>
  <si>
    <t>AN6</t>
  </si>
  <si>
    <t>AN7</t>
  </si>
  <si>
    <t>AN8</t>
  </si>
  <si>
    <t>AN9</t>
  </si>
  <si>
    <t>AO0</t>
  </si>
  <si>
    <t>AO1</t>
  </si>
  <si>
    <t>AO2</t>
  </si>
  <si>
    <t>DP1</t>
  </si>
  <si>
    <t>DP2</t>
  </si>
  <si>
    <t>DP3</t>
  </si>
  <si>
    <t>DP4</t>
  </si>
  <si>
    <t>DP5</t>
  </si>
  <si>
    <t>DP6</t>
  </si>
  <si>
    <t>DP7</t>
  </si>
  <si>
    <t>DP8</t>
  </si>
  <si>
    <t>AO3</t>
  </si>
  <si>
    <t>AO4</t>
  </si>
  <si>
    <t>AO5</t>
  </si>
  <si>
    <t>AO6</t>
  </si>
  <si>
    <t>AO7</t>
  </si>
  <si>
    <t>AO8</t>
  </si>
  <si>
    <t>AO9</t>
  </si>
  <si>
    <t>AP0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</si>
  <si>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</si>
  <si>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</si>
  <si>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</si>
  <si>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</si>
  <si>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</si>
  <si>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</si>
  <si>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</si>
  <si>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</si>
  <si>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</si>
  <si>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AQ0</t>
  </si>
  <si>
    <t>AQ1</t>
  </si>
  <si>
    <t>AQ2</t>
  </si>
  <si>
    <t>AQ3</t>
  </si>
  <si>
    <t>AQ4</t>
  </si>
  <si>
    <t>AQ5</t>
  </si>
  <si>
    <t>AQ6</t>
  </si>
  <si>
    <t>AQ7</t>
  </si>
  <si>
    <t>AQ8</t>
  </si>
  <si>
    <t>AQ9</t>
  </si>
  <si>
    <t>AR0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</si>
  <si>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</si>
  <si>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</si>
  <si>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</si>
  <si>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</si>
  <si>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</si>
  <si>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</si>
  <si>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</si>
  <si>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</si>
  <si>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</si>
  <si>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AS0</t>
  </si>
  <si>
    <t>AS1</t>
  </si>
  <si>
    <t>AS2</t>
  </si>
  <si>
    <t>AS3</t>
  </si>
  <si>
    <t>AS4</t>
  </si>
  <si>
    <t>AS5</t>
  </si>
  <si>
    <t>AS6</t>
  </si>
  <si>
    <t>AS7</t>
  </si>
  <si>
    <t>AS8</t>
  </si>
  <si>
    <t>AS9</t>
  </si>
  <si>
    <t>AT0</t>
  </si>
  <si>
    <t>AT1</t>
  </si>
  <si>
    <t>AT2</t>
  </si>
  <si>
    <t>AT3</t>
  </si>
  <si>
    <t>AT4</t>
  </si>
  <si>
    <t>AT5</t>
  </si>
  <si>
    <t>AT6</t>
  </si>
  <si>
    <t>AT7</t>
  </si>
  <si>
    <t>AT8</t>
  </si>
  <si>
    <t>AT9</t>
  </si>
  <si>
    <t>AU0</t>
  </si>
  <si>
    <t>AU1</t>
  </si>
  <si>
    <t>AU2</t>
  </si>
  <si>
    <t>AU3</t>
  </si>
  <si>
    <t>AU4</t>
  </si>
  <si>
    <t>AU5</t>
  </si>
  <si>
    <t>AU6</t>
  </si>
  <si>
    <t>AU7</t>
  </si>
  <si>
    <t>AU8</t>
  </si>
  <si>
    <t>AU9</t>
  </si>
  <si>
    <t>AV0</t>
  </si>
  <si>
    <t>AV1</t>
  </si>
  <si>
    <t>AV2</t>
  </si>
  <si>
    <t>AV3</t>
  </si>
  <si>
    <t>AV4</t>
  </si>
  <si>
    <t>AV5</t>
  </si>
  <si>
    <t>AV6</t>
  </si>
  <si>
    <t>AV7</t>
  </si>
  <si>
    <t>AV8</t>
  </si>
  <si>
    <t>AV9</t>
  </si>
  <si>
    <t>AW0</t>
  </si>
  <si>
    <t>AW1</t>
  </si>
  <si>
    <t>AW2</t>
  </si>
  <si>
    <t>AW3</t>
  </si>
  <si>
    <t>DP9</t>
  </si>
  <si>
    <t>DQ0</t>
  </si>
  <si>
    <t>DQ1</t>
  </si>
  <si>
    <t>DQ2</t>
  </si>
  <si>
    <t>DQ3</t>
  </si>
  <si>
    <t>DQ4</t>
  </si>
  <si>
    <t>AW4</t>
  </si>
  <si>
    <t>AW5</t>
  </si>
  <si>
    <t>AW6</t>
  </si>
  <si>
    <t>AW7</t>
  </si>
  <si>
    <t>AW8</t>
  </si>
  <si>
    <t>AW9</t>
  </si>
  <si>
    <t>AX0</t>
  </si>
  <si>
    <t>AX1</t>
  </si>
  <si>
    <t>AX2</t>
  </si>
  <si>
    <t>AX3</t>
  </si>
  <si>
    <t>AX4</t>
  </si>
  <si>
    <t>AX5</t>
  </si>
  <si>
    <t>AX6</t>
  </si>
  <si>
    <t>AX7</t>
  </si>
  <si>
    <t>AX8</t>
  </si>
  <si>
    <t>AX9</t>
  </si>
  <si>
    <t>AY0</t>
  </si>
  <si>
    <t>AY1</t>
  </si>
  <si>
    <t>AY2</t>
  </si>
  <si>
    <t>AY3</t>
  </si>
  <si>
    <t>AY4</t>
  </si>
  <si>
    <t>AY5</t>
  </si>
  <si>
    <t>AY6</t>
  </si>
  <si>
    <t>AY7</t>
  </si>
  <si>
    <t>AY8</t>
  </si>
  <si>
    <t>AY9</t>
  </si>
  <si>
    <t>AZ0</t>
  </si>
  <si>
    <t>AZ1</t>
  </si>
  <si>
    <t>AZ2</t>
  </si>
  <si>
    <t>AZ3</t>
  </si>
  <si>
    <t>AZ4</t>
  </si>
  <si>
    <t>AZ5</t>
  </si>
  <si>
    <t>AZ6</t>
  </si>
  <si>
    <t>AZ7</t>
  </si>
  <si>
    <t>AZ8</t>
  </si>
  <si>
    <t>AZ9</t>
  </si>
  <si>
    <t>BA0</t>
  </si>
  <si>
    <t>BA1</t>
  </si>
  <si>
    <t>BA2</t>
  </si>
  <si>
    <t>BA3</t>
  </si>
  <si>
    <t>BA4</t>
  </si>
  <si>
    <t>BA5</t>
  </si>
  <si>
    <t>BA6</t>
  </si>
  <si>
    <t>BA7</t>
  </si>
  <si>
    <t>BA8</t>
  </si>
  <si>
    <t>BA9</t>
  </si>
  <si>
    <t>BB0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</si>
  <si>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</si>
  <si>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</si>
  <si>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</si>
  <si>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</si>
  <si>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</si>
  <si>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</si>
  <si>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</si>
  <si>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</si>
  <si>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</si>
  <si>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BC0</t>
  </si>
  <si>
    <t>BC1</t>
  </si>
  <si>
    <t>BC2</t>
  </si>
  <si>
    <t>BC3</t>
  </si>
  <si>
    <t>BC4</t>
  </si>
  <si>
    <t>BC5</t>
  </si>
  <si>
    <t>BC6</t>
  </si>
  <si>
    <t>BC7</t>
  </si>
  <si>
    <t>BC8</t>
  </si>
  <si>
    <t>BC9</t>
  </si>
  <si>
    <t>BD0</t>
  </si>
  <si>
    <t>BD1</t>
  </si>
  <si>
    <t>BD2</t>
  </si>
  <si>
    <t>BD3</t>
  </si>
  <si>
    <t>BD4</t>
  </si>
  <si>
    <t>BD5</t>
  </si>
  <si>
    <t>BD6</t>
  </si>
  <si>
    <t>BD7</t>
  </si>
  <si>
    <t>BD8</t>
  </si>
  <si>
    <t>BD9</t>
  </si>
  <si>
    <t>BE0</t>
  </si>
  <si>
    <t>BE1</t>
  </si>
  <si>
    <t>BE2</t>
  </si>
  <si>
    <t>BE3</t>
  </si>
  <si>
    <t>BE4</t>
  </si>
  <si>
    <t>BE5</t>
  </si>
  <si>
    <t>DQ5</t>
  </si>
  <si>
    <t>DQ6</t>
  </si>
  <si>
    <t>DQ7</t>
  </si>
  <si>
    <t>DQ8</t>
  </si>
  <si>
    <t>DQ9</t>
  </si>
  <si>
    <t>DR0</t>
  </si>
  <si>
    <t>DR1</t>
  </si>
  <si>
    <t>DR2</t>
  </si>
  <si>
    <t>DR3</t>
  </si>
  <si>
    <t>DR4</t>
  </si>
  <si>
    <t>BE6</t>
  </si>
  <si>
    <t>BE7</t>
  </si>
  <si>
    <t>BE8</t>
  </si>
  <si>
    <t>BE9</t>
  </si>
  <si>
    <t>BF0</t>
  </si>
  <si>
    <t>BF1</t>
  </si>
  <si>
    <t>BF2</t>
  </si>
  <si>
    <t>BF3</t>
  </si>
  <si>
    <t>BF4</t>
  </si>
  <si>
    <t>BF5</t>
  </si>
  <si>
    <t>BF6</t>
  </si>
  <si>
    <t>BF7</t>
  </si>
  <si>
    <t>BF8</t>
  </si>
  <si>
    <t>BF9</t>
  </si>
  <si>
    <t>BG0</t>
  </si>
  <si>
    <t>BG1</t>
  </si>
  <si>
    <t>BG2</t>
  </si>
  <si>
    <t>BG3</t>
  </si>
  <si>
    <t>BG4</t>
  </si>
  <si>
    <t>BG5</t>
  </si>
  <si>
    <t>BG6</t>
  </si>
  <si>
    <t>BG7</t>
  </si>
  <si>
    <t>BG8</t>
  </si>
  <si>
    <t>BG9</t>
  </si>
  <si>
    <t>BH0</t>
  </si>
  <si>
    <t>BH1</t>
  </si>
  <si>
    <t>BH2</t>
  </si>
  <si>
    <t>BH3</t>
  </si>
  <si>
    <t>BH4</t>
  </si>
  <si>
    <t>BH5</t>
  </si>
  <si>
    <t>BH6</t>
  </si>
  <si>
    <t>BH7</t>
  </si>
  <si>
    <t>BH8</t>
  </si>
  <si>
    <t>BH9</t>
  </si>
  <si>
    <t>BI0</t>
  </si>
  <si>
    <t>BI1</t>
  </si>
  <si>
    <t>BI2</t>
  </si>
  <si>
    <t>BI3</t>
  </si>
  <si>
    <t>BI4</t>
  </si>
  <si>
    <t>BI5</t>
  </si>
  <si>
    <t>BI6</t>
  </si>
  <si>
    <t>BI7</t>
  </si>
  <si>
    <t>BI8</t>
  </si>
  <si>
    <t>BI9</t>
  </si>
  <si>
    <t>BJ0</t>
  </si>
  <si>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</si>
  <si>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</si>
  <si>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</si>
  <si>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</si>
  <si>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</si>
  <si>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</si>
  <si>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</si>
  <si>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</si>
  <si>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</si>
  <si>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BK0</t>
  </si>
  <si>
    <t>BK1</t>
  </si>
  <si>
    <t>BK2</t>
  </si>
  <si>
    <t>BK3</t>
  </si>
  <si>
    <t>BK4</t>
  </si>
  <si>
    <t>BK5</t>
  </si>
  <si>
    <t>BK6</t>
  </si>
  <si>
    <t>BK7</t>
  </si>
  <si>
    <t>BK8</t>
  </si>
  <si>
    <t>BK9</t>
  </si>
  <si>
    <t>BL0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</si>
  <si>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</si>
  <si>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</si>
  <si>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</si>
  <si>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</si>
  <si>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</si>
  <si>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</si>
  <si>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</si>
  <si>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</si>
  <si>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</si>
  <si>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BM0</t>
  </si>
  <si>
    <t>BM1</t>
  </si>
  <si>
    <t>BM2</t>
  </si>
  <si>
    <t>BM3</t>
  </si>
  <si>
    <t>BM4</t>
  </si>
  <si>
    <t>BM5</t>
  </si>
  <si>
    <t>BM6</t>
  </si>
  <si>
    <t>DR5</t>
  </si>
  <si>
    <t>DR6</t>
  </si>
  <si>
    <t>DR7</t>
  </si>
  <si>
    <t>BM7</t>
  </si>
  <si>
    <t>BM8</t>
  </si>
  <si>
    <t>BM9</t>
  </si>
  <si>
    <t>BN0</t>
  </si>
  <si>
    <t>BN1</t>
  </si>
  <si>
    <t>BN2</t>
  </si>
  <si>
    <t>BN3</t>
  </si>
  <si>
    <t>BN4</t>
  </si>
  <si>
    <t>BN5</t>
  </si>
  <si>
    <t>BN6</t>
  </si>
  <si>
    <t>BN7</t>
  </si>
  <si>
    <t>BN8</t>
  </si>
  <si>
    <t>BN9</t>
  </si>
  <si>
    <t>BO0</t>
  </si>
  <si>
    <t>BO1</t>
  </si>
  <si>
    <t>BO2</t>
  </si>
  <si>
    <t>BO3</t>
  </si>
  <si>
    <t>BO4</t>
  </si>
  <si>
    <t>BO5</t>
  </si>
  <si>
    <t>BO6</t>
  </si>
  <si>
    <t>BO7</t>
  </si>
  <si>
    <t>BO8</t>
  </si>
  <si>
    <t>BO9</t>
  </si>
  <si>
    <t>BP0</t>
  </si>
  <si>
    <t>BP1</t>
  </si>
  <si>
    <t>BP2</t>
  </si>
  <si>
    <t>BP3</t>
  </si>
  <si>
    <t>BP4</t>
  </si>
  <si>
    <t>BP5</t>
  </si>
  <si>
    <t>BP6</t>
  </si>
  <si>
    <t>BP7</t>
  </si>
  <si>
    <t>BP8</t>
  </si>
  <si>
    <t>BP9</t>
  </si>
  <si>
    <t>BQ0</t>
  </si>
  <si>
    <t>BQ1</t>
  </si>
  <si>
    <t>BQ2</t>
  </si>
  <si>
    <t>BQ3</t>
  </si>
  <si>
    <t>BQ4</t>
  </si>
  <si>
    <t>BQ5</t>
  </si>
  <si>
    <t>BQ6</t>
  </si>
  <si>
    <t>BQ7</t>
  </si>
  <si>
    <t>BQ8</t>
  </si>
  <si>
    <t>BQ9</t>
  </si>
  <si>
    <t>BR0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</si>
  <si>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</si>
  <si>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</si>
  <si>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</si>
  <si>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</si>
  <si>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</si>
  <si>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</si>
  <si>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</si>
  <si>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</si>
  <si>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</si>
  <si>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BS0</t>
  </si>
  <si>
    <t>BS1</t>
  </si>
  <si>
    <t>BS2</t>
  </si>
  <si>
    <t>BS3</t>
  </si>
  <si>
    <t>BS4</t>
  </si>
  <si>
    <t>BS5</t>
  </si>
  <si>
    <t>BS6</t>
  </si>
  <si>
    <t>BS7</t>
  </si>
  <si>
    <t>BS8</t>
  </si>
  <si>
    <t>BS9</t>
  </si>
  <si>
    <t>BT0</t>
  </si>
  <si>
    <t>BT1</t>
  </si>
  <si>
    <t>BT2</t>
  </si>
  <si>
    <t>BT3</t>
  </si>
  <si>
    <t>BT4</t>
  </si>
  <si>
    <t>BT5</t>
  </si>
  <si>
    <t>BT6</t>
  </si>
  <si>
    <t>BT7</t>
  </si>
  <si>
    <t>BT8</t>
  </si>
  <si>
    <t>BT9</t>
  </si>
  <si>
    <t>BU0</t>
  </si>
  <si>
    <t>BU1</t>
  </si>
  <si>
    <t>BU2</t>
  </si>
  <si>
    <t>BU3</t>
  </si>
  <si>
    <t>BU4</t>
  </si>
  <si>
    <t>BU5</t>
  </si>
  <si>
    <t>BU6</t>
  </si>
  <si>
    <t>BU7</t>
  </si>
  <si>
    <t>BU8</t>
  </si>
  <si>
    <t>BU9</t>
  </si>
  <si>
    <t>BV0</t>
  </si>
  <si>
    <t>BV1</t>
  </si>
  <si>
    <t>BV2</t>
  </si>
  <si>
    <t>BV3</t>
  </si>
  <si>
    <t>BV4</t>
  </si>
  <si>
    <t>BV5</t>
  </si>
  <si>
    <t>BV6</t>
  </si>
  <si>
    <t>BV7</t>
  </si>
  <si>
    <t>BV8</t>
  </si>
  <si>
    <t>BV9</t>
  </si>
  <si>
    <t>BW0</t>
  </si>
  <si>
    <t>BW1</t>
  </si>
  <si>
    <t>BW2</t>
  </si>
  <si>
    <t>BW3</t>
  </si>
  <si>
    <t>BW4</t>
  </si>
  <si>
    <t>BW5</t>
  </si>
  <si>
    <t>BW6</t>
  </si>
  <si>
    <t>BW7</t>
  </si>
  <si>
    <t>BW8</t>
  </si>
  <si>
    <t>BW9</t>
  </si>
  <si>
    <t>BX0</t>
  </si>
  <si>
    <t>BX1</t>
  </si>
  <si>
    <t>BX2</t>
  </si>
  <si>
    <t>BX3</t>
  </si>
  <si>
    <t>BX4</t>
  </si>
  <si>
    <t>BX5</t>
  </si>
  <si>
    <t>BX6</t>
  </si>
  <si>
    <t>BX7</t>
  </si>
  <si>
    <t>BX8</t>
  </si>
  <si>
    <t>BX9</t>
  </si>
  <si>
    <t>BY0</t>
  </si>
  <si>
    <t>BY1</t>
  </si>
  <si>
    <t>BY2</t>
  </si>
  <si>
    <t>BY3</t>
  </si>
  <si>
    <t>BY4</t>
  </si>
  <si>
    <t>BY5</t>
  </si>
  <si>
    <t>BY6</t>
  </si>
  <si>
    <t>BY7</t>
  </si>
  <si>
    <t>BY8</t>
  </si>
  <si>
    <t>BY9</t>
  </si>
  <si>
    <t>BZ0</t>
  </si>
  <si>
    <t>BZ1</t>
  </si>
  <si>
    <t>BZ2</t>
  </si>
  <si>
    <t>BZ3</t>
  </si>
  <si>
    <t>BZ4</t>
  </si>
  <si>
    <t>BZ5</t>
  </si>
  <si>
    <t>BZ6</t>
  </si>
  <si>
    <t>BZ7</t>
  </si>
  <si>
    <t>BZ8</t>
  </si>
  <si>
    <t>BZ9</t>
  </si>
  <si>
    <t>CA0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</si>
  <si>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</si>
  <si>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</si>
  <si>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</si>
  <si>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</si>
  <si>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</si>
  <si>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</si>
  <si>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</si>
  <si>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</si>
  <si>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</si>
  <si>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CB0</t>
  </si>
  <si>
    <t>CB1</t>
  </si>
  <si>
    <t>CB2</t>
  </si>
  <si>
    <t>CB3</t>
  </si>
  <si>
    <t>CB4</t>
  </si>
  <si>
    <t>CB5</t>
  </si>
  <si>
    <t>CB6</t>
  </si>
  <si>
    <t>CB7</t>
  </si>
  <si>
    <t>CB8</t>
  </si>
  <si>
    <t>CB9</t>
  </si>
  <si>
    <t>CC0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</si>
  <si>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</si>
  <si>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</si>
  <si>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</si>
  <si>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</si>
  <si>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</si>
  <si>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</si>
  <si>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</si>
  <si>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</si>
  <si>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</si>
  <si>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CD0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</si>
  <si>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</si>
  <si>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</si>
  <si>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</si>
  <si>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</si>
  <si>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</si>
  <si>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</si>
  <si>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</si>
  <si>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</si>
  <si>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</si>
  <si>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CE0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</si>
  <si>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</si>
  <si>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</si>
  <si>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</si>
  <si>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</si>
  <si>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</si>
  <si>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</si>
  <si>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</si>
  <si>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</si>
  <si>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</si>
  <si>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CF0</t>
  </si>
  <si>
    <t>CF1</t>
  </si>
  <si>
    <t>CF2</t>
  </si>
  <si>
    <t>CF3</t>
  </si>
  <si>
    <t>CF4</t>
  </si>
  <si>
    <t>CF5</t>
  </si>
  <si>
    <t>CF6</t>
  </si>
  <si>
    <t>CF7</t>
  </si>
  <si>
    <t>CF8</t>
  </si>
  <si>
    <t>CF9</t>
  </si>
  <si>
    <t>CG0</t>
  </si>
  <si>
    <t>CG1</t>
  </si>
  <si>
    <t>CG2</t>
  </si>
  <si>
    <t>CG3</t>
  </si>
  <si>
    <t>CG4</t>
  </si>
  <si>
    <t>CG5</t>
  </si>
  <si>
    <t>CG6</t>
  </si>
  <si>
    <t>CG7</t>
  </si>
  <si>
    <t>CG8</t>
  </si>
  <si>
    <t>CG9</t>
  </si>
  <si>
    <t>CH0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</si>
  <si>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</si>
  <si>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</si>
  <si>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</si>
  <si>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</si>
  <si>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</si>
  <si>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</si>
  <si>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</si>
  <si>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</si>
  <si>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</si>
  <si>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CI0</t>
  </si>
  <si>
    <t>CI1</t>
  </si>
  <si>
    <t>CI2</t>
  </si>
  <si>
    <t>CI3</t>
  </si>
  <si>
    <t>CI4</t>
  </si>
  <si>
    <t>CI5</t>
  </si>
  <si>
    <t>CI6</t>
  </si>
  <si>
    <t>CI7</t>
  </si>
  <si>
    <t>CI8</t>
  </si>
  <si>
    <t>CI9</t>
  </si>
  <si>
    <t>CJ0</t>
  </si>
  <si>
    <t>CJ1</t>
  </si>
  <si>
    <t>CJ2</t>
  </si>
  <si>
    <t>CJ3</t>
  </si>
  <si>
    <t>CJ4</t>
  </si>
  <si>
    <t>CJ5</t>
  </si>
  <si>
    <t>CJ6</t>
  </si>
  <si>
    <t>CJ7</t>
  </si>
  <si>
    <t>CJ8</t>
  </si>
  <si>
    <t>CJ9</t>
  </si>
  <si>
    <t>CK0</t>
  </si>
  <si>
    <t>CK1</t>
  </si>
  <si>
    <t>CK2</t>
  </si>
  <si>
    <t>CK3</t>
  </si>
  <si>
    <t>CK4</t>
  </si>
  <si>
    <t>CK5</t>
  </si>
  <si>
    <t>CK6</t>
  </si>
  <si>
    <t>CK7</t>
  </si>
  <si>
    <t>CK8</t>
  </si>
  <si>
    <t>CK9</t>
  </si>
  <si>
    <t>CL0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</si>
  <si>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</si>
  <si>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</si>
  <si>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</si>
  <si>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</si>
  <si>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</si>
  <si>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</si>
  <si>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</si>
  <si>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</si>
  <si>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</si>
  <si>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CM0</t>
  </si>
  <si>
    <t>CM1</t>
  </si>
  <si>
    <t>CM2</t>
  </si>
  <si>
    <t>CM3</t>
  </si>
  <si>
    <t>CM4</t>
  </si>
  <si>
    <t>CM5</t>
  </si>
  <si>
    <t>CM6</t>
  </si>
  <si>
    <t>CM7</t>
  </si>
  <si>
    <t>CM8</t>
  </si>
  <si>
    <t>CM9</t>
  </si>
  <si>
    <t>CN0</t>
  </si>
  <si>
    <t>CN1</t>
  </si>
  <si>
    <t>CN2</t>
  </si>
  <si>
    <t>CN3</t>
  </si>
  <si>
    <t>CN4</t>
  </si>
  <si>
    <t>CN5</t>
  </si>
  <si>
    <t>CN6</t>
  </si>
  <si>
    <t>CN7</t>
  </si>
  <si>
    <t>CN8</t>
  </si>
  <si>
    <t>CN9</t>
  </si>
  <si>
    <t>CO0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</si>
  <si>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</si>
  <si>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</si>
  <si>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</si>
  <si>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</si>
  <si>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</si>
  <si>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</si>
  <si>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</si>
  <si>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</si>
  <si>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</si>
  <si>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CP0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</si>
  <si>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</si>
  <si>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</si>
  <si>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</si>
  <si>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</si>
  <si>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</si>
  <si>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</si>
  <si>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</si>
  <si>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</si>
  <si>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</si>
  <si>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CQ0</t>
  </si>
  <si>
    <t>CQ1</t>
  </si>
  <si>
    <t>CQ2</t>
  </si>
  <si>
    <t>CQ3</t>
  </si>
  <si>
    <t>CQ4</t>
  </si>
  <si>
    <t>CQ5</t>
  </si>
  <si>
    <t>CQ6</t>
  </si>
  <si>
    <t>CQ7</t>
  </si>
  <si>
    <t>CQ8</t>
  </si>
  <si>
    <t>CQ9</t>
  </si>
  <si>
    <t>CR0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</si>
  <si>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</si>
  <si>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</si>
  <si>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</si>
  <si>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</si>
  <si>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</si>
  <si>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</si>
  <si>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</si>
  <si>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</si>
  <si>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</si>
  <si>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CS0</t>
  </si>
  <si>
    <t>CS1</t>
  </si>
  <si>
    <t>CS2</t>
  </si>
  <si>
    <t>CS3</t>
  </si>
  <si>
    <t>CS4</t>
  </si>
  <si>
    <t>CS5</t>
  </si>
  <si>
    <t>CS6</t>
  </si>
  <si>
    <t>CS7</t>
  </si>
  <si>
    <t>CS8</t>
  </si>
  <si>
    <t>CS9</t>
  </si>
  <si>
    <t>CT0</t>
  </si>
  <si>
    <t>CT1</t>
  </si>
  <si>
    <t>CT2</t>
  </si>
  <si>
    <t>CT3</t>
  </si>
  <si>
    <t>CT4</t>
  </si>
  <si>
    <t>CT5</t>
  </si>
  <si>
    <t>CT6</t>
  </si>
  <si>
    <t>CT7</t>
  </si>
  <si>
    <t>CT8</t>
  </si>
  <si>
    <t>CT9</t>
  </si>
  <si>
    <t>CU0</t>
  </si>
  <si>
    <t>CU1</t>
  </si>
  <si>
    <t>CU2</t>
  </si>
  <si>
    <t>CU3</t>
  </si>
  <si>
    <t>CU4</t>
  </si>
  <si>
    <t>CU5</t>
  </si>
  <si>
    <t>CU6</t>
  </si>
  <si>
    <t>CU7</t>
  </si>
  <si>
    <t>CU8</t>
  </si>
  <si>
    <t>CU9</t>
  </si>
  <si>
    <t>CV0</t>
  </si>
  <si>
    <t>CV1</t>
  </si>
  <si>
    <t>CV2</t>
  </si>
  <si>
    <t>CV3</t>
  </si>
  <si>
    <t>CV4</t>
  </si>
  <si>
    <t>CV5</t>
  </si>
  <si>
    <t>CV6</t>
  </si>
  <si>
    <t>CV7</t>
  </si>
  <si>
    <t>CV8</t>
  </si>
  <si>
    <t>CV9</t>
  </si>
  <si>
    <t>CW0</t>
  </si>
  <si>
    <t>CW1</t>
  </si>
  <si>
    <t>CW2</t>
  </si>
  <si>
    <t>CW3</t>
  </si>
  <si>
    <t>CW4</t>
  </si>
  <si>
    <t>CW5</t>
  </si>
  <si>
    <t>CW6</t>
  </si>
  <si>
    <t>CW7</t>
  </si>
  <si>
    <t>CW8</t>
  </si>
  <si>
    <t>CW9</t>
  </si>
  <si>
    <t>CX0</t>
  </si>
  <si>
    <t>CX1</t>
  </si>
  <si>
    <t>CX2</t>
  </si>
  <si>
    <t>CX3</t>
  </si>
  <si>
    <t>CX4</t>
  </si>
  <si>
    <t>CX5</t>
  </si>
  <si>
    <t>CX6</t>
  </si>
  <si>
    <t>CX7</t>
  </si>
  <si>
    <t>CX8</t>
  </si>
  <si>
    <t>CX9</t>
  </si>
  <si>
    <t>CY0</t>
  </si>
  <si>
    <t>CY1</t>
  </si>
  <si>
    <t>CY2</t>
  </si>
  <si>
    <t>CY3</t>
  </si>
  <si>
    <t>CY4</t>
  </si>
  <si>
    <t>CY5</t>
  </si>
  <si>
    <t>CY6</t>
  </si>
  <si>
    <t>CY7</t>
  </si>
  <si>
    <t>CY8</t>
  </si>
  <si>
    <t>CY9</t>
  </si>
  <si>
    <t>CZ0</t>
  </si>
  <si>
    <t>CZ1</t>
  </si>
  <si>
    <t>CZ2</t>
  </si>
  <si>
    <t>CZ3</t>
  </si>
  <si>
    <t>CZ4</t>
  </si>
  <si>
    <t>CZ5</t>
  </si>
  <si>
    <t>CZ6</t>
  </si>
  <si>
    <t>CZ7</t>
  </si>
  <si>
    <t>CZ8</t>
  </si>
  <si>
    <t>CZ9</t>
  </si>
  <si>
    <t>DA0</t>
  </si>
  <si>
    <t>DA1</t>
  </si>
  <si>
    <t>DA2</t>
  </si>
  <si>
    <t>DA3</t>
  </si>
  <si>
    <t>DA4</t>
  </si>
  <si>
    <t>DA5</t>
  </si>
  <si>
    <t>DA6</t>
  </si>
  <si>
    <t>DA7</t>
  </si>
  <si>
    <t>DA8</t>
  </si>
  <si>
    <t>DA9</t>
  </si>
  <si>
    <t>DB0</t>
  </si>
  <si>
    <t>DB1</t>
  </si>
  <si>
    <t>DB2</t>
  </si>
  <si>
    <t>DB3</t>
  </si>
  <si>
    <t>DB4</t>
  </si>
  <si>
    <t>DB5</t>
  </si>
  <si>
    <t>DB6</t>
  </si>
  <si>
    <t>DB7</t>
  </si>
  <si>
    <t>DB8</t>
  </si>
  <si>
    <t>UBND Xã Tân Kỳ</t>
  </si>
  <si>
    <t>UBND Xã Tân Phú</t>
  </si>
  <si>
    <t>UBND Xã Tân An</t>
  </si>
  <si>
    <t>UBND Xã Nghĩa Đồng</t>
  </si>
  <si>
    <t>UBND Xã Giai Xuân</t>
  </si>
  <si>
    <t>UBND Xã Nghĩa Hành</t>
  </si>
  <si>
    <t>UBND Xã Tiên Đồng</t>
  </si>
  <si>
    <t>UBND Xã Đông Hiếu</t>
  </si>
  <si>
    <t>UBND Xã Bích Hào</t>
  </si>
  <si>
    <t>UBND Xã Cát Ngạn</t>
  </si>
  <si>
    <t>UBND Xã Đại Đồng</t>
  </si>
  <si>
    <t>UBND Xã Hạnh Lâm</t>
  </si>
  <si>
    <t>UBND Xã Hoa Quân</t>
  </si>
  <si>
    <t>UBND Xã Kim Bảng</t>
  </si>
  <si>
    <t>UBND Xã Sơn Lâm</t>
  </si>
  <si>
    <t>UBND Xã Tam Đồng</t>
  </si>
  <si>
    <t>UBND Xã Xuân Lâm</t>
  </si>
  <si>
    <t>UBND Xã Nga My</t>
  </si>
  <si>
    <t>UBND Xã Nhôn Mai</t>
  </si>
  <si>
    <t>UBND Xã Tam Quang</t>
  </si>
  <si>
    <t>UBND Xã Tam Thái</t>
  </si>
  <si>
    <t>UBND Xã Tương Dương</t>
  </si>
  <si>
    <t>UBND Xã Yên Hòa</t>
  </si>
  <si>
    <t>UBND Xã Yên Na</t>
  </si>
  <si>
    <t>UBND Xã Yên Thành</t>
  </si>
  <si>
    <t>UBND Xã Quan Thành</t>
  </si>
  <si>
    <t>UBND Xã Hợp Minh</t>
  </si>
  <si>
    <t>UBND Xã Vân Tụ</t>
  </si>
  <si>
    <t>UBND Xã Vân Du</t>
  </si>
  <si>
    <t>UBND Xã Quang Đồng</t>
  </si>
  <si>
    <t>UBND Xã Giai Lạc</t>
  </si>
  <si>
    <t>UBND Xã Tân Tập</t>
  </si>
  <si>
    <t>UBND Xã Vàm Cỏ</t>
  </si>
  <si>
    <t>UBND Xã Tân Trụ</t>
  </si>
  <si>
    <t>UBND Xã Nhựt Tảo</t>
  </si>
  <si>
    <t>UBND Xã Thuận Mỹ</t>
  </si>
  <si>
    <t>UBND Xã An Lục Long</t>
  </si>
  <si>
    <t>UBND Xã Tầm Vu</t>
  </si>
  <si>
    <t>UBND Xã Vĩnh Công</t>
  </si>
  <si>
    <t>UBND Xã Phước Chỉ</t>
  </si>
  <si>
    <t>UBND Xã Hưng Thuận</t>
  </si>
  <si>
    <t>UBND Xã Thạnh Đức</t>
  </si>
  <si>
    <t>UBND Xã Phước Thạnh</t>
  </si>
  <si>
    <t>UBND Xã Truông Mít</t>
  </si>
  <si>
    <t>UBND Xã Lộc Ninh</t>
  </si>
  <si>
    <t>UBND Xã Cầu Khởi</t>
  </si>
  <si>
    <t>UBND Xã Dương Minh Châu</t>
  </si>
  <si>
    <t>UBND Xã Tân Đông</t>
  </si>
  <si>
    <t>UBND Xã Tân Châu</t>
  </si>
  <si>
    <t>UBND Xã Tân Hội</t>
  </si>
  <si>
    <t>UBND Xã Tân Thành</t>
  </si>
  <si>
    <t>UBND Xã Tân Hòa</t>
  </si>
  <si>
    <t>UBND Xã Vĩnh Thanh</t>
  </si>
  <si>
    <t>UBND Xã Mê Linh</t>
  </si>
  <si>
    <t>UBND Xã Yên Lãng</t>
  </si>
  <si>
    <t>UBND Xã Tiến Thắng</t>
  </si>
  <si>
    <t>UBND Xã Quang Minh</t>
  </si>
  <si>
    <t>UBND Xã Sóc Sơn</t>
  </si>
  <si>
    <t>UBND Xã Đa Phúc</t>
  </si>
  <si>
    <t>UBND Xã Nội Bài</t>
  </si>
  <si>
    <t>UBND Xã Trung Giã</t>
  </si>
  <si>
    <t>UBND Xã Kim Anh</t>
  </si>
  <si>
    <t>UBND Phường Hải Châu</t>
  </si>
  <si>
    <t>UBND Phường Hòa Cường</t>
  </si>
  <si>
    <t>UBND Xã Phú Thuận</t>
  </si>
  <si>
    <t>UBND Phường Thanh Khê</t>
  </si>
  <si>
    <t>UBND Phường An Khê</t>
  </si>
  <si>
    <t>UBND Phường An Hải</t>
  </si>
  <si>
    <t>UBND Phường Sơn Trà</t>
  </si>
  <si>
    <t>UBND Phường Ngũ Hành Sơn</t>
  </si>
  <si>
    <t>UBND Phường Hòa Khánh</t>
  </si>
  <si>
    <t>UBND Phường Hải Vân</t>
  </si>
  <si>
    <t>UBND Phường Liên Chiểu</t>
  </si>
  <si>
    <t>UBND Phường Cẩm Lệ</t>
  </si>
  <si>
    <t>UBND Phường Hòa Xuân</t>
  </si>
  <si>
    <t>UBND Phường Tam Kỳ</t>
  </si>
  <si>
    <t>UBND Phường Quảng Phú</t>
  </si>
  <si>
    <t>UBND Xã Bình Minh</t>
  </si>
  <si>
    <t>UBND Xã Đông Thành</t>
  </si>
  <si>
    <t>UBND Phường Hoàng Mai</t>
  </si>
  <si>
    <t>UBND Phường Quỳnh Mai</t>
  </si>
  <si>
    <t>UBND Phường Tân Mai</t>
  </si>
  <si>
    <t>UBND Phường Thái Hòa</t>
  </si>
  <si>
    <t>UBND Phường Tây Hiếu</t>
  </si>
  <si>
    <t>UBND Phường Trường Vinh</t>
  </si>
  <si>
    <t>UBND Phường Thành Vinh</t>
  </si>
  <si>
    <t>UBND Phường Vinh Hưng</t>
  </si>
  <si>
    <t>UBND Phường Vinh Phú</t>
  </si>
  <si>
    <t>UBND Phường Vinh Lộc</t>
  </si>
  <si>
    <t>UBND Phường Cửa Lò</t>
  </si>
  <si>
    <t>UBND Không sắp xếp</t>
  </si>
  <si>
    <t>UBND Xã Tịnh Khê</t>
  </si>
  <si>
    <t>UBND Xã An Phú</t>
  </si>
  <si>
    <t>UBND Xã Nguyễn Nghiêm</t>
  </si>
  <si>
    <t>UBND Xã Khánh Cường</t>
  </si>
  <si>
    <t>UBND Xã Bình Chương</t>
  </si>
  <si>
    <t>UBND Xã Vạn Tường</t>
  </si>
  <si>
    <t>UBND Xã Đông Sơn</t>
  </si>
  <si>
    <t>UBND Xã Trường Giang</t>
  </si>
  <si>
    <t>UBND Xã Ba Gia</t>
  </si>
  <si>
    <t>UBND Xã Sơn Tịnh</t>
  </si>
  <si>
    <t>UBND Xã Thọ Phong</t>
  </si>
  <si>
    <t>UBND Xã Tư Nghĩa</t>
  </si>
  <si>
    <t>UBND Xã Vệ Giang</t>
  </si>
  <si>
    <t>UBND Xã Nghĩa Giang</t>
  </si>
  <si>
    <t>UBND Xã Trà Giang</t>
  </si>
  <si>
    <t>UBND Xã Đình Cương</t>
  </si>
  <si>
    <t>UBND Xã Thiện Tín</t>
  </si>
  <si>
    <t xml:space="preserve">The former Yugoslav Republic of Macedonia </t>
  </si>
  <si>
    <t>UBND Xã Vĩnh Hậu</t>
  </si>
  <si>
    <t>UBND Xã Nhơn Hội</t>
  </si>
  <si>
    <t>UBND Xã Khánh Bình</t>
  </si>
  <si>
    <t>UBND Xã Phú Hữu</t>
  </si>
  <si>
    <t>UBND Xã Châu Phong</t>
  </si>
  <si>
    <t>UBND Xã Vĩnh Xương</t>
  </si>
  <si>
    <t>UBND Xã Phú Tân</t>
  </si>
  <si>
    <t>UBND Xã Phú An</t>
  </si>
  <si>
    <t>UBND Xã Bình Thạnh Đông</t>
  </si>
  <si>
    <t>UBND Xã Chợ Vàm</t>
  </si>
  <si>
    <t>UBND Xã Hòa Lạc</t>
  </si>
  <si>
    <t>UBND Xã Phú Lâm</t>
  </si>
  <si>
    <t>UBND Xã Châu Phú</t>
  </si>
  <si>
    <t>UBND Xã Mỹ Đức</t>
  </si>
  <si>
    <t>UBND Xã Vĩnh Thạnh Trung</t>
  </si>
  <si>
    <t>UBND Xã Thạnh Mỹ Tây</t>
  </si>
  <si>
    <t>UBND Xã An Cư</t>
  </si>
  <si>
    <t>UBND Xã Núi Cấm</t>
  </si>
  <si>
    <t>UBND Xã Ba Chúc</t>
  </si>
  <si>
    <t>UBND Xã Tri Tôn</t>
  </si>
  <si>
    <t>UBND Xã Ô Lâm</t>
  </si>
  <si>
    <t>UBND Xã Cô Tô</t>
  </si>
  <si>
    <t>UBND Xã Vĩnh Gia</t>
  </si>
  <si>
    <t>UBND Xã An Châu</t>
  </si>
  <si>
    <t>UBND Xã Tân Lập</t>
  </si>
  <si>
    <t>UBND Xã Tân Biên</t>
  </si>
  <si>
    <t>UBND Xã Thạnh Bình</t>
  </si>
  <si>
    <t>UBND Xã Trà Vong</t>
  </si>
  <si>
    <t>UBND Xã Phước Vinh</t>
  </si>
  <si>
    <t>UBND Xã Hòa Hội</t>
  </si>
  <si>
    <t>UBND Xã Ninh Điền</t>
  </si>
  <si>
    <t>UBND Xã Châu Thành</t>
  </si>
  <si>
    <t>UBND Xã Hảo Đước</t>
  </si>
  <si>
    <t>UBND Xã Long Chữ</t>
  </si>
  <si>
    <t>UBND Xã Long Thuận</t>
  </si>
  <si>
    <t>UBND Xã Bến Cầu</t>
  </si>
  <si>
    <t>UBND Phường Kiến Tường</t>
  </si>
  <si>
    <t>UBND Phường Long An</t>
  </si>
  <si>
    <t>UBND Phường Tân An</t>
  </si>
  <si>
    <t>UBND Phường Khánh Hậu</t>
  </si>
  <si>
    <t>UBND Phường Tân Ninh</t>
  </si>
  <si>
    <t>UBND Phường Bình Minh</t>
  </si>
  <si>
    <t>UBND Phường Ninh Thạnh</t>
  </si>
  <si>
    <t>UBND Phường Long Hoa</t>
  </si>
  <si>
    <t>UBND Phường Hòa Thành</t>
  </si>
  <si>
    <t>UBND Phường Thanh Điền</t>
  </si>
  <si>
    <t>UBND Phường Trảng Bàng</t>
  </si>
  <si>
    <t>UBND Phường An Tịnh</t>
  </si>
  <si>
    <t>UBND Phường Gò Dầu</t>
  </si>
  <si>
    <t>UBND Phường Gia Lộc</t>
  </si>
  <si>
    <t>UBND Xã Tân Cương</t>
  </si>
  <si>
    <t>UBND Xã Đại Phúc</t>
  </si>
  <si>
    <t>UBND Xã Thành Công</t>
  </si>
  <si>
    <t>UBND Xã Định Hóa</t>
  </si>
  <si>
    <t>UBND Xã Bình Yên</t>
  </si>
  <si>
    <t>UBND Xã Trung Hội</t>
  </si>
  <si>
    <t>UBND Xã Phượng Tiến</t>
  </si>
  <si>
    <t>UBND Xã Phú Đình</t>
  </si>
  <si>
    <t>UBND Phường Hương Trà</t>
  </si>
  <si>
    <t>UBND Phường Bàn Thạch</t>
  </si>
  <si>
    <t>UBND Phường Điện Bàn</t>
  </si>
  <si>
    <t>UBND Phường Điện Bàn Đông</t>
  </si>
  <si>
    <t>UBND Phường An Thắng</t>
  </si>
  <si>
    <t>UBND Phường Điện Bàn Bắc</t>
  </si>
  <si>
    <t>UBND Phường Hội An</t>
  </si>
  <si>
    <t>UBND Phường Hội An Đông</t>
  </si>
  <si>
    <t>UBND Phường Hội An Tây</t>
  </si>
  <si>
    <t>UBND Xã Hòa Vang</t>
  </si>
  <si>
    <t>UBND Xã Hòa Tiến</t>
  </si>
  <si>
    <t>UBND Xã Bà Nà</t>
  </si>
  <si>
    <t>UBND Xã Núi Thành</t>
  </si>
  <si>
    <t>UBND Xã Tam Mỹ</t>
  </si>
  <si>
    <t>UBND Xã Tam Anh</t>
  </si>
  <si>
    <t>UBND Xã Đức Phú</t>
  </si>
  <si>
    <t>UBND Xã Tam Xuân</t>
  </si>
  <si>
    <t>UBND Xã Tây Hồ</t>
  </si>
  <si>
    <t>UBND Xã Chiên Đàn</t>
  </si>
  <si>
    <t>UBND Xã Phú Ninh</t>
  </si>
  <si>
    <t>UBND Xã Lãnh Ngọc</t>
  </si>
  <si>
    <t>UBND Xã Tiên Phước</t>
  </si>
  <si>
    <t>UBND Xã Sơn Cẩm Hà</t>
  </si>
  <si>
    <t>UBND Xã Trà Liên</t>
  </si>
  <si>
    <t>UBND Xã Trà Giáp</t>
  </si>
  <si>
    <t>UBND Xã Trà Tân</t>
  </si>
  <si>
    <t>UBND Xã Trà Đốc</t>
  </si>
  <si>
    <t>UBND Xã Trà My</t>
  </si>
  <si>
    <t>UBND Xã Nam Trà My</t>
  </si>
  <si>
    <t>UBND Xã Trà Tập</t>
  </si>
  <si>
    <t>UBND Xã Trà Vân</t>
  </si>
  <si>
    <t>UBND Xã Trà Linh</t>
  </si>
  <si>
    <t>UBND Xã Trà Leng</t>
  </si>
  <si>
    <t>UBND Xã Thăng Bình</t>
  </si>
  <si>
    <t>UBND Xã Thăng An</t>
  </si>
  <si>
    <t>UBND Xã Thăng Trường</t>
  </si>
  <si>
    <t>UBND Xã Thăng Điền</t>
  </si>
  <si>
    <t>UBND Xã Phước Giang</t>
  </si>
  <si>
    <t>UBND Xã Long Phụng</t>
  </si>
  <si>
    <t>UBND Xã Mỏ Cày</t>
  </si>
  <si>
    <t>UBND Xã Mộ Đức</t>
  </si>
  <si>
    <t>UBND Xã Lân Phong</t>
  </si>
  <si>
    <t>UBND Xã Trà Bồng</t>
  </si>
  <si>
    <t>UBND Xã Đông Trà Bồng</t>
  </si>
  <si>
    <t>UBND Xã Tây Trà</t>
  </si>
  <si>
    <t>UBND Xã Thanh Bồng</t>
  </si>
  <si>
    <t>UBND Xã Cà Đam</t>
  </si>
  <si>
    <t>UBND Xã Tây Trà Bồng</t>
  </si>
  <si>
    <t>UBND Xã Sơn Hạ</t>
  </si>
  <si>
    <t>UBND Xã Sơn Linh</t>
  </si>
  <si>
    <t>UBND Xã Sơn Hà</t>
  </si>
  <si>
    <t>UBND Xã Sơn Thủy</t>
  </si>
  <si>
    <t>UBND Xã Sơn Kỳ</t>
  </si>
  <si>
    <t>UBND Xã Sơn Tây</t>
  </si>
  <si>
    <t>UBND Xã Sơn Tây Thượng</t>
  </si>
  <si>
    <t>UBND Xã Sơn Tây Hạ</t>
  </si>
  <si>
    <t>UBND Xã Minh Long</t>
  </si>
  <si>
    <t>UBND Xã Sơn Mai</t>
  </si>
  <si>
    <t>UBND Xã Ba Vì</t>
  </si>
  <si>
    <t>UBND Xã Ba Tô</t>
  </si>
  <si>
    <t>UBND Xã Ba Dinh</t>
  </si>
  <si>
    <t>UBND Xã Ba Tơ</t>
  </si>
  <si>
    <t>UBND Xã Ba Vinh</t>
  </si>
  <si>
    <t>UBND Xã Ba Động</t>
  </si>
  <si>
    <t>UBND Xã Đặng Thùy Trâm</t>
  </si>
  <si>
    <t>UBND Xã Ngọk Bay</t>
  </si>
  <si>
    <t>UBND Xã Bình Hòa</t>
  </si>
  <si>
    <t>UBND Xã Cần Đăng</t>
  </si>
  <si>
    <t>UBND Xã Vĩnh Hanh</t>
  </si>
  <si>
    <t>UBND Xã Vĩnh An</t>
  </si>
  <si>
    <t>UBND Xã Chợ Mới</t>
  </si>
  <si>
    <t>UBND Xã Cù Lao Giêng</t>
  </si>
  <si>
    <t>UBND Xã Hội An</t>
  </si>
  <si>
    <t>UBND Xã Long Điền</t>
  </si>
  <si>
    <t>UBND Xã Nhơn Mỹ</t>
  </si>
  <si>
    <t>UBND Xã Long Kiến</t>
  </si>
  <si>
    <t>UBND Xã Thoại Sơn</t>
  </si>
  <si>
    <t>UBND Xã óc Eo</t>
  </si>
  <si>
    <t>UBND Xã Định Mỹ</t>
  </si>
  <si>
    <t>UBND Xã Phú Hòa</t>
  </si>
  <si>
    <t>UBND Xã Vĩnh Trạch</t>
  </si>
  <si>
    <t>UBND Xã Tây Phú</t>
  </si>
  <si>
    <t>UBND Xã Vĩnh Bình</t>
  </si>
  <si>
    <t>UBND Xã Vĩnh Thuận</t>
  </si>
  <si>
    <t>UBND Xã Vĩnh Phong</t>
  </si>
  <si>
    <t>UBND Xã Vĩnh Hòa</t>
  </si>
  <si>
    <t>UBND Xã U Minh Thượng</t>
  </si>
  <si>
    <t>UBND Xã Đông Hòa</t>
  </si>
  <si>
    <t>UBND Xã Tân Thạnh</t>
  </si>
  <si>
    <t>UBND Xã Đông Hưng</t>
  </si>
  <si>
    <t>UBND Xã An Minh</t>
  </si>
  <si>
    <t>UBND Xã Vân Khánh</t>
  </si>
  <si>
    <t>UBND Xã Tây Yên</t>
  </si>
  <si>
    <t>UBND Xã Đông Thái</t>
  </si>
  <si>
    <t>UBND Xã An Biên</t>
  </si>
  <si>
    <t>UBND Xã Định Hòa</t>
  </si>
  <si>
    <t>UBND Xã Gò Quao</t>
  </si>
  <si>
    <t>UBND Xã Vĩnh Hòa Hưng</t>
  </si>
  <si>
    <t>UBND Xã Vĩnh Tuy</t>
  </si>
  <si>
    <t>UBND Xã Bình Thành</t>
  </si>
  <si>
    <t>UBND Xã Kim Phượng</t>
  </si>
  <si>
    <t>UBND Xã Lam Vỹ</t>
  </si>
  <si>
    <t>UBND Xã Võ Nhai</t>
  </si>
  <si>
    <t>UBND Xã Dân Tiến</t>
  </si>
  <si>
    <t>UBND Xã Nghinh Tường</t>
  </si>
  <si>
    <t>UBND Xã Thần Sa</t>
  </si>
  <si>
    <t>UBND Xã La Hiên</t>
  </si>
  <si>
    <t>UBND Xã Tràng Xá</t>
  </si>
  <si>
    <t>UBND Xã Phú Lương</t>
  </si>
  <si>
    <t>UBND Xã Vô Tranh</t>
  </si>
  <si>
    <t>UBND Xã Yên Trạch</t>
  </si>
  <si>
    <t>UBND Xã Đồng Hỷ</t>
  </si>
  <si>
    <t>UBND Xã Quang Sơn</t>
  </si>
  <si>
    <t>UBND Xã Trại Cau</t>
  </si>
  <si>
    <t>UBND Xã Nam Hòa</t>
  </si>
  <si>
    <t>UBND Xã Văn Hán</t>
  </si>
  <si>
    <t>UBND Xã Văn Lăng</t>
  </si>
  <si>
    <t>UBND Xã Đại Từ</t>
  </si>
  <si>
    <t>UBND Xã Đức Lương</t>
  </si>
  <si>
    <t>UBND Xã Phú Thịnh</t>
  </si>
  <si>
    <t>UBND Xã La Bằng</t>
  </si>
  <si>
    <t>UBND Xã Phú Lạc</t>
  </si>
  <si>
    <t>UBND Xã An Khánh</t>
  </si>
  <si>
    <t>UBND Xã Thăng Phú</t>
  </si>
  <si>
    <t>UBND Xã Đồng Dương</t>
  </si>
  <si>
    <t>UBND Xã Quế Sơn Trung</t>
  </si>
  <si>
    <t>UBND Xã Quế Sơn</t>
  </si>
  <si>
    <t>UBND Xã Xuân Phú</t>
  </si>
  <si>
    <t>UBND Xã Nông Sơn</t>
  </si>
  <si>
    <t>UBND Xã Quế Phước</t>
  </si>
  <si>
    <t>UBND Xã Duy Nghĩa</t>
  </si>
  <si>
    <t>UBND Xã Nam Phước</t>
  </si>
  <si>
    <t>UBND Xã Duy Xuyên</t>
  </si>
  <si>
    <t>UBND Xã Thu Bồn</t>
  </si>
  <si>
    <t>UBND Xã Điện Bàn Tây</t>
  </si>
  <si>
    <t>UBND Xã Gò Nổi</t>
  </si>
  <si>
    <t>UBND Xã Đại Lộc</t>
  </si>
  <si>
    <t>UBND Xã Hà Nha</t>
  </si>
  <si>
    <t>UBND Xã Thượng Đức</t>
  </si>
  <si>
    <t>UBND Xã Vu Gia</t>
  </si>
  <si>
    <t>UBND Xã Thạnh Mỹ</t>
  </si>
  <si>
    <t>UBND Xã Bến Giằng</t>
  </si>
  <si>
    <t>UBND Xã Nam Giang</t>
  </si>
  <si>
    <t>UBND Xã Đắc Pring</t>
  </si>
  <si>
    <t>UBND Xã La Dêê</t>
  </si>
  <si>
    <t>UBND Xã La Êê</t>
  </si>
  <si>
    <t>UBND Xã Sông Vàng</t>
  </si>
  <si>
    <t>UBND Xã Sông Kôn</t>
  </si>
  <si>
    <t>UBND Xã Đông Giang</t>
  </si>
  <si>
    <t>UBND Xã Bến Hiên</t>
  </si>
  <si>
    <t>UBND Xã Avương</t>
  </si>
  <si>
    <t>UBND Xã Tây Giang</t>
  </si>
  <si>
    <t>UBND Xã Hùng Sơn</t>
  </si>
  <si>
    <t>UBND Xã Hiệp Đức</t>
  </si>
  <si>
    <t>UBND Xã Việt An</t>
  </si>
  <si>
    <t>UBND Xã Phước Trà</t>
  </si>
  <si>
    <t>UBND Xã Khâm Đức</t>
  </si>
  <si>
    <t>UBND Xã Phước Năng</t>
  </si>
  <si>
    <t>UBND Xã Phước Chánh</t>
  </si>
  <si>
    <t>UBND Xã Phước Thành</t>
  </si>
  <si>
    <t>UBND Xã Ia Chim</t>
  </si>
  <si>
    <t>UBND Xã Đăk Rơ Wa</t>
  </si>
  <si>
    <t>UBND Xã Đăk Pxi</t>
  </si>
  <si>
    <t>UBND Xã Đăk Mar</t>
  </si>
  <si>
    <t>UBND Xã Đăk Ui</t>
  </si>
  <si>
    <t>UBND Xã Ngọk Réo</t>
  </si>
  <si>
    <t>UBND Xã Đăk Hà</t>
  </si>
  <si>
    <t>UBND Xã Ngọc Tụ</t>
  </si>
  <si>
    <t>UBND Xã Đăk Tô</t>
  </si>
  <si>
    <t>UBND Xã Kon Đào</t>
  </si>
  <si>
    <t>UBND Xã Đăk Sao</t>
  </si>
  <si>
    <t>UBND Xã Đăk Tờ Kan</t>
  </si>
  <si>
    <t>UBND Xã Tu Mơ Rông</t>
  </si>
  <si>
    <t>UBND Xã Măng Ri</t>
  </si>
  <si>
    <t>UBND Xã Bờ Y</t>
  </si>
  <si>
    <t>UBND Xã Sa Loong</t>
  </si>
  <si>
    <t>UBND Xã Dục Nông</t>
  </si>
  <si>
    <t>UBND Xã Xốp</t>
  </si>
  <si>
    <t>UBND Xã Ngọc Linh</t>
  </si>
  <si>
    <t>UBND Xã Đăk Plô</t>
  </si>
  <si>
    <t>UBND Xã Đăk Pék</t>
  </si>
  <si>
    <t>UBND Xã Đăk Môn</t>
  </si>
  <si>
    <t>UBND Xã Sa Thầy</t>
  </si>
  <si>
    <t>UBND Xã Sa Bình</t>
  </si>
  <si>
    <t>UBND Xã Ya Ly</t>
  </si>
  <si>
    <t>UBND Xã Ia Tơi</t>
  </si>
  <si>
    <t>UBND Xã Đăk Kôi</t>
  </si>
  <si>
    <t>UBND Xã Kon Braih</t>
  </si>
  <si>
    <t>UBND Xã Đăk Rve</t>
  </si>
  <si>
    <t>UBND Xã Măng Đen</t>
  </si>
  <si>
    <t>UBND Xã Măng Bút</t>
  </si>
  <si>
    <t>UBND Xã Kon Plông</t>
  </si>
  <si>
    <t>UBND Phường Trương Quang Trọng</t>
  </si>
  <si>
    <t>UBND Phường Cẩm Thành</t>
  </si>
  <si>
    <t>UBND Phường Nghĩa Lộ</t>
  </si>
  <si>
    <t>UBND Phường Trà Câu</t>
  </si>
  <si>
    <t>UBND Phường Đức Phổ</t>
  </si>
  <si>
    <t>UBND Phường Sa Huỳnh</t>
  </si>
  <si>
    <t>UBND Xã Giồng Riềng</t>
  </si>
  <si>
    <t>UBND Xã Thạnh Hưng</t>
  </si>
  <si>
    <t>UBND Xã Long Thạnh</t>
  </si>
  <si>
    <t>UBND Xã Hòa Hưng</t>
  </si>
  <si>
    <t>UBND Xã Ngọc Chúc</t>
  </si>
  <si>
    <t>UBND Xã Hòa Thuận</t>
  </si>
  <si>
    <t>UBND Xã Tân Hiệp</t>
  </si>
  <si>
    <t>UBND Xã Thạnh Đông</t>
  </si>
  <si>
    <t>UBND Xã Thạnh Lộc</t>
  </si>
  <si>
    <t>UBND Xã Hòn Đất</t>
  </si>
  <si>
    <t>UBND Xã Sơn Kiên</t>
  </si>
  <si>
    <t>UBND Xã Mỹ Thuận</t>
  </si>
  <si>
    <t>UBND Xã Hòa Điền</t>
  </si>
  <si>
    <t>UBND Xã Kiên Lương</t>
  </si>
  <si>
    <t>UBND Xã Giang Thành</t>
  </si>
  <si>
    <t>UBND Xã Vĩnh Điều</t>
  </si>
  <si>
    <t>UBND Phường Long Xuyên</t>
  </si>
  <si>
    <t>UBND Phường Bình Đức</t>
  </si>
  <si>
    <t>UBND Phường Mỹ Thới</t>
  </si>
  <si>
    <t>UBND Phường Châu Đốc</t>
  </si>
  <si>
    <t>UBND Phường Vĩnh Tế</t>
  </si>
  <si>
    <t>UBND Phường Tân Châu</t>
  </si>
  <si>
    <t>UBND Phường Long Phú</t>
  </si>
  <si>
    <t>UBND Phường Tịnh Biên</t>
  </si>
  <si>
    <t>UBND Phường Thới Sơn</t>
  </si>
  <si>
    <t>UBND Phường Chi Lăng</t>
  </si>
  <si>
    <t>UBND Phường Vĩnh Thông</t>
  </si>
  <si>
    <t>UBND Phường Rạch Giá</t>
  </si>
  <si>
    <t>UBND Phường Hà Tiên</t>
  </si>
  <si>
    <t>UBND Phường Tô Châu</t>
  </si>
  <si>
    <t>UBND Đặc khu Kiên Hải</t>
  </si>
  <si>
    <t>UBND Đặc khu Phú Quốc</t>
  </si>
  <si>
    <t>UBND Xã Mỹ Hòa Hưng</t>
  </si>
  <si>
    <t>UBND Xã Hòn Nghệ</t>
  </si>
  <si>
    <t>UBND Xã Sơn Hải</t>
  </si>
  <si>
    <t>UBND Xã Tiên Hải</t>
  </si>
  <si>
    <t>UBND Đặc khu Thổ Châu</t>
  </si>
  <si>
    <t>UBND Xã Chi Lăng</t>
  </si>
  <si>
    <t>UBND Xã Phù Lãng</t>
  </si>
  <si>
    <t>UBND Xã Yên Phong</t>
  </si>
  <si>
    <t>UBND Xã Văn Môn</t>
  </si>
  <si>
    <t>UBND Xã Tam Giang</t>
  </si>
  <si>
    <t>UBND Xã Yên Trung</t>
  </si>
  <si>
    <t>UBND Xã Tam Đa</t>
  </si>
  <si>
    <t>UBND Xã Tiên Du</t>
  </si>
  <si>
    <t>UBND Xã Liên Bão</t>
  </si>
  <si>
    <t>UBND Xã Tân Chi</t>
  </si>
  <si>
    <t>UBND Xã Phật Tích</t>
  </si>
  <si>
    <t>UBND Xã Gia Bình</t>
  </si>
  <si>
    <t>UBND Xã Nhân Thắng</t>
  </si>
  <si>
    <t>UBND Xã Đại Lai</t>
  </si>
  <si>
    <t>UBND Xã Cao Đức</t>
  </si>
  <si>
    <t>UBND Xã Đông Cứu</t>
  </si>
  <si>
    <t>UBND Xã Lương Tài</t>
  </si>
  <si>
    <t>UBND Xã Lâm Thao</t>
  </si>
  <si>
    <t>UBND Xã Trung Chính</t>
  </si>
  <si>
    <t>UBND Xã Trung Kênh</t>
  </si>
  <si>
    <t>UBND Xã Đại Sơn</t>
  </si>
  <si>
    <t>UBND Xã Sơn Động</t>
  </si>
  <si>
    <t>UBND Xã Tây Yên Tử</t>
  </si>
  <si>
    <t>UBND Xã Dương Hưu</t>
  </si>
  <si>
    <t>UBND Xã Yên Định</t>
  </si>
  <si>
    <t>UBND Xã An Lạc</t>
  </si>
  <si>
    <t>UBND Xã Vân Sơn</t>
  </si>
  <si>
    <t>UBND Xã Biển Động</t>
  </si>
  <si>
    <t>UBND Xã Lục Ngạn</t>
  </si>
  <si>
    <t>UBND Xã Đèo Gia</t>
  </si>
  <si>
    <t>UBND Xã Tân Sơn</t>
  </si>
  <si>
    <t>UBND Xã Biên Sơn</t>
  </si>
  <si>
    <t>UBND Xã Sa Lý</t>
  </si>
  <si>
    <t>UBND Xã Nam Dương</t>
  </si>
  <si>
    <t>UBND Xã Kiên Lao</t>
  </si>
  <si>
    <t>UBND Xã Lục Sơn</t>
  </si>
  <si>
    <t>UBND Xã Trường Sơn</t>
  </si>
  <si>
    <t>UBND Xã Cẩm Lý</t>
  </si>
  <si>
    <t>UBND Xã Quân Chu</t>
  </si>
  <si>
    <t>UBND Xã Vạn Phú</t>
  </si>
  <si>
    <t>UBND Xã Phú Xuyên</t>
  </si>
  <si>
    <t>UBND Xã Phú Bình</t>
  </si>
  <si>
    <t>UBND Xã Điềm Thụy</t>
  </si>
  <si>
    <t>UBND Xã Kha Sơn</t>
  </si>
  <si>
    <t>UBND Xã Tân Khánh</t>
  </si>
  <si>
    <t>UBND Xã Bằng Thành</t>
  </si>
  <si>
    <t>UBND Xã Nghiên Loan</t>
  </si>
  <si>
    <t>UBND Xã Cao Minh</t>
  </si>
  <si>
    <t>UBND Xã Phước Hiệp</t>
  </si>
  <si>
    <t>UBND Đặc khu Hoàng Sa</t>
  </si>
  <si>
    <t>UBND Xã Đại Phước</t>
  </si>
  <si>
    <t>UBND Xã Nhơn Trạch</t>
  </si>
  <si>
    <t>UBND Xã Phước An</t>
  </si>
  <si>
    <t>UBND Xã Phước Thái</t>
  </si>
  <si>
    <t>UBND Xã Long Phước</t>
  </si>
  <si>
    <t>UBND Xã Long Thành</t>
  </si>
  <si>
    <t>UBND Xã An Phước</t>
  </si>
  <si>
    <t>UBND Xã An Viễn</t>
  </si>
  <si>
    <t>UBND Xã Trảng Bom</t>
  </si>
  <si>
    <t>UBND Xã Bàu Hàm</t>
  </si>
  <si>
    <t>UBND Xã Hưng Thịnh</t>
  </si>
  <si>
    <t>UBND Xã Dầu Giây</t>
  </si>
  <si>
    <t>UBND Xã Gia Kiệm</t>
  </si>
  <si>
    <t>UBND Xã Thống Nhất</t>
  </si>
  <si>
    <t>UBND Xã Xuân Quế</t>
  </si>
  <si>
    <t>UBND Xã Xuân Đường</t>
  </si>
  <si>
    <t>UBND Xã Cẩm Mỹ</t>
  </si>
  <si>
    <t>UBND Xã Sông Ray</t>
  </si>
  <si>
    <t>UBND Xã Xuân Đông</t>
  </si>
  <si>
    <t>UBND Xã Xuân Định</t>
  </si>
  <si>
    <t>UBND Xã Xuân Lộc</t>
  </si>
  <si>
    <t>UBND Xã Xuân Hòa</t>
  </si>
  <si>
    <t>UBND Xã Xuân Thành</t>
  </si>
  <si>
    <t>UBND Xã Xuân Bắc</t>
  </si>
  <si>
    <t>UBND Xã La Ngà</t>
  </si>
  <si>
    <t>UBND Xã Định Quán</t>
  </si>
  <si>
    <t>UBND Xã Phú Vinh</t>
  </si>
  <si>
    <t>UBND Xã Tà Lài</t>
  </si>
  <si>
    <t>UBND Xã Nam Cát Tiên</t>
  </si>
  <si>
    <t>UBND Xã Trị An</t>
  </si>
  <si>
    <t>UBND Xã Nha Bích</t>
  </si>
  <si>
    <t>UBND Xã Tân Quan</t>
  </si>
  <si>
    <t>UBND Xã Tân Hưng</t>
  </si>
  <si>
    <t>UBND Xã Tân Khai</t>
  </si>
  <si>
    <t>UBND Xã Minh Đức</t>
  </si>
  <si>
    <t>UBND Xã Lộc Thành</t>
  </si>
  <si>
    <t>UBND Xã Lộc Hưng</t>
  </si>
  <si>
    <t>UBND Xã Lộc Tấn</t>
  </si>
  <si>
    <t>UBND Phường Kon Tum</t>
  </si>
  <si>
    <t>UBND Phường Đăk Cấm</t>
  </si>
  <si>
    <t>UBND Phường Đăk Bla</t>
  </si>
  <si>
    <t>UBND Đặc khu Lý Sơn</t>
  </si>
  <si>
    <t>UBND Xã Nam Gianh</t>
  </si>
  <si>
    <t>UBND Xã Nam Ba Đồn</t>
  </si>
  <si>
    <t>UBND Xã Dân Hóa</t>
  </si>
  <si>
    <t>UBND Xã Kim Điền</t>
  </si>
  <si>
    <t>UBND Xã Kim Phú</t>
  </si>
  <si>
    <t>UBND Xã Minh Hóa</t>
  </si>
  <si>
    <t>UBND Xã Tuyên Lâm</t>
  </si>
  <si>
    <t>UBND Xã Tuyên Sơn</t>
  </si>
  <si>
    <t>UBND Xã Đồng Lê</t>
  </si>
  <si>
    <t>UBND Xã Tuyên Phú</t>
  </si>
  <si>
    <t>UBND Xã Tuyên Bình</t>
  </si>
  <si>
    <t>UBND Xã Tuyên Hóa</t>
  </si>
  <si>
    <t>UBND Xã Tân Gianh</t>
  </si>
  <si>
    <t>UBND Xã Trung Thuần</t>
  </si>
  <si>
    <t>UBND Xã Quảng Trạch</t>
  </si>
  <si>
    <t>UBND Xã Hòa Trạch</t>
  </si>
  <si>
    <t>UBND Xã Phú Trạch</t>
  </si>
  <si>
    <t>UBND Xã Thượng Trạch</t>
  </si>
  <si>
    <t>UBND Xã Phong Nha</t>
  </si>
  <si>
    <t>UBND Xã Bắc Trạch</t>
  </si>
  <si>
    <t>UBND Xã Đông Trạch</t>
  </si>
  <si>
    <t>UBND Xã Hoàn Lão</t>
  </si>
  <si>
    <t>UBND Xã Bố Trạch</t>
  </si>
  <si>
    <t>UBND Xã Nam Trạch</t>
  </si>
  <si>
    <t>UBND Xã Quảng Ninh</t>
  </si>
  <si>
    <t>UBND Xã Ninh Châu</t>
  </si>
  <si>
    <t>UBND Xã Trường Ninh</t>
  </si>
  <si>
    <t>UBND Xã Lệ Thủy</t>
  </si>
  <si>
    <t>UBND Xã Cam Hồng</t>
  </si>
  <si>
    <t>UBND Xã Sen Ngư</t>
  </si>
  <si>
    <t>UBND Xã Tân Mỹ</t>
  </si>
  <si>
    <t>UBND Xã Đông Phú</t>
  </si>
  <si>
    <t>UBND Xã Nghĩa Phương</t>
  </si>
  <si>
    <t>UBND Xã Lục Nam</t>
  </si>
  <si>
    <t>UBND Xã Bắc Lũng</t>
  </si>
  <si>
    <t>UBND Xã Bảo Đài</t>
  </si>
  <si>
    <t>UBND Xã Lạng Giang</t>
  </si>
  <si>
    <t>UBND Xã Mỹ Thái</t>
  </si>
  <si>
    <t>UBND Xã Kép</t>
  </si>
  <si>
    <t>UBND Xã Tân Dĩnh</t>
  </si>
  <si>
    <t>UBND Xã Tiên Lục</t>
  </si>
  <si>
    <t>UBND Xã Yên Thế</t>
  </si>
  <si>
    <t>UBND Xã Bố Hạ</t>
  </si>
  <si>
    <t>UBND Xã Đồng Kỳ</t>
  </si>
  <si>
    <t>UBND Xã Xuân Lương</t>
  </si>
  <si>
    <t>UBND Xã Tam Tiến</t>
  </si>
  <si>
    <t>UBND Xã Tân Yên</t>
  </si>
  <si>
    <t>UBND Xã Ngọc Thiện</t>
  </si>
  <si>
    <t>UBND Xã Nhã Nam</t>
  </si>
  <si>
    <t>UBND Xã Phúc Hoà</t>
  </si>
  <si>
    <t>UBND Xã Quang Trung</t>
  </si>
  <si>
    <t>UBND Xã Hợp Thịnh</t>
  </si>
  <si>
    <t>UBND Xã Hiệp Hòa</t>
  </si>
  <si>
    <t>UBND Xã Hoàng Vân</t>
  </si>
  <si>
    <t>UBND Xã Đồng Việt</t>
  </si>
  <si>
    <t>UBND Xã Xuân Cẩm</t>
  </si>
  <si>
    <t>UBND Phường Kinh Bắc</t>
  </si>
  <si>
    <t>UBND Phường Võ Cường</t>
  </si>
  <si>
    <t>UBND Phường Vũ Ninh</t>
  </si>
  <si>
    <t>UBND Phường Hạp Lĩnh</t>
  </si>
  <si>
    <t>UBND Phường Nam Sơn</t>
  </si>
  <si>
    <t>UBND Phường Từ Sơn</t>
  </si>
  <si>
    <t>UBND Phường Tam Sơn</t>
  </si>
  <si>
    <t>UBND Phường Đồng Nguyên</t>
  </si>
  <si>
    <t>UBND Phường Phù Khê</t>
  </si>
  <si>
    <t>UBND Phường Thuận Thành</t>
  </si>
  <si>
    <t>UBND Phường Mão Điền</t>
  </si>
  <si>
    <t>UBND Phường Trạm Lộ</t>
  </si>
  <si>
    <t>UBND Phường Trí Quả</t>
  </si>
  <si>
    <t>UBND Phường Song Liễu</t>
  </si>
  <si>
    <t>UBND Phường Ninh Xá</t>
  </si>
  <si>
    <t>UBND Phường Quế Võ</t>
  </si>
  <si>
    <t>UBND Phường Phương Liễu</t>
  </si>
  <si>
    <t>UBND Phường Nhân Hòa</t>
  </si>
  <si>
    <t>UBND Phường Đào Viên</t>
  </si>
  <si>
    <t>UBND Phường Bồng Lai</t>
  </si>
  <si>
    <t>UBND Phường Chũ</t>
  </si>
  <si>
    <t>UBND Phường Phượng Sơn</t>
  </si>
  <si>
    <t>UBND Phường Tự Lạn</t>
  </si>
  <si>
    <t>UBND Phường Việt Yên</t>
  </si>
  <si>
    <t>UBND Phường Nếnh</t>
  </si>
  <si>
    <t>UBND Phường Vân Hà</t>
  </si>
  <si>
    <t>UBND Phường Bắc Giang</t>
  </si>
  <si>
    <t>UBND Phường Đa Mai</t>
  </si>
  <si>
    <t>UBND Phường Tiền Phong</t>
  </si>
  <si>
    <t>UBND Phường Yên Dũng</t>
  </si>
  <si>
    <t>UBND Phường Tân Tiến</t>
  </si>
  <si>
    <t>UBND Phường Cảnh Thụy</t>
  </si>
  <si>
    <t>UBND Xã Tuấn Đạo</t>
  </si>
  <si>
    <t>UBND Xã Tân Thuận</t>
  </si>
  <si>
    <t>UBND Xã Tân Tiến</t>
  </si>
  <si>
    <t>UBND Xã Tạ An Khương</t>
  </si>
  <si>
    <t>UBND Xã Trần Phán</t>
  </si>
  <si>
    <t>UBND Xã Thanh Tùng</t>
  </si>
  <si>
    <t>UBND Xã Đầm Dơi</t>
  </si>
  <si>
    <t>UBND Xã Quách Phẩm</t>
  </si>
  <si>
    <t>UBND Xã U Minh</t>
  </si>
  <si>
    <t>UBND Xã Nguyễn Phích</t>
  </si>
  <si>
    <t>UBND Xã Khánh Lâm</t>
  </si>
  <si>
    <t>UBND Xã Khánh An</t>
  </si>
  <si>
    <t>UBND Xã Phan Ngọc Hiển</t>
  </si>
  <si>
    <t>UBND Xã Đất Mũi</t>
  </si>
  <si>
    <t>UBND Xã Tân Ân</t>
  </si>
  <si>
    <t>UBND Xã Đá Bạc</t>
  </si>
  <si>
    <t>UBND Xã Khánh Hưng</t>
  </si>
  <si>
    <t>UBND Xã Sông Đốc</t>
  </si>
  <si>
    <t>UBND Xã Trần Văn Thời</t>
  </si>
  <si>
    <t>UBND Xã Thới Bình</t>
  </si>
  <si>
    <t>UBND Xã Trí Phải</t>
  </si>
  <si>
    <t>UBND Xã Tân Lộc</t>
  </si>
  <si>
    <t>UBND Xã Ba Bể</t>
  </si>
  <si>
    <t>UBND Xã Chợ Rã</t>
  </si>
  <si>
    <t>UBND Xã Phúc Lộc</t>
  </si>
  <si>
    <t>UBND Xã Thượng Minh</t>
  </si>
  <si>
    <t>UBND Xã Đồng Phúc</t>
  </si>
  <si>
    <t>UBND Xã Bằng Vân</t>
  </si>
  <si>
    <t>UBND Xã Ngân Sơn</t>
  </si>
  <si>
    <t>UBND Xã Nà Phặc</t>
  </si>
  <si>
    <t>UBND Xã Hiệp Lực</t>
  </si>
  <si>
    <t>UBND Xã Nam Cường</t>
  </si>
  <si>
    <t>UBND Xã Quảng Bạch</t>
  </si>
  <si>
    <t>UBND Xã Yên Thịnh</t>
  </si>
  <si>
    <t>UBND Xã Chợ Đồn</t>
  </si>
  <si>
    <t>UBND Xã Nghĩa Tá</t>
  </si>
  <si>
    <t>UBND Xã Phủ Thông</t>
  </si>
  <si>
    <t>UBND Xã Cẩm Giàng</t>
  </si>
  <si>
    <t>UBND Xã Vĩnh Thông</t>
  </si>
  <si>
    <t>UBND Xã Bạch Thông</t>
  </si>
  <si>
    <t>UBND Xã Phong Quang</t>
  </si>
  <si>
    <t>UBND Xã Văn Lang</t>
  </si>
  <si>
    <t>UBND Xã Cường Lợi</t>
  </si>
  <si>
    <t>UBND Xã Na Rì</t>
  </si>
  <si>
    <t>UBND Xã Trần Phú</t>
  </si>
  <si>
    <t>UBND Xã Côn Minh</t>
  </si>
  <si>
    <t>UBND Xã Xuân Dương</t>
  </si>
  <si>
    <t>UBND Xã Thanh Mai</t>
  </si>
  <si>
    <t>UBND Xã Thanh Thịnh</t>
  </si>
  <si>
    <t>UBND Xã Yên Bình</t>
  </si>
  <si>
    <t>UBND Phường Phan Đình Phùng</t>
  </si>
  <si>
    <t>UBND Phường Linh Sơn</t>
  </si>
  <si>
    <t>UBND Phường Tích Lương</t>
  </si>
  <si>
    <t>UBND Phường Gia Sàng</t>
  </si>
  <si>
    <t>UBND Phường Quyết Thắng</t>
  </si>
  <si>
    <t>UBND Phường Quan Triều</t>
  </si>
  <si>
    <t>UBND Xã Lộc Thạnh</t>
  </si>
  <si>
    <t>UBND Xã Lộc Quang</t>
  </si>
  <si>
    <t>UBND Xã Thiện Hưng</t>
  </si>
  <si>
    <t>UBND Xã Hưng Phước</t>
  </si>
  <si>
    <t>UBND Xã Phú Nghĩa</t>
  </si>
  <si>
    <t>UBND Xã Đa Kia</t>
  </si>
  <si>
    <t>UBND Xã Bình Tân</t>
  </si>
  <si>
    <t>UBND Xã Long Hà</t>
  </si>
  <si>
    <t>UBND Xã Phú Riềng</t>
  </si>
  <si>
    <t>UBND Xã Phú Trung</t>
  </si>
  <si>
    <t>UBND Xã Thuận Lợi</t>
  </si>
  <si>
    <t>UBND Xã Đồng Tâm</t>
  </si>
  <si>
    <t>UBND Xã Tân Lợi</t>
  </si>
  <si>
    <t>UBND Xã Đồng Phú</t>
  </si>
  <si>
    <t>UBND Xã Phước Sơn</t>
  </si>
  <si>
    <t>UBND Xã Nghĩa Trung</t>
  </si>
  <si>
    <t>UBND Xã Bù Đăng</t>
  </si>
  <si>
    <t>UBND Xã Thọ Sơn</t>
  </si>
  <si>
    <t>UBND Xã Đak Nhau</t>
  </si>
  <si>
    <t>UBND Xã Bom Bo</t>
  </si>
  <si>
    <t>UBND Phường Biên Hòa</t>
  </si>
  <si>
    <t>UBND Phường Trấn Biên</t>
  </si>
  <si>
    <t>UBND Phường Tam Hiệp</t>
  </si>
  <si>
    <t>UBND Phường Long Bình</t>
  </si>
  <si>
    <t>UBND Phường Trảng Dài</t>
  </si>
  <si>
    <t>UBND Phường Hố Nai</t>
  </si>
  <si>
    <t>UBND Phường Long Hưng</t>
  </si>
  <si>
    <t>UBND Phường Bình Lộc</t>
  </si>
  <si>
    <t>UBND Phường Bảo Vinh</t>
  </si>
  <si>
    <t>UBND Phường Xuân Lập</t>
  </si>
  <si>
    <t>UBND Phường Long Khánh</t>
  </si>
  <si>
    <t>UBND Phường Hàng Gòn</t>
  </si>
  <si>
    <t>UBND Phường Tân Triều</t>
  </si>
  <si>
    <t>UBND Phường Minh Hưng</t>
  </si>
  <si>
    <t>UBND Phường Chơn Thành</t>
  </si>
  <si>
    <t>UBND Phường Bình Long</t>
  </si>
  <si>
    <t>UBND Phường An Lộc</t>
  </si>
  <si>
    <t>UBND Phường Phước Bình</t>
  </si>
  <si>
    <t>UBND Phường Phước Long</t>
  </si>
  <si>
    <t>UBND Phường Đồng Xoài</t>
  </si>
  <si>
    <t>UBND Phường Bình Phước</t>
  </si>
  <si>
    <t>UBND Xã An Nhơn Tây</t>
  </si>
  <si>
    <t>UBND Xã Phù Cát</t>
  </si>
  <si>
    <t>UBND Xã Xuân An</t>
  </si>
  <si>
    <t>UBND Xã Trường Phú</t>
  </si>
  <si>
    <t>UBND Xã Lệ Ninh</t>
  </si>
  <si>
    <t>UBND Xã Kim Ngân</t>
  </si>
  <si>
    <t>UBND Xã Vĩnh Linh</t>
  </si>
  <si>
    <t>UBND Xã Cửa Tùng</t>
  </si>
  <si>
    <t>UBND Xã Vĩnh Hoàng</t>
  </si>
  <si>
    <t>UBND Xã Vĩnh Thủy</t>
  </si>
  <si>
    <t>UBND Xã Bến Quan</t>
  </si>
  <si>
    <t>UBND Xã Cồn Tiên</t>
  </si>
  <si>
    <t>UBND Xã Cửa Việt</t>
  </si>
  <si>
    <t>UBND Xã Gio Linh</t>
  </si>
  <si>
    <t>UBND Xã Bến Hải</t>
  </si>
  <si>
    <t>UBND Xã Cam Lộ</t>
  </si>
  <si>
    <t>UBND Xã Hiếu Giang</t>
  </si>
  <si>
    <t>UBND Xã La Lay</t>
  </si>
  <si>
    <t>UBND Xã Tà Rụt</t>
  </si>
  <si>
    <t>UBND Xã Đakrông</t>
  </si>
  <si>
    <t>UBND Xã Biển Bạch</t>
  </si>
  <si>
    <t>UBND Xã Đất Mới</t>
  </si>
  <si>
    <t>UBND Xã Năm Căn</t>
  </si>
  <si>
    <t>UBND Xã Cái Đôi Vàm</t>
  </si>
  <si>
    <t>UBND Xã Nguyễn Việt Khái</t>
  </si>
  <si>
    <t>UBND Xã Phú Mỹ</t>
  </si>
  <si>
    <t>UBND Xã Lương Thế Trân</t>
  </si>
  <si>
    <t>UBND Xã Hưng Mỹ</t>
  </si>
  <si>
    <t>UBND Xã Cái Nước</t>
  </si>
  <si>
    <t>UBND Xã Phong Thạnh</t>
  </si>
  <si>
    <t>UBND Xã Hồng Dân</t>
  </si>
  <si>
    <t>UBND Xã Vĩnh Lộc</t>
  </si>
  <si>
    <t>UBND Xã Ninh Thạnh Lợi</t>
  </si>
  <si>
    <t>UBND Xã Ninh Quới</t>
  </si>
  <si>
    <t>UBND Xã Gành Hào</t>
  </si>
  <si>
    <t>UBND Xã Định Thành</t>
  </si>
  <si>
    <t>UBND Xã An Trạch</t>
  </si>
  <si>
    <t>UBND Xã Đông Hải</t>
  </si>
  <si>
    <t>UBND Xã Hòa Bình</t>
  </si>
  <si>
    <t>UBND Xã Vĩnh Mỹ</t>
  </si>
  <si>
    <t>UBND Xã Phước Long</t>
  </si>
  <si>
    <t>UBND Xã Vĩnh Phước</t>
  </si>
  <si>
    <t>UBND Xã Phong Hiệp</t>
  </si>
  <si>
    <t>UBND Xã Vĩnh Lợi</t>
  </si>
  <si>
    <t>UBND Xã Hưng Hội</t>
  </si>
  <si>
    <t>UBND Xã Châu Thới</t>
  </si>
  <si>
    <t>UBND Phường Bạc Liêu</t>
  </si>
  <si>
    <t>UBND Phường Vĩnh Trạch</t>
  </si>
  <si>
    <t>UBND Phường Hiệp Thành</t>
  </si>
  <si>
    <t>UBND Phường Giá Rai</t>
  </si>
  <si>
    <t>UBND Phường Láng Tròn</t>
  </si>
  <si>
    <t>UBND Phường An Xuyên</t>
  </si>
  <si>
    <t>UBND Phường Lý Văn Lâm</t>
  </si>
  <si>
    <t>UBND Phường Tân Thành</t>
  </si>
  <si>
    <t>UBND Xã Hồ Thị Kỷ</t>
  </si>
  <si>
    <t>UBND Phường Ninh Kiều</t>
  </si>
  <si>
    <t>UBND Phường Cái Khế</t>
  </si>
  <si>
    <t>UBND Phường An Bình</t>
  </si>
  <si>
    <t>UBND Phường Sông Công</t>
  </si>
  <si>
    <t>UBND Phường Bá Xuyên</t>
  </si>
  <si>
    <t>UBND Xã Ba Lòng</t>
  </si>
  <si>
    <t>UBND Xã Hướng Hiệp</t>
  </si>
  <si>
    <t>UBND Xã Hướng Lập</t>
  </si>
  <si>
    <t>UBND Xã Hướng Phùng</t>
  </si>
  <si>
    <t>UBND Xã Khe Sanh</t>
  </si>
  <si>
    <t>UBND Xã Lao Bảo</t>
  </si>
  <si>
    <t>UBND Xã Lìa</t>
  </si>
  <si>
    <t>UBND Xã A Dơi</t>
  </si>
  <si>
    <t>UBND Xã Triệu Phong</t>
  </si>
  <si>
    <t>UBND Xã ái Tử</t>
  </si>
  <si>
    <t>UBND Xã Triệu Bình</t>
  </si>
  <si>
    <t>UBND Xã Triệu Cơ</t>
  </si>
  <si>
    <t>UBND Xã Nam Cửa Việt</t>
  </si>
  <si>
    <t>UBND Xã Diên Sanh</t>
  </si>
  <si>
    <t>UBND Xã Mỹ Thủy</t>
  </si>
  <si>
    <t>UBND Xã Hải Lăng</t>
  </si>
  <si>
    <t>UBND Xã Nam Hải Lăng</t>
  </si>
  <si>
    <t>UBND Xã Vĩnh Định</t>
  </si>
  <si>
    <t>UBND Phường Đồng Hới</t>
  </si>
  <si>
    <t>UBND Phường Đồng Thuận</t>
  </si>
  <si>
    <t>UBND Phường Đồng Sơn</t>
  </si>
  <si>
    <t>UBND Phường Ba Đồn</t>
  </si>
  <si>
    <t>UBND Phường Bắc Gianh</t>
  </si>
  <si>
    <t>UBND Phường Đông Hà</t>
  </si>
  <si>
    <t>UBND Phường Nam Đông Hà</t>
  </si>
  <si>
    <t>UBND Phường Quảng Trị</t>
  </si>
  <si>
    <t>UBND Đặc khu Cồn Cỏ</t>
  </si>
  <si>
    <t>UBND Xã Các Sơn</t>
  </si>
  <si>
    <t>UBND Xã Trường Lâm</t>
  </si>
  <si>
    <t>UBND Xã Hà Trung</t>
  </si>
  <si>
    <t>UBND Xã Tống Sơn</t>
  </si>
  <si>
    <t>UBND Xã Hà Long</t>
  </si>
  <si>
    <t>UBND Phường Đông Tiến</t>
  </si>
  <si>
    <t>UBND Phường Thới An Đông</t>
  </si>
  <si>
    <t>UBND Phường Bình Thủy</t>
  </si>
  <si>
    <t>UBND Phường Long Tuyền</t>
  </si>
  <si>
    <t>UBND Phường Cái Răng</t>
  </si>
  <si>
    <t>UBND Phường Hưng Phú</t>
  </si>
  <si>
    <t>UBND Phường Ô Môn</t>
  </si>
  <si>
    <t>UBND Phường Phước Thới</t>
  </si>
  <si>
    <t>UBND Phường Thới Long</t>
  </si>
  <si>
    <t>UBND Phường Trung Nhứt</t>
  </si>
  <si>
    <t>UBND Phường Thuận Hưng</t>
  </si>
  <si>
    <t>UBND Phường Thốt Nốt</t>
  </si>
  <si>
    <t>UBND Phường Vị Thanh</t>
  </si>
  <si>
    <t>UBND Phường Vị Tân</t>
  </si>
  <si>
    <t>UBND Phường Long Mỹ</t>
  </si>
  <si>
    <t>UBND Phường Long Phú 1</t>
  </si>
  <si>
    <t>UBND Phường Đại Thành</t>
  </si>
  <si>
    <t>UBND Phường Ngã Bảy</t>
  </si>
  <si>
    <t>UBND Phường Phú Lợi</t>
  </si>
  <si>
    <t>UBND Phường Sóc Trăng</t>
  </si>
  <si>
    <t>UBND Phường Mỹ Xuyên</t>
  </si>
  <si>
    <t>UBND Phường Vĩnh Phước</t>
  </si>
  <si>
    <t>UBND Phường Vĩnh Châu</t>
  </si>
  <si>
    <t>UBND Phường Khánh Hòa</t>
  </si>
  <si>
    <t>UBND Phường Ngã Năm</t>
  </si>
  <si>
    <t>UBND Phường Mỹ Quới</t>
  </si>
  <si>
    <t>UBND Xã Phong Điền</t>
  </si>
  <si>
    <t>UBND Xã Nhơn ái</t>
  </si>
  <si>
    <t>UBND Xã Thới Lai</t>
  </si>
  <si>
    <t>UBND Xã Đông Thuận</t>
  </si>
  <si>
    <t>UBND Xã Trường Xuân</t>
  </si>
  <si>
    <t>UBND Xã Trường Thành</t>
  </si>
  <si>
    <t>UBND Xã Cờ Đỏ</t>
  </si>
  <si>
    <t>UBND Xã Đông Hiệp</t>
  </si>
  <si>
    <t>UBND Xã Trung Hưng</t>
  </si>
  <si>
    <t>UBND Xã Vĩnh Thạnh</t>
  </si>
  <si>
    <t>UBND Xã Vĩnh Trinh</t>
  </si>
  <si>
    <t>UBND Xã Thạnh An</t>
  </si>
  <si>
    <t>UBND Xã Thạnh Quới</t>
  </si>
  <si>
    <t>UBND Xã Hỏa Lựu</t>
  </si>
  <si>
    <t>UBND Xã Vị Thủy</t>
  </si>
  <si>
    <t>UBND Xã Vĩnh Thuận Đông</t>
  </si>
  <si>
    <t>UBND Xã Vị Thanh 1</t>
  </si>
  <si>
    <t>UBND Phường Bách Quang</t>
  </si>
  <si>
    <t>UBND Phường Phổ Yên</t>
  </si>
  <si>
    <t>UBND Phường Vạn Xuân</t>
  </si>
  <si>
    <t>UBND Phường Trung Thành</t>
  </si>
  <si>
    <t>UBND Phường Phúc Thuận</t>
  </si>
  <si>
    <t>UBND Phường Đức Xuân</t>
  </si>
  <si>
    <t>UBND Phường Bắc Kạn</t>
  </si>
  <si>
    <t>UBND Xã Sảng Mộc</t>
  </si>
  <si>
    <t>UBND Xã Thượng Quan</t>
  </si>
  <si>
    <t>UBND Xã Cái Nhum</t>
  </si>
  <si>
    <t>UBND Xã Tân Long Hội</t>
  </si>
  <si>
    <t>UBND Xã Nhơn Phú</t>
  </si>
  <si>
    <t>UBND Xã Bình Phước</t>
  </si>
  <si>
    <t>UBND Xã An Bình</t>
  </si>
  <si>
    <t>UBND Xã Long Hồ</t>
  </si>
  <si>
    <t>UBND Xã Phú Quới</t>
  </si>
  <si>
    <t>UBND Xã Quới Thiện</t>
  </si>
  <si>
    <t>UBND Xã Trung Thành</t>
  </si>
  <si>
    <t>UBND Xã Trung Ngãi</t>
  </si>
  <si>
    <t>UBND Xã Quới An</t>
  </si>
  <si>
    <t>UBND Xã Trung Hiệp</t>
  </si>
  <si>
    <t>UBND Xã Hiếu Phụng</t>
  </si>
  <si>
    <t>UBND Xã Hoạt Giang</t>
  </si>
  <si>
    <t>UBND Xã Lĩnh Toại</t>
  </si>
  <si>
    <t>UBND Xã Triệu Lộc</t>
  </si>
  <si>
    <t>UBND Xã Hậu Lộc</t>
  </si>
  <si>
    <t>UBND Xã Hoa Lộc</t>
  </si>
  <si>
    <t>UBND Xã Vạn Lộc</t>
  </si>
  <si>
    <t>UBND Xã Nga Sơn</t>
  </si>
  <si>
    <t>UBND Xã Nga Thắng</t>
  </si>
  <si>
    <t>UBND Xã Hồ Vương</t>
  </si>
  <si>
    <t>UBND Xã Nga An</t>
  </si>
  <si>
    <t>UBND Xã Ba Đình</t>
  </si>
  <si>
    <t>UBND Xã Hoằng Hóa</t>
  </si>
  <si>
    <t>UBND Xã Hoằng Tiến</t>
  </si>
  <si>
    <t>UBND Xã Hoằng Thanh</t>
  </si>
  <si>
    <t>UBND Xã Hoằng Lộc</t>
  </si>
  <si>
    <t>UBND Xã Hoằng Châu</t>
  </si>
  <si>
    <t>UBND Xã Hoằng Sơn</t>
  </si>
  <si>
    <t>UBND Xã Hoằng Phú</t>
  </si>
  <si>
    <t>UBND Xã Hoằng Giang</t>
  </si>
  <si>
    <t>UBND Xã Lưu Vệ</t>
  </si>
  <si>
    <t>UBND Xã Vĩnh Tường</t>
  </si>
  <si>
    <t>UBND Xã Vĩnh Viễn</t>
  </si>
  <si>
    <t>UBND Xã Xà Phiên</t>
  </si>
  <si>
    <t>UBND Xã Lương Tâm</t>
  </si>
  <si>
    <t>UBND Xã Thạnh Xuân</t>
  </si>
  <si>
    <t>UBND Xã Trường Long Tây</t>
  </si>
  <si>
    <t>UBND Xã Đông Phước</t>
  </si>
  <si>
    <t>UBND Xã Tân Bình</t>
  </si>
  <si>
    <t>UBND Xã Hòa An</t>
  </si>
  <si>
    <t>UBND Xã Phương Bình</t>
  </si>
  <si>
    <t>UBND Xã Tân Phước Hưng</t>
  </si>
  <si>
    <t>UBND Xã Hiệp Hưng</t>
  </si>
  <si>
    <t>UBND Xã Phụng Hiệp</t>
  </si>
  <si>
    <t>UBND Xã Thạnh Hòa</t>
  </si>
  <si>
    <t>UBND Xã Hòa Tú</t>
  </si>
  <si>
    <t>UBND Xã Gia Hòa</t>
  </si>
  <si>
    <t>UBND Xã Nhu Gia</t>
  </si>
  <si>
    <t>UBND Xã Ngọc Tố</t>
  </si>
  <si>
    <t>UBND Xã Trường Khánh</t>
  </si>
  <si>
    <t>UBND Xã Đại Ngãi</t>
  </si>
  <si>
    <t>UBND Xã Long Phú</t>
  </si>
  <si>
    <t>UBND Xã An Lạc Thôn</t>
  </si>
  <si>
    <t>UBND Xã Kế Sách</t>
  </si>
  <si>
    <t>UBND Xã Thới An Hội</t>
  </si>
  <si>
    <t>UBND Xã Đại Hải</t>
  </si>
  <si>
    <t>UBND Xã Phú Tâm</t>
  </si>
  <si>
    <t>UBND Xã An Ninh</t>
  </si>
  <si>
    <t>UBND Xã Thuận Hòa</t>
  </si>
  <si>
    <t>UBND Xã Hồ Đắc Kiện</t>
  </si>
  <si>
    <t>UBND Xã Mỹ Tú</t>
  </si>
  <si>
    <t>UBND Xã Long Hưng</t>
  </si>
  <si>
    <t>UBND Xã Mỹ Hương</t>
  </si>
  <si>
    <t>UBND Xã Tân Long</t>
  </si>
  <si>
    <t>UBND Xã Phú Lộc</t>
  </si>
  <si>
    <t>UBND Xã Lâm Tân</t>
  </si>
  <si>
    <t>UBND Xã Thạnh Thới An</t>
  </si>
  <si>
    <t>UBND Xã Hiếu Thành</t>
  </si>
  <si>
    <t>UBND Xã Lục Sĩ Thành</t>
  </si>
  <si>
    <t>UBND Xã Trà Ôn</t>
  </si>
  <si>
    <t>UBND Xã Trà Côn</t>
  </si>
  <si>
    <t>UBND Xã Vĩnh Xuân</t>
  </si>
  <si>
    <t>UBND Xã Hòa Hiệp</t>
  </si>
  <si>
    <t>UBND Xã Tam Bình</t>
  </si>
  <si>
    <t>UBND Xã Ngãi Tứ</t>
  </si>
  <si>
    <t>UBND Xã Song Phú</t>
  </si>
  <si>
    <t>UBND Xã Cái Ngang</t>
  </si>
  <si>
    <t>UBND Xã Tân Quới</t>
  </si>
  <si>
    <t>UBND Xã Tân Lược</t>
  </si>
  <si>
    <t>UBND Xã Long Hữu</t>
  </si>
  <si>
    <t>UBND Xã Càng Long</t>
  </si>
  <si>
    <t>UBND Xã An Trường</t>
  </si>
  <si>
    <t>UBND Xã Nhị Long</t>
  </si>
  <si>
    <t>UBND Xã Bình Phú</t>
  </si>
  <si>
    <t>UBND Xã Song Lộc</t>
  </si>
  <si>
    <t>UBND Xã Cầu Kè</t>
  </si>
  <si>
    <t>UBND Xã An Phú Tân</t>
  </si>
  <si>
    <t>UBND Xã Tam Ngãi</t>
  </si>
  <si>
    <t>UBND Xã Tiểu Cần</t>
  </si>
  <si>
    <t>UBND Xã Hùng Hòa</t>
  </si>
  <si>
    <t>UBND Xã Tập Ngãi</t>
  </si>
  <si>
    <t>UBND Xã Cầu Ngang</t>
  </si>
  <si>
    <t>UBND Xã Mỹ Long</t>
  </si>
  <si>
    <t>UBND Xã Vinh Kim</t>
  </si>
  <si>
    <t>UBND Xã Nhị Trường</t>
  </si>
  <si>
    <t>UBND Xã Hiệp Mỹ</t>
  </si>
  <si>
    <t>UBND Xã Trà Cú</t>
  </si>
  <si>
    <t>UBND Xã Đại An</t>
  </si>
  <si>
    <t>UBND Xã Lưu Nghiệp Anh</t>
  </si>
  <si>
    <t>UBND Xã Hàm Giang</t>
  </si>
  <si>
    <t>UBND Xã Long Hiệp</t>
  </si>
  <si>
    <t>UBND Xã Tập Sơn</t>
  </si>
  <si>
    <t>UBND Xã Đôn Châu</t>
  </si>
  <si>
    <t>UBND Xã Ngũ Lạc</t>
  </si>
  <si>
    <t>UBND Xã Phú Túc</t>
  </si>
  <si>
    <t>UBND Xã Quảng Yên</t>
  </si>
  <si>
    <t>UBND Xã Quảng Ngọc</t>
  </si>
  <si>
    <t>UBND Xã Quảng Bình</t>
  </si>
  <si>
    <t>UBND Xã Tiên Trang</t>
  </si>
  <si>
    <t>UBND Xã Quảng Chính</t>
  </si>
  <si>
    <t>UBND Xã Nông Cống</t>
  </si>
  <si>
    <t>UBND Xã Thắng Lợi</t>
  </si>
  <si>
    <t>UBND Xã Trường Văn</t>
  </si>
  <si>
    <t>UBND Xã Tượng Lĩnh</t>
  </si>
  <si>
    <t>UBND Xã Công Chính</t>
  </si>
  <si>
    <t>UBND Xã Thiệu Hóa</t>
  </si>
  <si>
    <t>UBND Xã Thiệu Quang</t>
  </si>
  <si>
    <t>UBND Xã Thiệu Tiến</t>
  </si>
  <si>
    <t>UBND Xã Thiệu Toán</t>
  </si>
  <si>
    <t>UBND Xã Thiệu Trung</t>
  </si>
  <si>
    <t>UBND Xã Yên Trường</t>
  </si>
  <si>
    <t>UBND Xã Yên Phú</t>
  </si>
  <si>
    <t>UBND Xã Quý Lộc</t>
  </si>
  <si>
    <t>UBND Xã Yên Ninh</t>
  </si>
  <si>
    <t>UBND Xã Định Tân</t>
  </si>
  <si>
    <t>UBND Xã Thọ Xuân</t>
  </si>
  <si>
    <t>UBND Xã Thọ Long</t>
  </si>
  <si>
    <t>UBND Xã Sao Vàng</t>
  </si>
  <si>
    <t>UBND Xã Lam Sơn</t>
  </si>
  <si>
    <t>UBND Xã Thọ Lập</t>
  </si>
  <si>
    <t>UBND Xã Xuân Tín</t>
  </si>
  <si>
    <t>UBND Xã Xuân Lập</t>
  </si>
  <si>
    <t>UBND Xã Tài Văn</t>
  </si>
  <si>
    <t>UBND Xã Liêu Tú</t>
  </si>
  <si>
    <t>UBND Xã Lịch Hội Thượng</t>
  </si>
  <si>
    <t>UBND Xã Trần Đề</t>
  </si>
  <si>
    <t>UBND Xã An Thạnh</t>
  </si>
  <si>
    <t>UBND Phường Tân Lộc</t>
  </si>
  <si>
    <t>UBND Xã Trường Long</t>
  </si>
  <si>
    <t>UBND Xã Thạnh Phú</t>
  </si>
  <si>
    <t>UBND Xã Thới Hưng</t>
  </si>
  <si>
    <t>UBND Xã Phong Nẫm</t>
  </si>
  <si>
    <t>UBND Xã Mỹ Phước</t>
  </si>
  <si>
    <t>UBND Xã Lai Hòa</t>
  </si>
  <si>
    <t>UBND Xã Vĩnh Hải</t>
  </si>
  <si>
    <t>UBND Xã Cù Lao Dung</t>
  </si>
  <si>
    <t>UBND Xã Tân Hồng</t>
  </si>
  <si>
    <t>UBND Xã Tân Hộ Cơ</t>
  </si>
  <si>
    <t>UBND Xã Thường Phước</t>
  </si>
  <si>
    <t>UBND Xã Long Khánh</t>
  </si>
  <si>
    <t>UBND Xã Long Phú Thuận</t>
  </si>
  <si>
    <t>UBND Xã An Hòa</t>
  </si>
  <si>
    <t>UBND Xã Tam Nông</t>
  </si>
  <si>
    <t>UBND Xã Phú Thọ</t>
  </si>
  <si>
    <t>UBND Xã Tràm Chim</t>
  </si>
  <si>
    <t>UBND Xã Phú Cường</t>
  </si>
  <si>
    <t>UBND Xã An Long</t>
  </si>
  <si>
    <t>UBND Xã Tháp Mười</t>
  </si>
  <si>
    <t>UBND Xã Thanh Mỹ</t>
  </si>
  <si>
    <t>UBND Xã Mỹ Quí</t>
  </si>
  <si>
    <t>UBND Xã Đốc Binh Kiều</t>
  </si>
  <si>
    <t>UBND Xã Phương Thịnh</t>
  </si>
  <si>
    <t>UBND Xã Phong Mỹ</t>
  </si>
  <si>
    <t>UBND Xã Ba Sao</t>
  </si>
  <si>
    <t>UBND Xã Mỹ Thọ</t>
  </si>
  <si>
    <t>UBND Xã Bình Hàng Trung</t>
  </si>
  <si>
    <t>UBND Xã Mỹ Hiệp</t>
  </si>
  <si>
    <t>UBND Xã Mỹ An Hưng</t>
  </si>
  <si>
    <t>UBND Xã Tân Khánh Trung</t>
  </si>
  <si>
    <t>UBND Xã Lấp Vò</t>
  </si>
  <si>
    <t>UBND Xã Lai Vung</t>
  </si>
  <si>
    <t>UBND Xã Hòa Long</t>
  </si>
  <si>
    <t>UBND Xã Phong Hòa</t>
  </si>
  <si>
    <t>UBND Xã Giao Long</t>
  </si>
  <si>
    <t>UBND Xã Tiên Thủy</t>
  </si>
  <si>
    <t>UBND Xã Phú Phụng</t>
  </si>
  <si>
    <t>UBND Xã Chợ Lách</t>
  </si>
  <si>
    <t>UBND Xã Vĩnh Thành</t>
  </si>
  <si>
    <t>UBND Xã Hưng Khánh Trung</t>
  </si>
  <si>
    <t>UBND Xã Phước Mỹ Trung</t>
  </si>
  <si>
    <t>UBND Xã Tân Thành Bình</t>
  </si>
  <si>
    <t>UBND Xã Nhuận Phú Tân</t>
  </si>
  <si>
    <t>UBND Xã Đồng Khởi</t>
  </si>
  <si>
    <t>UBND Xã Thành Thới</t>
  </si>
  <si>
    <t>UBND Xã An Định</t>
  </si>
  <si>
    <t>UBND Xã Hương Mỹ</t>
  </si>
  <si>
    <t>UBND Xã Ngô Mây</t>
  </si>
  <si>
    <t>UBND Xã Cát Tiến</t>
  </si>
  <si>
    <t>UBND Xã Đề Gi</t>
  </si>
  <si>
    <t>UBND Xã Hội Sơn</t>
  </si>
  <si>
    <t>UBND Xã Phù Mỹ</t>
  </si>
  <si>
    <t>UBND Xã An Lương</t>
  </si>
  <si>
    <t>UBND Xã Bình Dương</t>
  </si>
  <si>
    <t>UBND Xã Phù Mỹ Đông</t>
  </si>
  <si>
    <t>UBND Xã Phù Mỹ Tây</t>
  </si>
  <si>
    <t>UBND Xã Tân Dương</t>
  </si>
  <si>
    <t>UBND Xã Phú Hựu</t>
  </si>
  <si>
    <t>UBND Xã Tân Nhuận Đông</t>
  </si>
  <si>
    <t>UBND Xã Tân Phú Trung</t>
  </si>
  <si>
    <t>UBND Xã Thanh Hưng</t>
  </si>
  <si>
    <t>UBND Xã An Hữu</t>
  </si>
  <si>
    <t>UBND Xã Mỹ Lợi</t>
  </si>
  <si>
    <t>UBND Xã Mỹ Đức Tây</t>
  </si>
  <si>
    <t>UBND Xã Mỹ Thiện</t>
  </si>
  <si>
    <t>UBND Xã Hậu Mỹ</t>
  </si>
  <si>
    <t>UBND Xã Hội Cư</t>
  </si>
  <si>
    <t>UBND Xã Cái Bè</t>
  </si>
  <si>
    <t>UBND Xã Mỹ Thành</t>
  </si>
  <si>
    <t>UBND Xã Long Tiên</t>
  </si>
  <si>
    <t>UBND Xã Ngũ Hiệp</t>
  </si>
  <si>
    <t>UBND Xã Tân Phước 1</t>
  </si>
  <si>
    <t>UBND Xã Tân Phước 2</t>
  </si>
  <si>
    <t>UBND Xã Tân Phước 3</t>
  </si>
  <si>
    <t>UBND Xã Hưng Thạnh</t>
  </si>
  <si>
    <t>UBND Xã Tân Hương</t>
  </si>
  <si>
    <t>UBND Xã Long Định</t>
  </si>
  <si>
    <t>UBND Xã Bình Trưng</t>
  </si>
  <si>
    <t>UBND Xã Vĩnh Kim</t>
  </si>
  <si>
    <t>UBND Xã Kim Sơn</t>
  </si>
  <si>
    <t>UBND Xã Mỹ Tịnh An</t>
  </si>
  <si>
    <t>UBND Xã Lương Hòa Lạc</t>
  </si>
  <si>
    <t>UBND Xã Tân Thuận Bình</t>
  </si>
  <si>
    <t>UBND Xã Chợ Gạo</t>
  </si>
  <si>
    <t>UBND Xã An Thạnh Thủy</t>
  </si>
  <si>
    <t>UBND Xã Bình Ninh</t>
  </si>
  <si>
    <t>UBND Xã Đại Điền</t>
  </si>
  <si>
    <t>UBND Xã Quới Điền</t>
  </si>
  <si>
    <t>UBND Xã An Qui</t>
  </si>
  <si>
    <t>UBND Xã Thạnh Hải</t>
  </si>
  <si>
    <t>UBND Xã Thạnh Phong</t>
  </si>
  <si>
    <t>UBND Xã Tân Thủy</t>
  </si>
  <si>
    <t>UBND Xã Bảo Thạnh</t>
  </si>
  <si>
    <t>UBND Xã Ba Tri</t>
  </si>
  <si>
    <t>UBND Xã Tân Xuân</t>
  </si>
  <si>
    <t>UBND Xã Mỹ Chánh Hòa</t>
  </si>
  <si>
    <t>UBND Xã An Ngãi Trung</t>
  </si>
  <si>
    <t>UBND Xã An Hiệp</t>
  </si>
  <si>
    <t>UBND Xã Hưng Nhượng</t>
  </si>
  <si>
    <t>UBND Xã Giồng Trôm</t>
  </si>
  <si>
    <t>UBND Xã Tân Hào</t>
  </si>
  <si>
    <t>UBND Xã Lương Phú</t>
  </si>
  <si>
    <t>UBND Xã Châu Hòa</t>
  </si>
  <si>
    <t>UBND Xã Lương Hòa</t>
  </si>
  <si>
    <t>UBND Xã Thới Thuận</t>
  </si>
  <si>
    <t>UBND Xã Thạnh Phước</t>
  </si>
  <si>
    <t>UBND Xã Bình Đại</t>
  </si>
  <si>
    <t>UBND Xã Thạnh Trị</t>
  </si>
  <si>
    <t>UBND Xã Lộc Thuận</t>
  </si>
  <si>
    <t>UBND Xã Châu Hưng</t>
  </si>
  <si>
    <t>UBND Phường Thanh Đức</t>
  </si>
  <si>
    <t>UBND Phường Long Châu</t>
  </si>
  <si>
    <t>UBND Phường Phước Hậu</t>
  </si>
  <si>
    <t>UBND Phường Tân Hạnh</t>
  </si>
  <si>
    <t>UBND Phường Tân Ngãi</t>
  </si>
  <si>
    <t>UBND Phường Cái Vồn</t>
  </si>
  <si>
    <t>UBND Xã Phù Mỹ Nam</t>
  </si>
  <si>
    <t>UBND Xã Phù Mỹ Bắc</t>
  </si>
  <si>
    <t>UBND Xã Tuy Phước</t>
  </si>
  <si>
    <t>UBND Xã Tuy Phước Đông</t>
  </si>
  <si>
    <t>UBND Xã Tuy Phước Tây</t>
  </si>
  <si>
    <t>UBND Xã Tuy Phước Bắc</t>
  </si>
  <si>
    <t>UBND Xã Tây Sơn</t>
  </si>
  <si>
    <t>UBND Xã Bình Khê</t>
  </si>
  <si>
    <t>UBND Xã Đức Cơ</t>
  </si>
  <si>
    <t>UBND Xã Bình Hiệp</t>
  </si>
  <si>
    <t>UBND Xã Hoài Ân</t>
  </si>
  <si>
    <t>UBND Xã Ân Tường</t>
  </si>
  <si>
    <t>UBND Xã Vạn Đức</t>
  </si>
  <si>
    <t>UBND Xã Ân Hảo</t>
  </si>
  <si>
    <t>UBND Xã Vân Canh</t>
  </si>
  <si>
    <t>UBND Xã Canh Vinh</t>
  </si>
  <si>
    <t>UBND Xã Canh Liên</t>
  </si>
  <si>
    <t>UBND Xã Vĩnh Thịnh</t>
  </si>
  <si>
    <t>UBND Xã Vĩnh Quang</t>
  </si>
  <si>
    <t>UBND Xã Vĩnh Sơn</t>
  </si>
  <si>
    <t>UBND Xã An Lão</t>
  </si>
  <si>
    <t>UBND Xã An Vinh</t>
  </si>
  <si>
    <t>UBND Xã An Toàn</t>
  </si>
  <si>
    <t>UBND Xã Biển Hồ</t>
  </si>
  <si>
    <t>UBND Xã Gào</t>
  </si>
  <si>
    <t>UBND Xã Ia Ly</t>
  </si>
  <si>
    <t>UBND Xã Chư Păh</t>
  </si>
  <si>
    <t>UBND Xã Ia Khươl</t>
  </si>
  <si>
    <t>UBND Xã Ia Phí</t>
  </si>
  <si>
    <t>UBND Xã Chư Prông</t>
  </si>
  <si>
    <t>UBND Xã Bàu Cạn</t>
  </si>
  <si>
    <t>UBND Xã Ia Boòng</t>
  </si>
  <si>
    <t>UBND Xã Ia Lâu</t>
  </si>
  <si>
    <t>UBND Xã Ia Pia</t>
  </si>
  <si>
    <t>UBND Xã Ia Tôr</t>
  </si>
  <si>
    <t>UBND Xã Chư Sê</t>
  </si>
  <si>
    <t>UBND Xã Bờ Ngoong</t>
  </si>
  <si>
    <t>UBND Xã Ia Ko</t>
  </si>
  <si>
    <t>UBND Xã Al Bá</t>
  </si>
  <si>
    <t>UBND Xã Chư Pưh</t>
  </si>
  <si>
    <t>UBND Xã Ia Le</t>
  </si>
  <si>
    <t>UBND Xã Ia Hrú</t>
  </si>
  <si>
    <t>UBND Xã Cửu An</t>
  </si>
  <si>
    <t>UBND Xã Đồng Sơn</t>
  </si>
  <si>
    <t>UBND Xã Phú Thành</t>
  </si>
  <si>
    <t>UBND Xã Long Bình</t>
  </si>
  <si>
    <t>UBND Xã Vĩnh Hựu</t>
  </si>
  <si>
    <t>UBND Xã Gò Công Đông</t>
  </si>
  <si>
    <t>UBND Xã Tân Điền</t>
  </si>
  <si>
    <t>UBND Xã Gia Thuận</t>
  </si>
  <si>
    <t>UBND Xã Tân Thới</t>
  </si>
  <si>
    <t>UBND Xã Tân Phú Đông</t>
  </si>
  <si>
    <t>UBND Phường Mỹ Tho</t>
  </si>
  <si>
    <t>UBND Phường Đạo Thạnh</t>
  </si>
  <si>
    <t>UBND Phường Mỹ Phong</t>
  </si>
  <si>
    <t>UBND Phường Trung An</t>
  </si>
  <si>
    <t>UBND Phường Gò Công</t>
  </si>
  <si>
    <t>UBND Phường Long Thuận</t>
  </si>
  <si>
    <t>UBND Phường Bình Xuân</t>
  </si>
  <si>
    <t>UBND Phường Sơn Qui</t>
  </si>
  <si>
    <t>UBND Phường Hồng Ngự</t>
  </si>
  <si>
    <t>UBND Phường Thường Lạc</t>
  </si>
  <si>
    <t>UBND Phường Cao Lãnh</t>
  </si>
  <si>
    <t>UBND Phường Mỹ Ngãi</t>
  </si>
  <si>
    <t>UBND Phường Mỹ Trà</t>
  </si>
  <si>
    <t>UBND Phường Sa Đéc</t>
  </si>
  <si>
    <t>UBND Phường Mỹ Phước Tây</t>
  </si>
  <si>
    <t>UBND Phường Thanh Hòa</t>
  </si>
  <si>
    <t>UBND Phường Cai Lậy</t>
  </si>
  <si>
    <t>UBND Phường Nhị Quý</t>
  </si>
  <si>
    <t>UBND Xã Khao Mang</t>
  </si>
  <si>
    <t>UBND Xã Mù Cang Chải</t>
  </si>
  <si>
    <t>UBND Xã Púng Luông</t>
  </si>
  <si>
    <t>UBND Xã Tú Lệ</t>
  </si>
  <si>
    <t>UBND Xã Trạm Tấu</t>
  </si>
  <si>
    <t>UBND Xã Hạnh Phúc</t>
  </si>
  <si>
    <t>UBND Xã Phình Hồ</t>
  </si>
  <si>
    <t>UBND Xã Liên Sơn</t>
  </si>
  <si>
    <t>UBND Xã Gia Hội</t>
  </si>
  <si>
    <t>UBND Xã Sơn Lương</t>
  </si>
  <si>
    <t>UBND Xã Văn Chấn</t>
  </si>
  <si>
    <t>UBND Xã Thượng Bằng La</t>
  </si>
  <si>
    <t>UBND Xã Chấn Thịnh</t>
  </si>
  <si>
    <t>UBND Xã Nghĩa Tâm</t>
  </si>
  <si>
    <t>UBND Xã Phong Dụ Hạ</t>
  </si>
  <si>
    <t>UBND Xã Châu Quế</t>
  </si>
  <si>
    <t>UBND Xã Lâm Giang</t>
  </si>
  <si>
    <t>UBND Xã Đông Cuông</t>
  </si>
  <si>
    <t>UBND Xã Tân Hợp</t>
  </si>
  <si>
    <t>UBND Xã Mậu A</t>
  </si>
  <si>
    <t>UBND Xã Xuân ái</t>
  </si>
  <si>
    <t>UBND Xã Mỏ Vàng</t>
  </si>
  <si>
    <t>UBND Xã Lâm Thượng</t>
  </si>
  <si>
    <t>UBND Xã Lục Yên</t>
  </si>
  <si>
    <t>UBND Xã Tân Lĩnh</t>
  </si>
  <si>
    <t>UBND Xã Khánh Hòa</t>
  </si>
  <si>
    <t>UBND Xã Phúc Lợi</t>
  </si>
  <si>
    <t>UBND Xã Mường Lai</t>
  </si>
  <si>
    <t>UBND Xã Cảm Nhân</t>
  </si>
  <si>
    <t>UBND Xã Thác Bà</t>
  </si>
  <si>
    <t>UBND Xã Bảo ái</t>
  </si>
  <si>
    <t>UBND Xã Trấn Yên</t>
  </si>
  <si>
    <t>UBND Xã Hưng Khánh</t>
  </si>
  <si>
    <t>UBND Xã Lương Thịnh</t>
  </si>
  <si>
    <t>UBND Xã Việt Hồng</t>
  </si>
  <si>
    <t>UBND Xã Quy Mông</t>
  </si>
  <si>
    <t>UBND Xã Cốc San</t>
  </si>
  <si>
    <t>UBND Xã Hợp Thành</t>
  </si>
  <si>
    <t>UBND Xã Phong Hải</t>
  </si>
  <si>
    <t>UBND Xã Xuân Quang</t>
  </si>
  <si>
    <t>UBND Xã Bảo Thắng</t>
  </si>
  <si>
    <t>UBND Xã Tằng Loỏng</t>
  </si>
  <si>
    <t>UBND Xã Gia Phú</t>
  </si>
  <si>
    <t>UBND Xã Mường Hum</t>
  </si>
  <si>
    <t>UBND Xã Dền Sáng</t>
  </si>
  <si>
    <t>UBND Xã Y Tý</t>
  </si>
  <si>
    <t>UBND Xã A Mú Sung</t>
  </si>
  <si>
    <t>UBND Xã Trịnh Tường</t>
  </si>
  <si>
    <t>UBND Xã Bản Xèo</t>
  </si>
  <si>
    <t>UBND Phường Đông Thành</t>
  </si>
  <si>
    <t>UBND Phường Trà Vinh</t>
  </si>
  <si>
    <t>UBND Phường Long Đức</t>
  </si>
  <si>
    <t>UBND Phường Nguyệt Hóa</t>
  </si>
  <si>
    <t>UBND Phường Hòa Thuận</t>
  </si>
  <si>
    <t>UBND Phường Duyên Hải</t>
  </si>
  <si>
    <t>UBND Phường Trường Long Hòa</t>
  </si>
  <si>
    <t>UBND Phường An Hội</t>
  </si>
  <si>
    <t>UBND Phường Phú Khương</t>
  </si>
  <si>
    <t>UBND Phường Bến Tre</t>
  </si>
  <si>
    <t>UBND Phường Sơn Đông</t>
  </si>
  <si>
    <t>UBND Phường Phú Tân</t>
  </si>
  <si>
    <t>UBND Xã Long Hòa</t>
  </si>
  <si>
    <t>UBND Xã Long Vĩnh</t>
  </si>
  <si>
    <t>UBND Xã Hòa Minh</t>
  </si>
  <si>
    <t>UBND Phường Hoàn Kiếm</t>
  </si>
  <si>
    <t>UBND Phường Cửa Nam</t>
  </si>
  <si>
    <t>UBND Phường Ba Đình</t>
  </si>
  <si>
    <t>UBND Phường Ngọc Hà</t>
  </si>
  <si>
    <t>UBND Phường Giảng Võ</t>
  </si>
  <si>
    <t>UBND Phường Hai Bà Trưng</t>
  </si>
  <si>
    <t>UBND Phường Vĩnh Tuy</t>
  </si>
  <si>
    <t>UBND Phường Bạch Mai</t>
  </si>
  <si>
    <t>UBND Phường Đống Đa</t>
  </si>
  <si>
    <t>UBND Phường Kim Liên</t>
  </si>
  <si>
    <t>UBND Phường Văn Miếu - Quốc Tử Giám</t>
  </si>
  <si>
    <t>UBND Phường Láng</t>
  </si>
  <si>
    <t>UBND Phường Ô Chợ Dừa</t>
  </si>
  <si>
    <t>UBND Phường Hồng Hà</t>
  </si>
  <si>
    <t>UBND Phường Lĩnh Nam</t>
  </si>
  <si>
    <t>UBND Phường Vĩnh Hưng</t>
  </si>
  <si>
    <t>UBND Phường Tương Mai</t>
  </si>
  <si>
    <t>UBND Phường Định Công</t>
  </si>
  <si>
    <t>UBND Phường Hoàng Liệt</t>
  </si>
  <si>
    <t>UBND Phường Yên Sở</t>
  </si>
  <si>
    <t>UBND Phường Thanh Xuân</t>
  </si>
  <si>
    <t>UBND Phường Khương Đình</t>
  </si>
  <si>
    <t>UBND Phường Phương Liệt</t>
  </si>
  <si>
    <t>UBND Phường Cầu Giấy</t>
  </si>
  <si>
    <t>UBND Phường Nghĩa Đô</t>
  </si>
  <si>
    <t>UBND Phường Yên Hòa</t>
  </si>
  <si>
    <t>UBND Phường Tây Hồ</t>
  </si>
  <si>
    <t>UBND Xã Biện Thượng</t>
  </si>
  <si>
    <t>UBND Xã Đak Pơ</t>
  </si>
  <si>
    <t>UBND Xã Ya Hội</t>
  </si>
  <si>
    <t>UBND Xã Kbang</t>
  </si>
  <si>
    <t>UBND Xã Kông Bơ La</t>
  </si>
  <si>
    <t>UBND Xã Tơ Tung</t>
  </si>
  <si>
    <t>UBND Xã Son Lang</t>
  </si>
  <si>
    <t>UBND Xã Đak Rong</t>
  </si>
  <si>
    <t>UBND Xã Kông Chro</t>
  </si>
  <si>
    <t>UBND Xã Ya Ma</t>
  </si>
  <si>
    <t>UBND Xã Chur Krey</t>
  </si>
  <si>
    <t>UBND Xã SRó</t>
  </si>
  <si>
    <t>UBND Xã Đăk Song</t>
  </si>
  <si>
    <t>UBND Xã Chơ Long</t>
  </si>
  <si>
    <t>UBND Xã Ia Rbol</t>
  </si>
  <si>
    <t>UBND Xã Ia Sao</t>
  </si>
  <si>
    <t>UBND Xã Phú Thiện</t>
  </si>
  <si>
    <t>UBND Xã Chư A Thai</t>
  </si>
  <si>
    <t>UBND Xã Ia Hiao</t>
  </si>
  <si>
    <t>UBND Xã Pờ Tó</t>
  </si>
  <si>
    <t>UBND Xã Ia Pa</t>
  </si>
  <si>
    <t>UBND Xã Ia Tul</t>
  </si>
  <si>
    <t>UBND Xã Ia Dreh</t>
  </si>
  <si>
    <t>UBND Xã Ia Rsai</t>
  </si>
  <si>
    <t>UBND Xã Uar</t>
  </si>
  <si>
    <t>UBND Xã Đak Đoa</t>
  </si>
  <si>
    <t>UBND Xã Kon Gang</t>
  </si>
  <si>
    <t>UBND Xã Ia Băng</t>
  </si>
  <si>
    <t>UBND Xã KDang</t>
  </si>
  <si>
    <t>UBND Xã Đak Sơmei</t>
  </si>
  <si>
    <t>UBND Xã Mang Yang</t>
  </si>
  <si>
    <t>UBND Xã Lơ Pang</t>
  </si>
  <si>
    <t>UBND Xã Kon Chiêng</t>
  </si>
  <si>
    <t>UBND Xã Hra</t>
  </si>
  <si>
    <t>UBND Xã Ayun</t>
  </si>
  <si>
    <t>UBND Xã Ia Grai</t>
  </si>
  <si>
    <t>UBND Xã Ia Krái</t>
  </si>
  <si>
    <t>UBND Xã Ia Hrung</t>
  </si>
  <si>
    <t>UBND Xã Ia Dơk</t>
  </si>
  <si>
    <t>UBND Xã Ia Krêl</t>
  </si>
  <si>
    <t>UBND Phường Quy Nhơn</t>
  </si>
  <si>
    <t>UBND Phường Quy Nhơn Đông</t>
  </si>
  <si>
    <t>UBND Phường Quy Nhơn Tây</t>
  </si>
  <si>
    <t>UBND Phường Quy Nhơn Nam</t>
  </si>
  <si>
    <t>UBND Phường Quy Nhơn Bắc</t>
  </si>
  <si>
    <t>UBND Phường Bình Định</t>
  </si>
  <si>
    <t>UBND Phường An Nhơn</t>
  </si>
  <si>
    <t>UBND Phường An Nhơn Đông</t>
  </si>
  <si>
    <t>UBND Phường An Nhơn Nam</t>
  </si>
  <si>
    <t>UBND Phường An Nhơn Bắc</t>
  </si>
  <si>
    <t>UBND Phường Bồng Sơn</t>
  </si>
  <si>
    <t>UBND Phường Hoài Nhơn</t>
  </si>
  <si>
    <t>UBND Phường Tam Quan</t>
  </si>
  <si>
    <t>UBND Phường Hoài Nhơn Đông</t>
  </si>
  <si>
    <t>UBND Phường Hoài Nhơn Tây</t>
  </si>
  <si>
    <t>UBND Phường Hoài Nhơn Nam</t>
  </si>
  <si>
    <t>UBND Phường Hoài Nhơn Bắc</t>
  </si>
  <si>
    <t>UBND Phường Pleiku</t>
  </si>
  <si>
    <t>UBND Phường Hội Phú</t>
  </si>
  <si>
    <t>UBND Phường Thống Nhất</t>
  </si>
  <si>
    <t>UBND Phường Diên Hồng</t>
  </si>
  <si>
    <t>UBND Phường An Phú</t>
  </si>
  <si>
    <t>UBND Phường Ayun Pa</t>
  </si>
  <si>
    <t>UBND Xã Thạch Lạc</t>
  </si>
  <si>
    <t>UBND Xã Đồng Tiến</t>
  </si>
  <si>
    <t>UBND Xã Thạch Khê</t>
  </si>
  <si>
    <t>UBND Xã Cẩm Bình</t>
  </si>
  <si>
    <t>UBND Xã Kỳ Xuân</t>
  </si>
  <si>
    <t>UBND Xã Kỳ Anh</t>
  </si>
  <si>
    <t>UBND Xã Kỳ Hoa</t>
  </si>
  <si>
    <t>UBND Xã Kỳ Văn</t>
  </si>
  <si>
    <t>UBND Xã Kỳ Khang</t>
  </si>
  <si>
    <t>UBND Xã Kỳ Lạc</t>
  </si>
  <si>
    <t>UBND Xã Kỳ Thượng</t>
  </si>
  <si>
    <t>UBND Xã Cẩm Xuyên</t>
  </si>
  <si>
    <t>UBND Xã Thiên Cầm</t>
  </si>
  <si>
    <t>UBND Xã Cẩm Duệ</t>
  </si>
  <si>
    <t>UBND Xã Cẩm Hưng</t>
  </si>
  <si>
    <t>UBND Xã Cẩm Lạc</t>
  </si>
  <si>
    <t>UBND Xã Cẩm Trung</t>
  </si>
  <si>
    <t>Bộ Nông nghiệp và Môi trường</t>
  </si>
  <si>
    <t>Bộ Văn hóa, Thể thao và Du lịch</t>
  </si>
  <si>
    <t>Bộ Khoa học và Công nghệ</t>
  </si>
  <si>
    <t>Bộ Dân tộc và Tôn giáo</t>
  </si>
  <si>
    <t>Ngân hàng Nhà nước Việt Nam</t>
  </si>
  <si>
    <t>Thanh tra Chính phủ</t>
  </si>
  <si>
    <t>Sở Văn hóa, Thể thao và Du lịch</t>
  </si>
  <si>
    <t>Sở Giáo dục và Đào tạo</t>
  </si>
  <si>
    <t>Thanh tra tỉnh</t>
  </si>
  <si>
    <t>Văn phòng ủy ban nhân dân.</t>
  </si>
  <si>
    <t>Sở Ngoại vụ</t>
  </si>
  <si>
    <t>Sở Dân tộc và Tôn giáo</t>
  </si>
  <si>
    <t>Sở Du lịch</t>
  </si>
  <si>
    <t>Sở Quy hoạch - Kiến trúc Hà Nội</t>
  </si>
  <si>
    <t>Sở Nội vụ</t>
  </si>
  <si>
    <t>Sở LĐTB&amp;XH</t>
  </si>
  <si>
    <t>Sở Tài chính</t>
  </si>
  <si>
    <t>Sở Kế hoạch &amp; Đầu tư</t>
  </si>
  <si>
    <t>Sở NN&amp;PTNT</t>
  </si>
  <si>
    <t>Sở TN&amp;MT</t>
  </si>
  <si>
    <t>Sở Xây dựng</t>
  </si>
  <si>
    <t>UBND Xã Bát Xát</t>
  </si>
  <si>
    <t>UBND Xã Võ Lao</t>
  </si>
  <si>
    <t>UBND Xã Khánh Yên</t>
  </si>
  <si>
    <t>UBND Xã Văn Bàn</t>
  </si>
  <si>
    <t>UBND Xã Dương Quỳ</t>
  </si>
  <si>
    <t>UBND Xã Chiềng Ken</t>
  </si>
  <si>
    <t>UBND Xã Minh Lương</t>
  </si>
  <si>
    <t>UBND Xã Nậm Chày</t>
  </si>
  <si>
    <t>UBND Xã Bảo Yên</t>
  </si>
  <si>
    <t>UBND Xã Nghĩa Đô</t>
  </si>
  <si>
    <t>UBND Xã Thượng Hà</t>
  </si>
  <si>
    <t>UBND Xã Phúc Khánh</t>
  </si>
  <si>
    <t>UBND Xã Bảo Hà</t>
  </si>
  <si>
    <t>UBND Xã Mường Bo</t>
  </si>
  <si>
    <t>UBND Xã Bản Hồ</t>
  </si>
  <si>
    <t>UBND Xã Tả Van</t>
  </si>
  <si>
    <t>UBND Xã Tả Phìn</t>
  </si>
  <si>
    <t>UBND Xã Cốc Lầu</t>
  </si>
  <si>
    <t>UBND Xã Bảo Nhai</t>
  </si>
  <si>
    <t>UBND Xã Bản Liền</t>
  </si>
  <si>
    <t>UBND Xã Bắc Hà</t>
  </si>
  <si>
    <t>UBND Xã Tả Củ Tỷ</t>
  </si>
  <si>
    <t>UBND Xã Lùng Phình</t>
  </si>
  <si>
    <t>UBND Xã Pha Long</t>
  </si>
  <si>
    <t>UBND Xã Mường Khương</t>
  </si>
  <si>
    <t>UBND Xã Bản Lầu</t>
  </si>
  <si>
    <t>UBND Xã Cao Sơn</t>
  </si>
  <si>
    <t>UBND Xã Si Ma Cai</t>
  </si>
  <si>
    <t>UBND Xã Sín Chéng</t>
  </si>
  <si>
    <t>UBND Phường Trung Tâm</t>
  </si>
  <si>
    <t>UBND Phường Cầu Thia</t>
  </si>
  <si>
    <t>UBND Phường Văn Phú</t>
  </si>
  <si>
    <t>UBND Phường Yên Bái</t>
  </si>
  <si>
    <t>UBND Phường Nam Cường</t>
  </si>
  <si>
    <t>UBND Phường Âu Lâu</t>
  </si>
  <si>
    <t>UBND Phường Cam Đường</t>
  </si>
  <si>
    <t>UBND Phường Lào Cai</t>
  </si>
  <si>
    <t>UBND Phường Sa Pa</t>
  </si>
  <si>
    <t>UBND Xã Nậm Xé</t>
  </si>
  <si>
    <t>UBND Xã Ngũ Chỉ Sơn</t>
  </si>
  <si>
    <t>UBND Xã Chế Tạo</t>
  </si>
  <si>
    <t>UBND Xã Lao Chải</t>
  </si>
  <si>
    <t>UBND Xã Nậm Có</t>
  </si>
  <si>
    <t>UBND Xã Tà Xi Láng</t>
  </si>
  <si>
    <t>UBND Xã Cát Thịnh</t>
  </si>
  <si>
    <t>UBND Xã Phong Dụ Thượng</t>
  </si>
  <si>
    <t>UBND Xã Hy Cương</t>
  </si>
  <si>
    <t>UBND Xã Xuân Lũng</t>
  </si>
  <si>
    <t>UBND Xã Phùng Nguyên</t>
  </si>
  <si>
    <t>UBND Xã Bản Nguyên</t>
  </si>
  <si>
    <t>UBND Xã Phù Ninh</t>
  </si>
  <si>
    <t>UBND Xã Dân Chủ</t>
  </si>
  <si>
    <t>UBND Xã Trạm Thản</t>
  </si>
  <si>
    <t>UBND Xã Thanh Ba</t>
  </si>
  <si>
    <t>UBND Xã Hoàng Cương</t>
  </si>
  <si>
    <t>UBND Xã Chí Tiên</t>
  </si>
  <si>
    <t>UBND Xã Liên Minh</t>
  </si>
  <si>
    <t>UBND Xã Đoan Hùng</t>
  </si>
  <si>
    <t>UBND Xã Tây Cốc</t>
  </si>
  <si>
    <t>UBND Xã Chân Mộng</t>
  </si>
  <si>
    <t>UBND Xã Chí Đám</t>
  </si>
  <si>
    <t>UBND Xã Bằng Luân</t>
  </si>
  <si>
    <t>UBND Xã Hạ Hòa</t>
  </si>
  <si>
    <t>UBND Xã Đan Thượng</t>
  </si>
  <si>
    <t>UBND Xã Yên Kỳ</t>
  </si>
  <si>
    <t>UBND Xã Vĩnh Chân</t>
  </si>
  <si>
    <t>UBND Xã Hiền Lương</t>
  </si>
  <si>
    <t>UBND Xã Cẩm Khê</t>
  </si>
  <si>
    <t>UBND Xã Phú Khê</t>
  </si>
  <si>
    <t>UBND Xã Hùng Việt</t>
  </si>
  <si>
    <t>UBND Xã Đồng Lương</t>
  </si>
  <si>
    <t>UBND Xã Tiên Lương</t>
  </si>
  <si>
    <t>UBND Xã Vân Bán</t>
  </si>
  <si>
    <t>UBND Xã Thọ Văn</t>
  </si>
  <si>
    <t>UBND Xã Vạn Xuân</t>
  </si>
  <si>
    <t>UBND Phường Phú Thượng</t>
  </si>
  <si>
    <t>UBND Phường Tây Tựu</t>
  </si>
  <si>
    <t>UBND Phường Phú Diễn</t>
  </si>
  <si>
    <t>UBND Phường Xuân Đỉnh</t>
  </si>
  <si>
    <t>UBND Phường Đông Ngạc</t>
  </si>
  <si>
    <t>UBND Phường Thượng Cát</t>
  </si>
  <si>
    <t>UBND Phường Từ Liêm</t>
  </si>
  <si>
    <t>UBND Phường Xuân Phương</t>
  </si>
  <si>
    <t>UBND Phường Tây Mỗ</t>
  </si>
  <si>
    <t>UBND Phường Đại Mỗ</t>
  </si>
  <si>
    <t>UBND Phường Long Biên</t>
  </si>
  <si>
    <t>UBND Phường Bồ Đề</t>
  </si>
  <si>
    <t>UBND Phường Việt Hưng</t>
  </si>
  <si>
    <t>UBND Phường Phúc Lợi</t>
  </si>
  <si>
    <t>UBND Phường Hà Đông</t>
  </si>
  <si>
    <t>UBND Phường Dương Nội</t>
  </si>
  <si>
    <t>UBND Phường Yên Nghĩa</t>
  </si>
  <si>
    <t>UBND Phường Phú Lương</t>
  </si>
  <si>
    <t>UBND Phường Kiến Hưng</t>
  </si>
  <si>
    <t>UBND Phường Thanh Liệt</t>
  </si>
  <si>
    <t>UBND Phường Chương Mỹ</t>
  </si>
  <si>
    <t>UBND Phường Sơn Tây</t>
  </si>
  <si>
    <t>UBND Phường Tùng Thiện</t>
  </si>
  <si>
    <t>UBND Xã Thanh Trì</t>
  </si>
  <si>
    <t>UBND Xã Đại Thanh</t>
  </si>
  <si>
    <t>UBND Xã Nam Phù</t>
  </si>
  <si>
    <t>UBND Xã Ngọc Hồi</t>
  </si>
  <si>
    <t>UBND Xã Thượng Phúc</t>
  </si>
  <si>
    <t>UBND Xã Thường Tín</t>
  </si>
  <si>
    <t>UBND Xã Chương Dương</t>
  </si>
  <si>
    <t>UBND Xã Hồng Vân</t>
  </si>
  <si>
    <t>UBND Xã Phượng Dực</t>
  </si>
  <si>
    <t>UBND Xã Chuyên Mỹ</t>
  </si>
  <si>
    <t>UBND Xã Đại Xuyên</t>
  </si>
  <si>
    <t>UBND Xã Thanh Oai</t>
  </si>
  <si>
    <t>UBND Xã Tam Hưng</t>
  </si>
  <si>
    <t>UBND Xã Dân Hòa</t>
  </si>
  <si>
    <t>UBND Xã Vân Đình</t>
  </si>
  <si>
    <t>UBND Xã ứng Thiên</t>
  </si>
  <si>
    <t>UBND Xã Thạch Hà</t>
  </si>
  <si>
    <t>UBND Xã Toàn Lưu</t>
  </si>
  <si>
    <t>UBND Xã Việt Xuyên</t>
  </si>
  <si>
    <t>UBND Xã Đông Kinh</t>
  </si>
  <si>
    <t>UBND Xã Thạch Xuân</t>
  </si>
  <si>
    <t>UBND Xã Lộc Hà</t>
  </si>
  <si>
    <t>UBND Xã Hồng Lộc</t>
  </si>
  <si>
    <t>UBND Xã Mai Phụ</t>
  </si>
  <si>
    <t>UBND Xã Can Lộc</t>
  </si>
  <si>
    <t>UBND Xã Tùng Lộc</t>
  </si>
  <si>
    <t>UBND Xã Gia Hanh</t>
  </si>
  <si>
    <t>UBND Xã Trường Lưu</t>
  </si>
  <si>
    <t>UBND Xã Đồng Lộc</t>
  </si>
  <si>
    <t>UBND Xã Tiên Điền</t>
  </si>
  <si>
    <t>UBND Xã Nghi Xuân</t>
  </si>
  <si>
    <t>UBND Xã Cổ Đạm</t>
  </si>
  <si>
    <t>UBND Xã Đan Hải</t>
  </si>
  <si>
    <t>UBND Xã Đức Thọ</t>
  </si>
  <si>
    <t>UBND Xã Đức Đồng</t>
  </si>
  <si>
    <t>UBND Xã Đức Quang</t>
  </si>
  <si>
    <t>UBND Xã Đức Thịnh</t>
  </si>
  <si>
    <t>UBND Xã Đức Minh</t>
  </si>
  <si>
    <t>UBND Xã Hương Sơn</t>
  </si>
  <si>
    <t>UBND Xã Tứ Mỹ</t>
  </si>
  <si>
    <t>UBND Xã Sơn Giang</t>
  </si>
  <si>
    <t>UBND Xã Sơn Tiến</t>
  </si>
  <si>
    <t>UBND Xã Sơn Hồng</t>
  </si>
  <si>
    <t>UBND Xã Kim Hoa</t>
  </si>
  <si>
    <t>UBND Xã Vũ Quang</t>
  </si>
  <si>
    <t>UBND Xã Mai Hoa</t>
  </si>
  <si>
    <t>UBND Xã Hương Khê</t>
  </si>
  <si>
    <t>UBND Xã Hương Phố</t>
  </si>
  <si>
    <t>Sở GTVT</t>
  </si>
  <si>
    <t>Sở TT&amp;TT</t>
  </si>
  <si>
    <t>Sở KH&amp;CN</t>
  </si>
  <si>
    <t>Sở Quy hoạch - Kiến trúc Tp Hồ Chí Minh</t>
  </si>
  <si>
    <t>UBND Xã Hiền Quan</t>
  </si>
  <si>
    <t>UBND Xã Thanh Thủy</t>
  </si>
  <si>
    <t>UBND Xã Đào Xá</t>
  </si>
  <si>
    <t>UBND Xã Tu Vũ</t>
  </si>
  <si>
    <t>UBND Xã Thanh Sơn</t>
  </si>
  <si>
    <t>UBND Xã Võ Miếu</t>
  </si>
  <si>
    <t>UBND Xã Văn Miếu</t>
  </si>
  <si>
    <t>UBND Xã Cự Đồng</t>
  </si>
  <si>
    <t>UBND Xã Hương Cần</t>
  </si>
  <si>
    <t>UBND Xã Yên Sơn</t>
  </si>
  <si>
    <t>UBND Xã Khả Cửu</t>
  </si>
  <si>
    <t>UBND Xã Minh Đài</t>
  </si>
  <si>
    <t>UBND Xã Lai Đồng</t>
  </si>
  <si>
    <t>UBND Xã Xuân Đài</t>
  </si>
  <si>
    <t>UBND Xã Long Cốc</t>
  </si>
  <si>
    <t>UBND Xã Yên Lập</t>
  </si>
  <si>
    <t>UBND Xã Thượng Long</t>
  </si>
  <si>
    <t>UBND Xã Xuân Viên</t>
  </si>
  <si>
    <t>UBND Xã Minh Hòa</t>
  </si>
  <si>
    <t>UBND Xã Tam Sơn</t>
  </si>
  <si>
    <t>UBND Xã Sông Lô</t>
  </si>
  <si>
    <t>UBND Xã Hải Lựu</t>
  </si>
  <si>
    <t>UBND Xã Lập Thạch</t>
  </si>
  <si>
    <t>UBND Xã Tiên Lữ</t>
  </si>
  <si>
    <t>UBND Xã Thái Hòa</t>
  </si>
  <si>
    <t>UBND Xã Liên Hòa</t>
  </si>
  <si>
    <t>UBND Xã Hợp Lý</t>
  </si>
  <si>
    <t>UBND Xã Sơn Đông</t>
  </si>
  <si>
    <t>UBND Xã Tam Đảo</t>
  </si>
  <si>
    <t>UBND Xã Đại Đình</t>
  </si>
  <si>
    <t>UBND Xã Đạo Trù</t>
  </si>
  <si>
    <t>UBND Xã Tam Dương</t>
  </si>
  <si>
    <t>UBND Xã Hội Thịnh</t>
  </si>
  <si>
    <t>UBND Xã Hoàng An</t>
  </si>
  <si>
    <t>UBND Xã Tam Dương Bắc</t>
  </si>
  <si>
    <t>UBND Xã Thổ Tang</t>
  </si>
  <si>
    <t>UBND Xã Vĩnh Hưng</t>
  </si>
  <si>
    <t>UBND Xã Vĩnh Phú</t>
  </si>
  <si>
    <t>UBND Xã Yên Lạc</t>
  </si>
  <si>
    <t>UBND Xã Hòa Xá</t>
  </si>
  <si>
    <t>UBND Xã ứng Hòa</t>
  </si>
  <si>
    <t>UBND Xã Hồng Sơn</t>
  </si>
  <si>
    <t>UBND Xã Phúc Sơn</t>
  </si>
  <si>
    <t>UBND Xã Xuân Mai</t>
  </si>
  <si>
    <t>UBND Xã Hương Đô</t>
  </si>
  <si>
    <t>UBND Xã Hà Linh</t>
  </si>
  <si>
    <t>UBND Xã Hương Bình</t>
  </si>
  <si>
    <t>UBND Xã Phúc Trạch</t>
  </si>
  <si>
    <t>UBND Xã Hương Xuân</t>
  </si>
  <si>
    <t>UBND Phường Thành Sen</t>
  </si>
  <si>
    <t>UBND Phường Trần Phú</t>
  </si>
  <si>
    <t>UBND Phường Hà Huy Tập</t>
  </si>
  <si>
    <t>UBND Phường Vũng áng</t>
  </si>
  <si>
    <t>UBND Phường Sông Trí</t>
  </si>
  <si>
    <t>UBND Phường Hoành Sơn</t>
  </si>
  <si>
    <t>UBND Phường Hải Ninh</t>
  </si>
  <si>
    <t>UBND Phường Bắc Hồng Lĩnh</t>
  </si>
  <si>
    <t>UBND Phường Nam Hồng Lĩnh</t>
  </si>
  <si>
    <t>UBND Xã Nam Cam Ranh</t>
  </si>
  <si>
    <t>UBND Xã Bắc Ninh Hòa</t>
  </si>
  <si>
    <t>UBND Xã Tân Định</t>
  </si>
  <si>
    <t>UBND Xã Nam Ninh Hòa</t>
  </si>
  <si>
    <t>UBND Xã Tây Ninh Hòa</t>
  </si>
  <si>
    <t>UBND Xã Hòa Trí</t>
  </si>
  <si>
    <t>UBND Xã Đại Lãnh</t>
  </si>
  <si>
    <t>UBND Xã Tu Bông</t>
  </si>
  <si>
    <t>UBND Xã Vạn Thắng</t>
  </si>
  <si>
    <t>UBND Xã Vạn Ninh</t>
  </si>
  <si>
    <t>UBND Xã Vạn Hưng</t>
  </si>
  <si>
    <t>UBND Xã Diên Khánh</t>
  </si>
  <si>
    <t>UBND Xã Diên Lạc</t>
  </si>
  <si>
    <t>UBND Xã Diên Điền</t>
  </si>
  <si>
    <t>UBND Xã Diên Lâm</t>
  </si>
  <si>
    <t>UBND Xã Diên Thọ</t>
  </si>
  <si>
    <t>UBND Xã Suối Hiệp</t>
  </si>
  <si>
    <t>UBND Xã Cam Lâm</t>
  </si>
  <si>
    <t>UBND Xã Suối Dầu</t>
  </si>
  <si>
    <t>UBND Xã Tề Lỗ</t>
  </si>
  <si>
    <t>UBND Xã Liên Châu</t>
  </si>
  <si>
    <t>UBND Xã Tam Hồng</t>
  </si>
  <si>
    <t>UBND Xã Nguyệt Đức</t>
  </si>
  <si>
    <t>UBND Xã Bình Nguyên</t>
  </si>
  <si>
    <t>UBND Xã Xuân Lãng</t>
  </si>
  <si>
    <t>UBND Xã Bình Xuyên</t>
  </si>
  <si>
    <t>UBND Xã Bình Tuyền</t>
  </si>
  <si>
    <t>UBND Xã Thịnh Minh</t>
  </si>
  <si>
    <t>UBND Xã Cao Phong</t>
  </si>
  <si>
    <t>UBND Xã Mường Thàng</t>
  </si>
  <si>
    <t>UBND Xã Thung Nai</t>
  </si>
  <si>
    <t>UBND Xã Đà Bắc</t>
  </si>
  <si>
    <t>UBND Xã Đức Nhàn</t>
  </si>
  <si>
    <t>UBND Xã Quy Đức</t>
  </si>
  <si>
    <t>UBND Xã Tân Pheo</t>
  </si>
  <si>
    <t>UBND Xã Tiền Phong</t>
  </si>
  <si>
    <t>UBND Xã Kim Bôi</t>
  </si>
  <si>
    <t>UBND Xã Mường Động</t>
  </si>
  <si>
    <t>UBND Xã Dũng Tiến</t>
  </si>
  <si>
    <t>UBND Xã Hợp Kim</t>
  </si>
  <si>
    <t>UBND Xã Nật Sơn</t>
  </si>
  <si>
    <t>UBND Xã Lạc Sơn</t>
  </si>
  <si>
    <t>UBND Xã Mường Vang</t>
  </si>
  <si>
    <t>UBND Xã Ngọc Sơn</t>
  </si>
  <si>
    <t>UBND Xã Nhân Nghĩa</t>
  </si>
  <si>
    <t>UBND Xã Quyết Thắng</t>
  </si>
  <si>
    <t>UBND Xã Thượng Cốc</t>
  </si>
  <si>
    <t>UBND Xã Lạc Thủy</t>
  </si>
  <si>
    <t>UBND Xã An Nghĩa</t>
  </si>
  <si>
    <t>UBND Xã Lương Sơn</t>
  </si>
  <si>
    <t>UBND Xã Cao Dương</t>
  </si>
  <si>
    <t>UBND Xã Hòa Phú</t>
  </si>
  <si>
    <t>UBND Xã Quảng Bị</t>
  </si>
  <si>
    <t>UBND Xã Minh Châu</t>
  </si>
  <si>
    <t>UBND Xã Quảng Oai</t>
  </si>
  <si>
    <t>UBND Xã Vật Lại</t>
  </si>
  <si>
    <t>UBND Xã Cổ Đô</t>
  </si>
  <si>
    <t>UBND Xã Bất Bạt</t>
  </si>
  <si>
    <t>UBND Xã Suối Hai</t>
  </si>
  <si>
    <t>UBND Xã Yên Bài</t>
  </si>
  <si>
    <t>UBND Xã Đoài Phương</t>
  </si>
  <si>
    <t>UBND Xã Phúc Thọ</t>
  </si>
  <si>
    <t>UBND Xã Hát Môn</t>
  </si>
  <si>
    <t>UBND Xã Thạch Thất</t>
  </si>
  <si>
    <t>UBND Xã Hạ Bằng</t>
  </si>
  <si>
    <t>UBND Xã Tây Phương</t>
  </si>
  <si>
    <t>UBND Xã Cam Hiệp</t>
  </si>
  <si>
    <t>UBND Xã Cam An</t>
  </si>
  <si>
    <t>UBND Xã Bắc Khánh Vĩnh</t>
  </si>
  <si>
    <t>UBND Xã Trung Khánh Vĩnh</t>
  </si>
  <si>
    <t>UBND Xã Tây Khánh Vĩnh</t>
  </si>
  <si>
    <t>UBND Xã Nam Khánh Vĩnh</t>
  </si>
  <si>
    <t>UBND Xã Khánh Vĩnh</t>
  </si>
  <si>
    <t>UBND Xã Khánh Sơn</t>
  </si>
  <si>
    <t>UBND Xã Tây Khánh Sơn</t>
  </si>
  <si>
    <t>UBND Xã Đông Khánh Sơn</t>
  </si>
  <si>
    <t>UBND Xã Ninh Phước</t>
  </si>
  <si>
    <t>UBND Xã Phước Hữu</t>
  </si>
  <si>
    <t>UBND Xã Phước Hậu</t>
  </si>
  <si>
    <t>UBND Xã Thuận Nam</t>
  </si>
  <si>
    <t>UBND Xã Cà Ná</t>
  </si>
  <si>
    <t>UBND Xã Phước Hà</t>
  </si>
  <si>
    <t>UBND Xã Phước Dinh</t>
  </si>
  <si>
    <t>UBND Xã Ninh Hải</t>
  </si>
  <si>
    <t>UBND Xã Xuân Hải</t>
  </si>
  <si>
    <t>UBND Xã Thuận Bắc</t>
  </si>
  <si>
    <t>UBND Xã Công Hải</t>
  </si>
  <si>
    <t>UBND Xã Ninh Sơn</t>
  </si>
  <si>
    <t>UBND Xã Lâm Sơn</t>
  </si>
  <si>
    <t>UBND Xã Anh Dũng</t>
  </si>
  <si>
    <t>UBND Xã Mỹ Sơn</t>
  </si>
  <si>
    <t>UBND Xã Bác ái Đông</t>
  </si>
  <si>
    <t>UBND Xã Bác ái</t>
  </si>
  <si>
    <t>UBND Xã Bác ái Tây</t>
  </si>
  <si>
    <t>UBND Phường Nha Trang</t>
  </si>
  <si>
    <t>UBND Phường Bắc Nha Trang</t>
  </si>
  <si>
    <t>UBND Phường Tây Nha Trang</t>
  </si>
  <si>
    <t>UBND Phường Nam Nha Trang</t>
  </si>
  <si>
    <t>UBND Phường Bắc Cam Ranh</t>
  </si>
  <si>
    <t>UBND Phường Cam Ranh</t>
  </si>
  <si>
    <t>UBND Phường Cam Linh</t>
  </si>
  <si>
    <t>UBND Phường Ba Ngòi</t>
  </si>
  <si>
    <t>UBND Phường Ninh Hòa</t>
  </si>
  <si>
    <t>UBND Phường Đông Ninh Hòa</t>
  </si>
  <si>
    <t>UBND Phường Hòa Thắng</t>
  </si>
  <si>
    <t>UBND Phường Phan Rang</t>
  </si>
  <si>
    <t>UBND Phường Đông Hải</t>
  </si>
  <si>
    <t>UBND Phường Ninh Chử</t>
  </si>
  <si>
    <t>UBND Phường Bảo An</t>
  </si>
  <si>
    <t>UBND Phường Đô Vinh</t>
  </si>
  <si>
    <t>UBND Đặc khu Trường Sa</t>
  </si>
  <si>
    <t>UBND Xã Anh Sơn</t>
  </si>
  <si>
    <t>UBND Xã Yên Xuân</t>
  </si>
  <si>
    <t>UBND Xã Nhân Hòa</t>
  </si>
  <si>
    <t>UBND Xã Anh Sơn Đông</t>
  </si>
  <si>
    <t>UBND Xã Thành Bình Thọ</t>
  </si>
  <si>
    <t>UBND Xã Con Cuông</t>
  </si>
  <si>
    <t>UBND Xã Môn Sơn</t>
  </si>
  <si>
    <t>UBND Xã Mậu Thạch</t>
  </si>
  <si>
    <t>UBND Xã Cam Phục</t>
  </si>
  <si>
    <t>UBND Xã Châu Khê</t>
  </si>
  <si>
    <t>UBND Xã Diễn Châu</t>
  </si>
  <si>
    <t>UBND Xã Đức Châu</t>
  </si>
  <si>
    <t>UBND Xã Quảng Châu</t>
  </si>
  <si>
    <t>UBND Xã Hải Châu</t>
  </si>
  <si>
    <t>UBND Xã Hùng Châu</t>
  </si>
  <si>
    <t>UBND Xã Đô Lương</t>
  </si>
  <si>
    <t>UBND Xã Bạch Ngọc</t>
  </si>
  <si>
    <t>UBND Xã Văn Hiến</t>
  </si>
  <si>
    <t>UBND Xã Bạch Hà</t>
  </si>
  <si>
    <t>UBND Xã Thuần Trung</t>
  </si>
  <si>
    <t>UBND Xã Hưng Nguyên</t>
  </si>
  <si>
    <t>UBND Xã Hưng Nguyên Nam</t>
  </si>
  <si>
    <t>UBND Xã Lam Thành</t>
  </si>
  <si>
    <t>UBND Xã Chiêu Lưu</t>
  </si>
  <si>
    <t>UBND Xã Hữu Kiệm</t>
  </si>
  <si>
    <t>UBND Xã Mường Típ</t>
  </si>
  <si>
    <t>UBND Xã Mường Xén</t>
  </si>
  <si>
    <t>UBND Xã Na Loi</t>
  </si>
  <si>
    <t>UBND Xã Mai Châu</t>
  </si>
  <si>
    <t>UBND Xã Bao La</t>
  </si>
  <si>
    <t>UBND Xã Mai Hạ</t>
  </si>
  <si>
    <t>UBND Xã Pà Cò</t>
  </si>
  <si>
    <t>UBND Xã Tân Mai</t>
  </si>
  <si>
    <t>UBND Xã Tân Lạc</t>
  </si>
  <si>
    <t>UBND Xã Mường Bi</t>
  </si>
  <si>
    <t>UBND Xã Mường Hoa</t>
  </si>
  <si>
    <t>UBND Xã Toàn Thắng</t>
  </si>
  <si>
    <t>UBND Xã Yên Thủy</t>
  </si>
  <si>
    <t>UBND Xã Lạc Lương</t>
  </si>
  <si>
    <t>UBND Xã Yên Trị</t>
  </si>
  <si>
    <t>UBND Phường Việt Trì</t>
  </si>
  <si>
    <t>UBND Phường Nông Trang</t>
  </si>
  <si>
    <t>UBND Phường Thanh Miếu</t>
  </si>
  <si>
    <t>UBND Phường Vân Phú</t>
  </si>
  <si>
    <t>UBND Phường Phú Thọ</t>
  </si>
  <si>
    <t>UBND Phường Phong Châu</t>
  </si>
  <si>
    <t>UBND Phường Âu Cơ</t>
  </si>
  <si>
    <t>UBND Phường Vĩnh Phúc</t>
  </si>
  <si>
    <t>UBND Phường Vĩnh Yên</t>
  </si>
  <si>
    <t>UBND Phường Phúc Yên</t>
  </si>
  <si>
    <t>UBND Phường Xuân Hòa</t>
  </si>
  <si>
    <t>UBND Phường Hòa Bình</t>
  </si>
  <si>
    <t>UBND Phường Kỳ Sơn</t>
  </si>
  <si>
    <t>UBND Phường Tân Hòa</t>
  </si>
  <si>
    <t>UBND Xã Thu Cúc</t>
  </si>
  <si>
    <t>UBND Xã Trung Sơn</t>
  </si>
  <si>
    <t>UBND Xã Hưng Điền</t>
  </si>
  <si>
    <t>UBND Xã Vĩnh Châu</t>
  </si>
  <si>
    <t>UBND Xã Tuyên Thạnh</t>
  </si>
  <si>
    <t>UBND Xã Mộc Hóa</t>
  </si>
  <si>
    <t>UBND Xã Hậu Thạnh</t>
  </si>
  <si>
    <t>UBND Xã Quốc Oai</t>
  </si>
  <si>
    <t>UBND Xã Hưng Đạo</t>
  </si>
  <si>
    <t>UBND Xã Kiều Phú</t>
  </si>
  <si>
    <t>UBND Xã Phú Cát</t>
  </si>
  <si>
    <t>UBND Xã Hoài Đức</t>
  </si>
  <si>
    <t>UBND Xã Dương Hòa</t>
  </si>
  <si>
    <t>UBND Xã Sơn Đồng</t>
  </si>
  <si>
    <t>UBND Xã Đan Phượng</t>
  </si>
  <si>
    <t>UBND Xã Ô Diên</t>
  </si>
  <si>
    <t>UBND Xã Gia Lâm</t>
  </si>
  <si>
    <t>UBND Xã Thuận An</t>
  </si>
  <si>
    <t>UBND Xã Bát Tràng</t>
  </si>
  <si>
    <t>UBND Xã Phù Đổng</t>
  </si>
  <si>
    <t>UBND Xã Thư Lâm</t>
  </si>
  <si>
    <t>UBND Xã Đông Anh</t>
  </si>
  <si>
    <t>UBND Xã Phúc Thịnh</t>
  </si>
  <si>
    <t>UBND Xã Thiên Lộc</t>
  </si>
  <si>
    <t>UBND Xã Na Ngoi</t>
  </si>
  <si>
    <t>UBND Xã Nậm Cắn</t>
  </si>
  <si>
    <t>UBND Xã Kim Liên</t>
  </si>
  <si>
    <t>UBND Xã Vạn An</t>
  </si>
  <si>
    <t>UBND Xã Nam Đàn</t>
  </si>
  <si>
    <t>UBND Xã Đại Huệ</t>
  </si>
  <si>
    <t>UBND Xã Thiên Nhẫn</t>
  </si>
  <si>
    <t>UBND Xã Nghĩa Đàn</t>
  </si>
  <si>
    <t>UBND Xã Nghĩa Thọ</t>
  </si>
  <si>
    <t>UBND Xã Nghĩa Lâm</t>
  </si>
  <si>
    <t>UBND Xã Nghĩa Mai</t>
  </si>
  <si>
    <t>UBND Xã Nghĩa Hưng</t>
  </si>
  <si>
    <t>UBND Xã Nghĩa Khánh</t>
  </si>
  <si>
    <t>UBND Xã Nghĩa Lộc</t>
  </si>
  <si>
    <t>UBND Xã Nghi Lộc</t>
  </si>
  <si>
    <t>UBND Xã Đông Lộc</t>
  </si>
  <si>
    <t>UBND Xã Trung Lộc</t>
  </si>
  <si>
    <t>UBND Xã Thần Lĩnh</t>
  </si>
  <si>
    <t>UBND Xã Hải Lộc</t>
  </si>
  <si>
    <t>UBND Xã Văn Kiều</t>
  </si>
  <si>
    <t>UBND Xã Mường Quàng</t>
  </si>
  <si>
    <t>UBND Xã Quế Phong</t>
  </si>
  <si>
    <t>UBND Xã Thông Thụ</t>
  </si>
  <si>
    <t>UBND Xã Tri Lễ</t>
  </si>
  <si>
    <t>UBND Xã Quỳ Châu</t>
  </si>
  <si>
    <t>UBND Xã Châu Tiến</t>
  </si>
  <si>
    <t>UBND Xã Hùng Chân</t>
  </si>
  <si>
    <t>UBND Xã Quỳ Hợp</t>
  </si>
  <si>
    <t>UBND Xã Tam Hợp</t>
  </si>
  <si>
    <t>UBND Xã Châu Lộc</t>
  </si>
  <si>
    <t>UBND Xã Châu Hồng</t>
  </si>
  <si>
    <t>UBND Xã Mường Ham</t>
  </si>
  <si>
    <t>UBND Xã Mường Chọng</t>
  </si>
  <si>
    <t>UBND Xã Minh Hợp</t>
  </si>
  <si>
    <t>UBND Xã Quỳnh Lưu</t>
  </si>
  <si>
    <t>UBND Xã Quỳnh Văn</t>
  </si>
  <si>
    <t>UBND Xã Quỳnh Anh</t>
  </si>
  <si>
    <t>UBND Xã Quỳnh Tam</t>
  </si>
  <si>
    <t>UBND Xã Quỳnh Phú</t>
  </si>
  <si>
    <t>UBND Xã Quỳnh Sơn</t>
  </si>
  <si>
    <t>UBND Xã Quỳnh Thắng</t>
  </si>
  <si>
    <t>UBND Xã Nhơn Hòa Lập</t>
  </si>
  <si>
    <t>UBND Xã Nhơn Ninh</t>
  </si>
  <si>
    <t>UBND Xã Thạnh Hóa</t>
  </si>
  <si>
    <t>UBND Xã Tân Tây</t>
  </si>
  <si>
    <t>UBND Xã Thủ Thừa</t>
  </si>
  <si>
    <t>UBND Xã Mỹ An</t>
  </si>
  <si>
    <t>UBND Xã Mỹ Thạnh</t>
  </si>
  <si>
    <t>UBND Xã Mỹ Quý</t>
  </si>
  <si>
    <t>UBND Xã Đức Huệ</t>
  </si>
  <si>
    <t>UBND Xã Hậu Nghĩa</t>
  </si>
  <si>
    <t>UBND Xã Hòa Khánh</t>
  </si>
  <si>
    <t>UBND Xã Đức Lập</t>
  </si>
  <si>
    <t>UBND Xã Mỹ Hạnh</t>
  </si>
  <si>
    <t>UBND Xã Đức Hòa</t>
  </si>
  <si>
    <t>UBND Xã Thạnh Lợi</t>
  </si>
  <si>
    <t>UBND Xã Bình Đức</t>
  </si>
  <si>
    <t>UBND Xã Bến Lức</t>
  </si>
  <si>
    <t>UBND Xã Mỹ Yên</t>
  </si>
  <si>
    <t>UBND Xã Long Cang</t>
  </si>
  <si>
    <t>UBND Xã Rạch Kiến</t>
  </si>
  <si>
    <t>UBND Xã Mỹ Lệ</t>
  </si>
  <si>
    <t>UBND Xã Tân Lân</t>
  </si>
  <si>
    <t>UBND Xã Cần Đước</t>
  </si>
  <si>
    <t>UBND Xã Long Hựu</t>
  </si>
  <si>
    <t>UBND Xã Phước Lý</t>
  </si>
  <si>
    <t>UBND Xã Mỹ Lộc</t>
  </si>
  <si>
    <t>UBND Xã Cần Giuộc</t>
  </si>
  <si>
    <t>UBND Xã Phước Vĩnh Tây</t>
  </si>
  <si>
    <t>UBND Phường Vũng Tàu</t>
  </si>
  <si>
    <t>UBND Phường Tam Thắng</t>
  </si>
  <si>
    <t>UBND Phường Rạch Dừa</t>
  </si>
  <si>
    <t>UBND Phường Long Trường</t>
  </si>
  <si>
    <t>UBND Phường Cát Lái</t>
  </si>
  <si>
    <t>UBND Phường Bình Trưng</t>
  </si>
  <si>
    <t>UBND Phường An Khánh</t>
  </si>
  <si>
    <t>UBND Phường Đông Hòa</t>
  </si>
  <si>
    <t>UBND Phường Dĩ An</t>
  </si>
  <si>
    <t>UBND Phường Tân Đông Hiệp</t>
  </si>
  <si>
    <t>UBND Phường Bình Hòa</t>
  </si>
  <si>
    <t>UBND Phường Lái Thiêu</t>
  </si>
  <si>
    <t>UBND Phường Thuận An</t>
  </si>
  <si>
    <t>UBND Phường Thuận Giao</t>
  </si>
  <si>
    <t>UBND Phường Thủ Dầu Một</t>
  </si>
  <si>
    <t>UBND Phường Chánh Hiệp</t>
  </si>
  <si>
    <t>UBND Phường Bình Dương</t>
  </si>
  <si>
    <t>UBND Phường Hòa Lợi</t>
  </si>
  <si>
    <t>UBND Phường Phú An</t>
  </si>
  <si>
    <t>UBND Phường Tây Nam</t>
  </si>
  <si>
    <t>UBND Phường Long Nguyên</t>
  </si>
  <si>
    <t>UBND Phường Bến Cát</t>
  </si>
  <si>
    <t>UBND Phường Chánh Phú Hòa</t>
  </si>
  <si>
    <t>UBND Phường Vĩnh Tân</t>
  </si>
  <si>
    <t>UBND Phường Bình Cơ</t>
  </si>
  <si>
    <t>UBND Phường Tân Uyên</t>
  </si>
  <si>
    <t>UBND Phường Tân Hiệp</t>
  </si>
  <si>
    <t>UBND Phường Tân Khánh</t>
  </si>
  <si>
    <t>UBND Xã Tây Đô</t>
  </si>
  <si>
    <t>UBND Xã Triệu Sơn</t>
  </si>
  <si>
    <t>UBND Xã Thọ Bình</t>
  </si>
  <si>
    <t>UBND Xã Thọ Ngọc</t>
  </si>
  <si>
    <t>UBND Xã Thọ Phú</t>
  </si>
  <si>
    <t>UBND Xã Hợp Tiến</t>
  </si>
  <si>
    <t>UBND Xã An Nông</t>
  </si>
  <si>
    <t>UBND Xã Tân Ninh</t>
  </si>
  <si>
    <t>UBND Xã Hồi Xuân</t>
  </si>
  <si>
    <t>UBND Xã Nam Xuân</t>
  </si>
  <si>
    <t>UBND Xã Thiên Phủ</t>
  </si>
  <si>
    <t>UBND Xã Hiền Kiệt</t>
  </si>
  <si>
    <t>UBND Xã Phú Lệ</t>
  </si>
  <si>
    <t>UBND Xã Tam Lư</t>
  </si>
  <si>
    <t>UBND Xã Quan Sơn</t>
  </si>
  <si>
    <t>UBND Xã Trung Hạ</t>
  </si>
  <si>
    <t>UBND Xã Linh Sơn</t>
  </si>
  <si>
    <t>UBND Xã Văn Phú</t>
  </si>
  <si>
    <t>UBND Xã Giao An</t>
  </si>
  <si>
    <t>UBND Xã Bá Thước</t>
  </si>
  <si>
    <t>UBND Xã Thiết ống</t>
  </si>
  <si>
    <t>UBND Xã Văn Nho</t>
  </si>
  <si>
    <t>UBND Xã Điền Quang</t>
  </si>
  <si>
    <t>UBND Xã Điền Lư</t>
  </si>
  <si>
    <t>UBND Xã Quý Lương</t>
  </si>
  <si>
    <t>UBND Xã Cổ Lũng</t>
  </si>
  <si>
    <t>UBND Xã Pù Luông</t>
  </si>
  <si>
    <t>UBND Xã Ngọc Lặc</t>
  </si>
  <si>
    <t>UBND Xã Thạch Lập</t>
  </si>
  <si>
    <t>UBND Xã Ngọc Liên</t>
  </si>
  <si>
    <t>UBND Xã Minh Sơn</t>
  </si>
  <si>
    <t>UBND Xã Nguyệt ấn</t>
  </si>
  <si>
    <t>UBND Xã Kiên Thọ</t>
  </si>
  <si>
    <t>UBND Xã Cẩm Thạch</t>
  </si>
  <si>
    <t>UBND Xã Cẩm Thủy</t>
  </si>
  <si>
    <t>UBND Xã Cẩm Tú</t>
  </si>
  <si>
    <t>UBND Xã Cẩm Vân</t>
  </si>
  <si>
    <t>UBND Xã Cẩm Tân</t>
  </si>
  <si>
    <t>UBND Xã Kim Tân</t>
  </si>
  <si>
    <t>UBND Xã Ngọc Trạo</t>
  </si>
  <si>
    <t>UBND Xã Thạch Bình</t>
  </si>
  <si>
    <t>UBND Xã Thành Vinh</t>
  </si>
  <si>
    <t>UBND Xã Thạch Quảng</t>
  </si>
  <si>
    <t>UBND Xã Như Xuân</t>
  </si>
  <si>
    <t>UBND Xã Thượng Ninh</t>
  </si>
  <si>
    <t>UBND Xã Xuân Bình</t>
  </si>
  <si>
    <t>UBND Xã Hóa Quỳ</t>
  </si>
  <si>
    <t>UBND Xã Thanh Phong</t>
  </si>
  <si>
    <t>UBND Xã Thanh Quân</t>
  </si>
  <si>
    <t>UBND Xã Xuân Du</t>
  </si>
  <si>
    <t>UBND Xã Mậu Lâm</t>
  </si>
  <si>
    <t>UBND Xã Như Thanh</t>
  </si>
  <si>
    <t>UBND Xã Yên Thọ</t>
  </si>
  <si>
    <t>UBND Xã Thanh Kỳ</t>
  </si>
  <si>
    <t>UBND Xã Thường Xuân</t>
  </si>
  <si>
    <t>UBND Xã Luận Thành</t>
  </si>
  <si>
    <t>UBND Xã Thắng Lộc</t>
  </si>
  <si>
    <t>UBND Xã Xuân Chinh</t>
  </si>
  <si>
    <t>UBND Xã Mường Lát</t>
  </si>
  <si>
    <t>UBND Phường Hạc Thành</t>
  </si>
  <si>
    <t>UBND Phường Đông Quang</t>
  </si>
  <si>
    <t>UBND Phường Đông Sơn</t>
  </si>
  <si>
    <t>UBND Phường Hàm Rồng</t>
  </si>
  <si>
    <t>UBND Phường Nguyệt Viên</t>
  </si>
  <si>
    <t>UBND Phường Sầm Sơn</t>
  </si>
  <si>
    <t>UBND Phường Nam Sầm Sơn</t>
  </si>
  <si>
    <t>UBND Phường Bỉm Sơn</t>
  </si>
  <si>
    <t>UBND Phường Quang Trung</t>
  </si>
  <si>
    <t>UBND Phường Ngọc Sơn</t>
  </si>
  <si>
    <t>UBND Phường Tân Dân</t>
  </si>
  <si>
    <t>UBND Phường Hải Lĩnh</t>
  </si>
  <si>
    <t>UBND Phường Tĩnh Gia</t>
  </si>
  <si>
    <t>UBND Phường Đào Duy Từ</t>
  </si>
  <si>
    <t>UBND Phường Hải Bình</t>
  </si>
  <si>
    <t>UBND Phường Trúc Lâm</t>
  </si>
  <si>
    <t>UBND Phường Nghi Sơn</t>
  </si>
  <si>
    <t>UBND Phường Phước Thắng</t>
  </si>
  <si>
    <t>UBND Phường Long Hương</t>
  </si>
  <si>
    <t>UBND Phường Bà Rịa</t>
  </si>
  <si>
    <t>UBND Phường Tam Long</t>
  </si>
  <si>
    <t>UBND Phường Tân Hải</t>
  </si>
  <si>
    <t>UBND Phường Tân Phước</t>
  </si>
  <si>
    <t>UBND Phường Phú Mỹ</t>
  </si>
  <si>
    <t>UBND Xã Tân Vĩnh Lộc</t>
  </si>
  <si>
    <t>UBND Xã Bình Lợi</t>
  </si>
  <si>
    <t>UBND Xã Tân Nhựt</t>
  </si>
  <si>
    <t>UBND Phường Phong Điền</t>
  </si>
  <si>
    <t>UBND Phường Phong Thái</t>
  </si>
  <si>
    <t>UBND Phường Phong Dinh</t>
  </si>
  <si>
    <t>UBND Phường Phong Phú</t>
  </si>
  <si>
    <t>UBND Phường Phong Quảng</t>
  </si>
  <si>
    <t>UBND Phường Kim Trà</t>
  </si>
  <si>
    <t>UBND Phường Kim Long</t>
  </si>
  <si>
    <t>UBND Phường Hương An</t>
  </si>
  <si>
    <t>UBND Phường Phú Xuân</t>
  </si>
  <si>
    <t>UBND Phường Hóa Châu</t>
  </si>
  <si>
    <t>UBND Phường Mỹ Thượng</t>
  </si>
  <si>
    <t>UBND Phường Vỹ Dạ</t>
  </si>
  <si>
    <t>UBND Phường Thuận Hóa</t>
  </si>
  <si>
    <t>UBND Phường An Cựu</t>
  </si>
  <si>
    <t>UBND Phường Thủy Xuân</t>
  </si>
  <si>
    <t>UBND Phường Thanh Thủy</t>
  </si>
  <si>
    <t>UBND Phường Hương Thủy</t>
  </si>
  <si>
    <t>UBND Phường Phú Bài</t>
  </si>
  <si>
    <t>UBND Xã Đan Điền</t>
  </si>
  <si>
    <t>UBND Xã Quảng Điền</t>
  </si>
  <si>
    <t>UBND Xã Bình Điền</t>
  </si>
  <si>
    <t>UBND Xã Phú Hồ</t>
  </si>
  <si>
    <t>UBND Xã Phú Vang</t>
  </si>
  <si>
    <t>UBND Xã Vinh Lộc</t>
  </si>
  <si>
    <t>UBND Xã Hưng Lộc</t>
  </si>
  <si>
    <t>UBND Xã Lộc An</t>
  </si>
  <si>
    <t>UBND Xã Chân Mây - Lăng Cô</t>
  </si>
  <si>
    <t>UBND Xã Long Quảng</t>
  </si>
  <si>
    <t>UBND Xã Nam Đông</t>
  </si>
  <si>
    <t>UBND Xã Khe Tre</t>
  </si>
  <si>
    <t>UBND Xã A Lưới 1</t>
  </si>
  <si>
    <t>UBND Xã A Lưới 2</t>
  </si>
  <si>
    <t>UBND Xã A Lưới 3</t>
  </si>
  <si>
    <t>UBND Xã A Lưới 4</t>
  </si>
  <si>
    <t>UBND Xã A Lưới 5</t>
  </si>
  <si>
    <t>UBND Phường Thủy Nguyên</t>
  </si>
  <si>
    <t>UBND Phường Thiên Hương</t>
  </si>
  <si>
    <t>UBND Phường Nam Triệu</t>
  </si>
  <si>
    <t>UBND Phường Bạch Đằng</t>
  </si>
  <si>
    <t>UBND Phường Lưu Kiếm</t>
  </si>
  <si>
    <t>UBND Phường Lê ích Mộc</t>
  </si>
  <si>
    <t>UBND Phường Hồng Bàng</t>
  </si>
  <si>
    <t>UBND Phường Hồng An</t>
  </si>
  <si>
    <t>UBND Phường Ngô Quyền</t>
  </si>
  <si>
    <t>UBND Phường Gia Viên</t>
  </si>
  <si>
    <t>UBND Phường Lê Chân</t>
  </si>
  <si>
    <t>UBND Phường An Biên</t>
  </si>
  <si>
    <t>UBND Phường Hải An</t>
  </si>
  <si>
    <t>UBND Phường Kiến An</t>
  </si>
  <si>
    <t>UBND Phường Phù Liễn</t>
  </si>
  <si>
    <t>UBND Phường Nam Đồ Sơn</t>
  </si>
  <si>
    <t>UBND Phường Đồ Sơn</t>
  </si>
  <si>
    <t>UBND Phường Hưng Đạo</t>
  </si>
  <si>
    <t>UBND Phường Dương Kinh</t>
  </si>
  <si>
    <t>UBND Phường An Dương</t>
  </si>
  <si>
    <t>UBND Phường An Phong</t>
  </si>
  <si>
    <t>UBND Phường Hải Dương</t>
  </si>
  <si>
    <t>UBND Phường Lê Thanh Nghị</t>
  </si>
  <si>
    <t>UBND Phường Việt Hòa</t>
  </si>
  <si>
    <t>UBND Phường Thành Đông</t>
  </si>
  <si>
    <t>UBND Phường Nam Đồng</t>
  </si>
  <si>
    <t>UBND Phường Tân Hưng</t>
  </si>
  <si>
    <t>UBND Phường Thạch Khôi</t>
  </si>
  <si>
    <t>UBND Phường Tứ Minh</t>
  </si>
  <si>
    <t>UBND Phường ái Quốc</t>
  </si>
  <si>
    <t>UBND Phường Chu Văn An</t>
  </si>
  <si>
    <t>UBND Phường Chí Linh</t>
  </si>
  <si>
    <t>UBND Phường Trần Hưng Đạo</t>
  </si>
  <si>
    <t>UBND Phường Nguyễn Trãi</t>
  </si>
  <si>
    <t>UBND Phường Trần Nhân Tông</t>
  </si>
  <si>
    <t>UBND Phường Lê Đại Hành</t>
  </si>
  <si>
    <t>UBND Xã Bình Chánh</t>
  </si>
  <si>
    <t>UBND Xã Hưng Long</t>
  </si>
  <si>
    <t>UBND Xã Bình Hưng</t>
  </si>
  <si>
    <t>UBND Xã Bình Khánh</t>
  </si>
  <si>
    <t>UBND Xã An Thới Đông</t>
  </si>
  <si>
    <t>UBND Xã Cần Giờ</t>
  </si>
  <si>
    <t>UBND Xã Củ Chi</t>
  </si>
  <si>
    <t>UBND Xã Tân An Hội</t>
  </si>
  <si>
    <t>UBND Xã Thái Mỹ</t>
  </si>
  <si>
    <t>UBND Xã Nhuận Đức</t>
  </si>
  <si>
    <t>UBND Xã Phú Hòa Đông</t>
  </si>
  <si>
    <t>UBND Xã Đông Thạnh</t>
  </si>
  <si>
    <t>UBND Xã Hóc Môn</t>
  </si>
  <si>
    <t>UBND Xã Xuân Thới Sơn</t>
  </si>
  <si>
    <t>UBND Xã Bà Điểm</t>
  </si>
  <si>
    <t>UBND Xã Nhà Bè</t>
  </si>
  <si>
    <t>UBND Xã Hiệp Phước</t>
  </si>
  <si>
    <t>UBND Xã Thường Tân</t>
  </si>
  <si>
    <t>UBND Xã Bắc Tân Uyên</t>
  </si>
  <si>
    <t>UBND Xã Phú Giáo</t>
  </si>
  <si>
    <t>UBND Xã Phước Hòa</t>
  </si>
  <si>
    <t>UBND Phường Kinh Môn</t>
  </si>
  <si>
    <t>UBND Phường Nguyễn Đại Năng</t>
  </si>
  <si>
    <t>UBND Phường Trần Liễu</t>
  </si>
  <si>
    <t>UBND Phường Bắc An Phụ</t>
  </si>
  <si>
    <t>UBND Phường Phạm Sư Mạnh</t>
  </si>
  <si>
    <t>UBND Phường Nhị Chiểu</t>
  </si>
  <si>
    <t>UBND Xã An Hưng</t>
  </si>
  <si>
    <t>UBND Xã An Quang</t>
  </si>
  <si>
    <t>UBND Xã Kiến Thụy</t>
  </si>
  <si>
    <t>UBND Xã Kiến Minh</t>
  </si>
  <si>
    <t>UBND Xã Kiến Hải</t>
  </si>
  <si>
    <t>UBND Xã Kiến Hưng</t>
  </si>
  <si>
    <t>UBND Xã Nghi Dương</t>
  </si>
  <si>
    <t>UBND Xã Tiên Lãng</t>
  </si>
  <si>
    <t>UBND Xã Tân Minh</t>
  </si>
  <si>
    <t>UBND Xã Tiên Minh</t>
  </si>
  <si>
    <t>UBND Xã Chấn Hưng</t>
  </si>
  <si>
    <t>UBND Xã Hùng Thắng</t>
  </si>
  <si>
    <t>UBND Xã Vĩnh Bảo</t>
  </si>
  <si>
    <t>UBND Xã Nguyễn Bỉnh Khiêm</t>
  </si>
  <si>
    <t>UBND Phường Dương Nỗ</t>
  </si>
  <si>
    <t>UBND Xã Việt Khê</t>
  </si>
  <si>
    <t>UBND Xã Nam An Phụ</t>
  </si>
  <si>
    <t>UBND Xã Nam Sách</t>
  </si>
  <si>
    <t>UBND Xã Thái Tân</t>
  </si>
  <si>
    <t>UBND Xã Thanh Hà</t>
  </si>
  <si>
    <t>UBND Xã Hà Tây</t>
  </si>
  <si>
    <t>UBND Xã Hà Bắc</t>
  </si>
  <si>
    <t>UBND Xã Hà Nam</t>
  </si>
  <si>
    <t>UBND Xã Hà Đông</t>
  </si>
  <si>
    <t>UBND Xã Mao Điền</t>
  </si>
  <si>
    <t>UBND Xã Cẩm Giang</t>
  </si>
  <si>
    <t>UBND Xã Tuệ Tĩnh</t>
  </si>
  <si>
    <t>UBND Xã Kẻ Sặt</t>
  </si>
  <si>
    <t>UBND Xã Đường An</t>
  </si>
  <si>
    <t>UBND Xã Thượng Hồng</t>
  </si>
  <si>
    <t>UBND Xã Gia Lộc</t>
  </si>
  <si>
    <t>UBND Xã Yết Kiêu</t>
  </si>
  <si>
    <t>UBND Xã Gia Phúc</t>
  </si>
  <si>
    <t>UBND Xã Trường Tân</t>
  </si>
  <si>
    <t>UBND Xã Tứ Kỳ</t>
  </si>
  <si>
    <t>UBND Xã Chí Minh</t>
  </si>
  <si>
    <t>UBND Xã Lạc Phượng</t>
  </si>
  <si>
    <t>UBND Xã Nguyên Giáp</t>
  </si>
  <si>
    <t>UBND Xã Ninh Giang</t>
  </si>
  <si>
    <t>UBND Xã Vĩnh Lại</t>
  </si>
  <si>
    <t>UBND Xã Khúc Thừa Dụ</t>
  </si>
  <si>
    <t>UBND Xã Hồng Châu</t>
  </si>
  <si>
    <t>UBND Xã Thanh Miện</t>
  </si>
  <si>
    <t>UBND Xã Bắc Thanh Miện</t>
  </si>
  <si>
    <t>UBND Xã Hải Hưng</t>
  </si>
  <si>
    <t>UBND Xã Nguyễn Lương Bằng</t>
  </si>
  <si>
    <t>UBND Xã Nam Thanh Miện</t>
  </si>
  <si>
    <t>UBND Xã Phú Thái</t>
  </si>
  <si>
    <t>UBND Xã Lai Khê</t>
  </si>
  <si>
    <t>UBND Xã An Thành</t>
  </si>
  <si>
    <t>UBND Xã Kim Thành</t>
  </si>
  <si>
    <t>UBND Đặc khu Cát Hải</t>
  </si>
  <si>
    <t>UBND Đặc khu Bạch Long Vĩ</t>
  </si>
  <si>
    <t>UBND Xã Hoàng Hoa Thám</t>
  </si>
  <si>
    <t>UBND Xã Tiên Hoa</t>
  </si>
  <si>
    <t>UBND Xã Quang Hưng</t>
  </si>
  <si>
    <t>UBND Xã Đoàn Đào</t>
  </si>
  <si>
    <t>UBND Xã Tiên Tiến</t>
  </si>
  <si>
    <t>UBND Xã Trừ Văn Thố</t>
  </si>
  <si>
    <t>UBND Xã Bàu Bàng</t>
  </si>
  <si>
    <t>UBND Xã Thanh An</t>
  </si>
  <si>
    <t>UBND Xã Dầu Tiếng</t>
  </si>
  <si>
    <t>UBND Xã Minh Thạnh</t>
  </si>
  <si>
    <t>UBND Xã Châu Pha</t>
  </si>
  <si>
    <t>UBND Xã Long Hải</t>
  </si>
  <si>
    <t>UBND Xã Phước Hải</t>
  </si>
  <si>
    <t>UBND Xã Đất Đỏ</t>
  </si>
  <si>
    <t>UBND Xã Nghĩa Thành</t>
  </si>
  <si>
    <t>UBND Xã Ngãi Giao</t>
  </si>
  <si>
    <t>UBND Xã Kim Long</t>
  </si>
  <si>
    <t>UBND Xã Tống Trân</t>
  </si>
  <si>
    <t>UBND Xã Lương Bằng</t>
  </si>
  <si>
    <t>UBND Xã Nghĩa Dân</t>
  </si>
  <si>
    <t>UBND Xã Hiệp Cường</t>
  </si>
  <si>
    <t>UBND Xã Đức Hợp</t>
  </si>
  <si>
    <t>UBND Xã Ân Thi</t>
  </si>
  <si>
    <t>UBND Xã Xuân Trúc</t>
  </si>
  <si>
    <t>UBND Xã Phạm Ngũ Lão</t>
  </si>
  <si>
    <t>UBND Xã Nguyễn Trãi</t>
  </si>
  <si>
    <t>UBND Xã Hồng Quang</t>
  </si>
  <si>
    <t>UBND Xã Khoái Châu</t>
  </si>
  <si>
    <t>UBND Xã Triệu Việt Vương</t>
  </si>
  <si>
    <t>UBND Xã Việt Tiến</t>
  </si>
  <si>
    <t>UBND Xã Châu Ninh</t>
  </si>
  <si>
    <t>UBND Xã Yên Mỹ</t>
  </si>
  <si>
    <t>UBND Xã Việt Yên</t>
  </si>
  <si>
    <t>UBND Xã Hoàn Long</t>
  </si>
  <si>
    <t>UBND Xã Nguyễn Văn Linh</t>
  </si>
  <si>
    <t>UBND Xã Như Quỳnh</t>
  </si>
  <si>
    <t>UBND Xã Lạc Đạo</t>
  </si>
  <si>
    <t>UBND Xã Nghĩa Trụ</t>
  </si>
  <si>
    <t>UBND Xã Phụng Công</t>
  </si>
  <si>
    <t>UBND Xã Văn Giang</t>
  </si>
  <si>
    <t>UBND Xã Mễ Sở</t>
  </si>
  <si>
    <t>UBND Xã Thái Thụy</t>
  </si>
  <si>
    <t>UBND Xã Đông Thụy Anh</t>
  </si>
  <si>
    <t>UBND Xã Bắc Thụy Anh</t>
  </si>
  <si>
    <t>UBND Xã Thụy Anh</t>
  </si>
  <si>
    <t>UBND Xã Nam Thụy Anh</t>
  </si>
  <si>
    <t>UBND Xã Bắc Thái Ninh</t>
  </si>
  <si>
    <t>UBND Xã Thái Ninh</t>
  </si>
  <si>
    <t>UBND Xã Đông Thái Ninh</t>
  </si>
  <si>
    <t>UBND Xã Nam Thái Ninh</t>
  </si>
  <si>
    <t>UBND Xã Tây Thái Ninh</t>
  </si>
  <si>
    <t>UBND Xã Tây Thụy Anh</t>
  </si>
  <si>
    <t>UBND Xã Tiền Hải</t>
  </si>
  <si>
    <t>UBND Xã Tây Tiền Hải</t>
  </si>
  <si>
    <t>UBND Xã ái Quốc</t>
  </si>
  <si>
    <t>UBND Xã Đồng Châu</t>
  </si>
  <si>
    <t>UBND Xã Đông Tiền Hải</t>
  </si>
  <si>
    <t>UBND Xã Hưng Phú</t>
  </si>
  <si>
    <t>UBND Xã Nam Tiền Hải</t>
  </si>
  <si>
    <t>UBND Xã Bắc Tiên Hưng</t>
  </si>
  <si>
    <t>UBND Xã Đông Tiên Hưng</t>
  </si>
  <si>
    <t>UBND Xã Nam Đông Hưng</t>
  </si>
  <si>
    <t>UBND Xã Bắc Đông Quan</t>
  </si>
  <si>
    <t>UBND Xã Bắc Đông Hưng</t>
  </si>
  <si>
    <t>UBND Xã Đông Quan</t>
  </si>
  <si>
    <t>UBND Xã Nam Tiên Hưng</t>
  </si>
  <si>
    <t>UBND Xã Tiên Hưng</t>
  </si>
  <si>
    <t>UBND Xã Quỳnh Phụ</t>
  </si>
  <si>
    <t>UBND Xã Minh Thọ</t>
  </si>
  <si>
    <t>UBND Xã Nguyễn Du</t>
  </si>
  <si>
    <t>UBND Xã Quỳnh An</t>
  </si>
  <si>
    <t>UBND Xã Ngọc Lâm</t>
  </si>
  <si>
    <t>UBND Xã Đồng Bằng</t>
  </si>
  <si>
    <t>UBND Xã A Sào</t>
  </si>
  <si>
    <t>UBND Xã Phụ Dực</t>
  </si>
  <si>
    <t>UBND Xã Hưng Hà</t>
  </si>
  <si>
    <t>UBND Xã Tiên La</t>
  </si>
  <si>
    <t>UBND Xã Lê Quý Đôn</t>
  </si>
  <si>
    <t>UBND Xã Hồng Minh</t>
  </si>
  <si>
    <t>UBND Xã Thần Khê</t>
  </si>
  <si>
    <t>UBND Xã Diên Hà</t>
  </si>
  <si>
    <t>UBND Xã Ngự Thiên</t>
  </si>
  <si>
    <t>UBND Xã Kiến Xương</t>
  </si>
  <si>
    <t>UBND Xã Lê Lợi</t>
  </si>
  <si>
    <t>UBND Xã Quang Lịch</t>
  </si>
  <si>
    <t>UBND Xã Vũ Quý</t>
  </si>
  <si>
    <t>UBND Xã Bình Thanh</t>
  </si>
  <si>
    <t>UBND Xã Bình Định</t>
  </si>
  <si>
    <t>UBND Xã Hồng Vũ</t>
  </si>
  <si>
    <t>UBND Xã Vũ Thư</t>
  </si>
  <si>
    <t>UBND Xã Thư Trì</t>
  </si>
  <si>
    <t>UBND Xã Châu Đức</t>
  </si>
  <si>
    <t>UBND Xã Bình Giã</t>
  </si>
  <si>
    <t>UBND Xã Xuân Sơn</t>
  </si>
  <si>
    <t>UBND Xã Hồ Tràm</t>
  </si>
  <si>
    <t>UBND Xã Xuyên Mộc</t>
  </si>
  <si>
    <t>UBND Xã Bàu Lâm</t>
  </si>
  <si>
    <t>UBND Đặc khu Côn Đảo</t>
  </si>
  <si>
    <t>UBND Phường Thới Hòa</t>
  </si>
  <si>
    <t>UBND Xã Long Sơn</t>
  </si>
  <si>
    <t>UBND Xã Bình Châu</t>
  </si>
  <si>
    <t>Chi cục Thuế khu vực I</t>
  </si>
  <si>
    <t>Chi cục Thuế khu vực II</t>
  </si>
  <si>
    <t>Chi cục Thuế khu vực III</t>
  </si>
  <si>
    <t>Chi cục Thuế khu vực IV</t>
  </si>
  <si>
    <t>Chi cục Thuế khu vực V</t>
  </si>
  <si>
    <t>Chi cục Thuế khu vực VI</t>
  </si>
  <si>
    <t>Chi cục Thuế khu vực VII</t>
  </si>
  <si>
    <t>Chi cục Thuế khu vực VIII</t>
  </si>
  <si>
    <t>Chi cục Thuế khu vực IX</t>
  </si>
  <si>
    <t>Chi cục Thuế khu vực X</t>
  </si>
  <si>
    <t>UBND Xã Thư Vũ</t>
  </si>
  <si>
    <t>UBND Xã Vũ Tiên</t>
  </si>
  <si>
    <t>UBND Phường Phố Hiến</t>
  </si>
  <si>
    <t>UBND Phường Sơn Nam</t>
  </si>
  <si>
    <t>UBND Phường Hồng Châu</t>
  </si>
  <si>
    <t>UBND Phường Mỹ Hào</t>
  </si>
  <si>
    <t>UBND Phường Đường Hào</t>
  </si>
  <si>
    <t>UBND Phường Thượng Hồng</t>
  </si>
  <si>
    <t>UBND Phường Thái Bình</t>
  </si>
  <si>
    <t>UBND Phường Trần Lãm</t>
  </si>
  <si>
    <t>UBND Phường Trà Lý</t>
  </si>
  <si>
    <t>UBND Phường Vũ Phúc</t>
  </si>
  <si>
    <t>UBND Xã Mường Kim</t>
  </si>
  <si>
    <t>UBND Xã Khoen On</t>
  </si>
  <si>
    <t>UBND Xã Than Uyên</t>
  </si>
  <si>
    <t>UBND Xã Mường Than</t>
  </si>
  <si>
    <t>UBND Xã Pắc Ta</t>
  </si>
  <si>
    <t>UBND Xã Nậm Sỏ</t>
  </si>
  <si>
    <t>UBND Xã Tân Uyên</t>
  </si>
  <si>
    <t>UBND Xã Mường Khoa</t>
  </si>
  <si>
    <t>UBND Xã Bản Bo</t>
  </si>
  <si>
    <t>UBND Xã Bình Lư</t>
  </si>
  <si>
    <t>UBND Xã Tả Lèng</t>
  </si>
  <si>
    <t>UBND Xã Khun Há</t>
  </si>
  <si>
    <t>UBND Xã Sin Suối Hồ</t>
  </si>
  <si>
    <t>UBND Xã Phong Thổ</t>
  </si>
  <si>
    <t>UBND Xã Dào San</t>
  </si>
  <si>
    <t>UBND Xã Sì Lở Lầu</t>
  </si>
  <si>
    <t>UBND Xã Khổng Lào</t>
  </si>
  <si>
    <t>UBND Xã Tủa Sín Chải</t>
  </si>
  <si>
    <t>UBND Xã Sìn Hồ</t>
  </si>
  <si>
    <t>UBND Xã Hồng Thu</t>
  </si>
  <si>
    <t>UBND Xã Nậm Tăm</t>
  </si>
  <si>
    <t>UBND Xã Pu Sam Cáp</t>
  </si>
  <si>
    <t>UBND Xã Nậm Cuổi</t>
  </si>
  <si>
    <t>UBND Xã Nậm Mạ</t>
  </si>
  <si>
    <t>UBND Xã Nậm Hàng</t>
  </si>
  <si>
    <t>UBND Xã Mường Mô</t>
  </si>
  <si>
    <t>UBND Xã Hua Bum</t>
  </si>
  <si>
    <t>UBND Xã Pa Tần</t>
  </si>
  <si>
    <t>UBND Xã Bum Nưa</t>
  </si>
  <si>
    <t>UBND Xã Bum Tở</t>
  </si>
  <si>
    <t>UBND Xã Mường Tè</t>
  </si>
  <si>
    <t>UBND Xã Thu Lũm</t>
  </si>
  <si>
    <t>UBND Xã Pa ủ</t>
  </si>
  <si>
    <t>UBND Phường Tân Phong</t>
  </si>
  <si>
    <t>UBND Phường Đoàn Kết</t>
  </si>
  <si>
    <t>UBND Xã Mù Cả</t>
  </si>
  <si>
    <t>UBND Xã Tà Tổng</t>
  </si>
  <si>
    <t>UBND Xã Thất Khê</t>
  </si>
  <si>
    <t>UBND Xã Đoàn Kết</t>
  </si>
  <si>
    <t>UBND Xã Tràng Định</t>
  </si>
  <si>
    <t>UBND Xã Quốc Khánh</t>
  </si>
  <si>
    <t>UBND Xã Kháng Chiến</t>
  </si>
  <si>
    <t>UBND Xã Quốc Việt</t>
  </si>
  <si>
    <t>UBND Xã Bình Gia</t>
  </si>
  <si>
    <t>UBND Xã Tân Văn</t>
  </si>
  <si>
    <t>UBND Xã Hồng Phong</t>
  </si>
  <si>
    <t>UBND Xã Hoa Thám</t>
  </si>
  <si>
    <t>UBND Xã Quý Hòa</t>
  </si>
  <si>
    <t>UBND Xã Thiện Hòa</t>
  </si>
  <si>
    <t>UBND Xã Thiện Thuật</t>
  </si>
  <si>
    <t>UBND Xã Thiện Long</t>
  </si>
  <si>
    <t>UBND Xã Bắc Sơn</t>
  </si>
  <si>
    <t>UBND Xã Hưng Vũ</t>
  </si>
  <si>
    <t>UBND Xã Vũ Lăng</t>
  </si>
  <si>
    <t>UBND Xã Nhất Hòa</t>
  </si>
  <si>
    <t>UBND Xã Vũ Lễ</t>
  </si>
  <si>
    <t>UBND Xã Tân Tri</t>
  </si>
  <si>
    <t>UBND Xã Văn Quan</t>
  </si>
  <si>
    <t>UBND Xã Điềm He</t>
  </si>
  <si>
    <t>UBND Xã Yên Phúc</t>
  </si>
  <si>
    <t>UBND Xã Tân Đoàn</t>
  </si>
  <si>
    <t>UBND Xã Khánh Khê</t>
  </si>
  <si>
    <t>UBND Xã Na Sầm</t>
  </si>
  <si>
    <t>UBND Xã Hoàng Văn Thụ</t>
  </si>
  <si>
    <t>UBND Xã Thụy Hùng</t>
  </si>
  <si>
    <t>UBND Xã Văn Lãng</t>
  </si>
  <si>
    <t>Chi cục Thuế khu vực XI</t>
  </si>
  <si>
    <t>Chi cục Thuế khu vực XII</t>
  </si>
  <si>
    <t>Chi cục Thuế khu vực XIII</t>
  </si>
  <si>
    <t>Chi cục Thuế khu vực XIV</t>
  </si>
  <si>
    <t>Chi cục Thuế khu vực XV</t>
  </si>
  <si>
    <t>Chi cục Thuế khu vực XVI</t>
  </si>
  <si>
    <t>Chi cục Thuế khu vực XVII</t>
  </si>
  <si>
    <t>Chi cục Thuế khu vực XVIII</t>
  </si>
  <si>
    <t>Chi cục Thuế khu vực XIX</t>
  </si>
  <si>
    <t>Chi cục Thuế khu vực XX</t>
  </si>
  <si>
    <t>Bảo hiểm xã hội thành phố Hà Nội</t>
  </si>
  <si>
    <t>Bảo hiểm xã hội Thành phố Hồ Chí Minh</t>
  </si>
  <si>
    <t>Bảo hiểm xã hội thành phố Hải Phòng</t>
  </si>
  <si>
    <t>UBND Xã Hội Hoan</t>
  </si>
  <si>
    <t>UBND Xã Lộc Bình</t>
  </si>
  <si>
    <t>UBND Xã Mẫu Sơn</t>
  </si>
  <si>
    <t>UBND Xã Na Dương</t>
  </si>
  <si>
    <t>UBND Xã Lợi Bác</t>
  </si>
  <si>
    <t>UBND Xã Khuất Xá</t>
  </si>
  <si>
    <t>UBND Xã Đình Lập</t>
  </si>
  <si>
    <t>UBND Xã Thái Bình</t>
  </si>
  <si>
    <t>UBND Xã Châu Sơn</t>
  </si>
  <si>
    <t>UBND Xã Kiên Mộc</t>
  </si>
  <si>
    <t>UBND Xã Hữu Lũng</t>
  </si>
  <si>
    <t>UBND Xã Tuấn Sơn</t>
  </si>
  <si>
    <t>UBND Xã Vân Nham</t>
  </si>
  <si>
    <t>UBND Xã Thiện Tân</t>
  </si>
  <si>
    <t>UBND Xã Hữu Liên</t>
  </si>
  <si>
    <t>UBND Xã Cai Kinh</t>
  </si>
  <si>
    <t>UBND Xã Trần Thương</t>
  </si>
  <si>
    <t>UBND Xã Nhân Hà</t>
  </si>
  <si>
    <t>UBND Xã Nam Lý</t>
  </si>
  <si>
    <t>UBND Xã Nam Trực</t>
  </si>
  <si>
    <t>UBND Xã Nam Minh</t>
  </si>
  <si>
    <t>UBND Xã Nam Đồng</t>
  </si>
  <si>
    <t>UBND Xã Nam Ninh</t>
  </si>
  <si>
    <t>UBND Xã Nam Hồng</t>
  </si>
  <si>
    <t>UBND Xã Minh Tân</t>
  </si>
  <si>
    <t>UBND Xã Hiển Khánh</t>
  </si>
  <si>
    <t>UBND Xã Vụ Bản</t>
  </si>
  <si>
    <t>UBND Xã ý Yên</t>
  </si>
  <si>
    <t>UBND Xã Yên Đồng</t>
  </si>
  <si>
    <t>UBND Xã Yên Cường</t>
  </si>
  <si>
    <t>UBND Xã Vũ Dương</t>
  </si>
  <si>
    <t>UBND Xã Phong Doanh</t>
  </si>
  <si>
    <t>UBND Xã Cổ Lễ</t>
  </si>
  <si>
    <t>UBND Xã Cát Thành</t>
  </si>
  <si>
    <t>UBND Xã Trực Ninh</t>
  </si>
  <si>
    <t>UBND Xã Minh Thái</t>
  </si>
  <si>
    <t>UBND Xã Ninh Cường</t>
  </si>
  <si>
    <t>UBND Xã Xuân Trường</t>
  </si>
  <si>
    <t>UBND Xã Xuân Hưng</t>
  </si>
  <si>
    <t>UBND Xã Xuân Giang</t>
  </si>
  <si>
    <t>UBND Xã Xuân Hồng</t>
  </si>
  <si>
    <t>UBND Xã Hải Hậu</t>
  </si>
  <si>
    <t>UBND Xã Hải Anh</t>
  </si>
  <si>
    <t>UBND Xã Hải Tiến</t>
  </si>
  <si>
    <t>UBND Xã Hải An</t>
  </si>
  <si>
    <t>UBND Xã Hải Quang</t>
  </si>
  <si>
    <t>Bảo hiểm xã hội thành phố Đà Nẵng</t>
  </si>
  <si>
    <t>Bảo hiểm xã hội thành phố Cần Thơ</t>
  </si>
  <si>
    <t>Bảo hiểm xã hội thành phố Huế</t>
  </si>
  <si>
    <t>Bảo hiểm xã hội tỉnh An Giang</t>
  </si>
  <si>
    <t>UBND Xã Hải Xuân</t>
  </si>
  <si>
    <t>UBND Xã Hải Thịnh</t>
  </si>
  <si>
    <t>UBND Xã Giao Minh</t>
  </si>
  <si>
    <t>UBND Xã Giao Hòa</t>
  </si>
  <si>
    <t>UBND Xã Giao Thủy</t>
  </si>
  <si>
    <t>UBND Xã Giao Phúc</t>
  </si>
  <si>
    <t>UBND Xã Giao Hưng</t>
  </si>
  <si>
    <t>UBND Xã Giao Bình</t>
  </si>
  <si>
    <t>UBND Xã Giao Ninh</t>
  </si>
  <si>
    <t>UBND Xã Đồng Thịnh</t>
  </si>
  <si>
    <t>UBND Xã Nghĩa Sơn</t>
  </si>
  <si>
    <t>UBND Xã Quỹ Nhất</t>
  </si>
  <si>
    <t>UBND Xã Rạng Đông</t>
  </si>
  <si>
    <t>UBND Xã Gia Viễn</t>
  </si>
  <si>
    <t>UBND Xã Đại Hoàng</t>
  </si>
  <si>
    <t>UBND Xã Gia Hưng</t>
  </si>
  <si>
    <t>UBND Xã Gia Phong</t>
  </si>
  <si>
    <t>UBND Xã Gia Vân</t>
  </si>
  <si>
    <t>UBND Xã Gia Trấn</t>
  </si>
  <si>
    <t>UBND Xã Nho Quan</t>
  </si>
  <si>
    <t>UBND Xã Gia Tường</t>
  </si>
  <si>
    <t>UBND Xã Phú Sơn</t>
  </si>
  <si>
    <t>UBND Xã Cúc Phương</t>
  </si>
  <si>
    <t>UBND Xã Phú Long</t>
  </si>
  <si>
    <t>UBND Xã Yên Khánh</t>
  </si>
  <si>
    <t>UBND Xã Khánh Nhạc</t>
  </si>
  <si>
    <t>UBND Xã Khánh Thiện</t>
  </si>
  <si>
    <t>UBND Xã Khánh Hội</t>
  </si>
  <si>
    <t>UBND Xã Khánh Trung</t>
  </si>
  <si>
    <t>UBND Xã Yên Mô</t>
  </si>
  <si>
    <t>UBND Xã Yên Từ</t>
  </si>
  <si>
    <t>UBND Xã Yên Mạc</t>
  </si>
  <si>
    <t>UBND Xã Đồng Thái</t>
  </si>
  <si>
    <t>UBND Xã Chất Bình</t>
  </si>
  <si>
    <t>UBND Xã Quang Thiện</t>
  </si>
  <si>
    <t>UBND Xã Phát Diệm</t>
  </si>
  <si>
    <t>UBND Xã Lai Thành</t>
  </si>
  <si>
    <t>UBND Xã Kim Đông</t>
  </si>
  <si>
    <t>UBND Phường Duy Tiên</t>
  </si>
  <si>
    <t>UBND Phường Duy Tân</t>
  </si>
  <si>
    <t>UBND Phường Đồng Văn</t>
  </si>
  <si>
    <t>UBND Phường Duy Hà</t>
  </si>
  <si>
    <t>UBND Phường Tiên Sơn</t>
  </si>
  <si>
    <t>UBND Phường Lê Hồ</t>
  </si>
  <si>
    <t>UBND Phường Nguyễn úy</t>
  </si>
  <si>
    <t>UBND Phường Lý Thường Kiệt</t>
  </si>
  <si>
    <t>UBND Phường Kim Thanh</t>
  </si>
  <si>
    <t>UBND Phường Tam Chúc</t>
  </si>
  <si>
    <t>UBND Phường Kim Bảng</t>
  </si>
  <si>
    <t>UBND Phường Hà Nam</t>
  </si>
  <si>
    <t>UBND Phường Phù Vân</t>
  </si>
  <si>
    <t>UBND Phường Châu Sơn</t>
  </si>
  <si>
    <t>UBND Phường Phủ Lý</t>
  </si>
  <si>
    <t>UBND Phường Liêm Tuyền</t>
  </si>
  <si>
    <t>UBND Phường Nam Định</t>
  </si>
  <si>
    <t>UBND Phường Thiên Trường</t>
  </si>
  <si>
    <t>UBND Phường Đông A</t>
  </si>
  <si>
    <t>UBND Phường Vị Khê</t>
  </si>
  <si>
    <t>UBND Phường Thành Nam</t>
  </si>
  <si>
    <t>UBND Phường Trường Thi</t>
  </si>
  <si>
    <t>UBND Phường Hồng Quang</t>
  </si>
  <si>
    <t>UBND Phường Mỹ Lộc</t>
  </si>
  <si>
    <t>UBND Phường Tây Hoa Lư</t>
  </si>
  <si>
    <t>UBND Phường Hoa Lư</t>
  </si>
  <si>
    <t>UBND Phường Nam Hoa Lư</t>
  </si>
  <si>
    <t>UBND Phường Đông Hoa Lư</t>
  </si>
  <si>
    <t>UBND Phường Tam Điệp</t>
  </si>
  <si>
    <t>UBND Phường Yên Sơn</t>
  </si>
  <si>
    <t>UBND Phường Trung Sơn</t>
  </si>
  <si>
    <t>UBND Phường Yên Thắng</t>
  </si>
  <si>
    <t>UBND Xã Quảng La</t>
  </si>
  <si>
    <t>Bảo hiểm xã hội tỉnh Bắc Ninh</t>
  </si>
  <si>
    <t>Bảo hiểm xã hội tỉnh Cao Bằng</t>
  </si>
  <si>
    <t>Bảo hiểm xã hội tỉnh Cà Mau</t>
  </si>
  <si>
    <t>Bảo hiểm xã hội tỉnh Đắk Lắk</t>
  </si>
  <si>
    <t>Bảo hiểm xã hội tỉnh Đồng Nai</t>
  </si>
  <si>
    <t>Bảo hiểm xã hội tỉnh Đồng Tháp</t>
  </si>
  <si>
    <t>Bảo hiểm xã hội tỉnh Điện Biên</t>
  </si>
  <si>
    <t>Bảo hiểm xã hội tỉnh Gia Lai</t>
  </si>
  <si>
    <t>UBND Xã Hải Hòa</t>
  </si>
  <si>
    <t>UBND Xã Tiên Yên</t>
  </si>
  <si>
    <t>UBND Xã Điền Xá</t>
  </si>
  <si>
    <t>UBND Xã Đông Ngũ</t>
  </si>
  <si>
    <t>UBND Xã Hải Lạng</t>
  </si>
  <si>
    <t>UBND Xã Lương Minh</t>
  </si>
  <si>
    <t>UBND Xã Ba Chẽ</t>
  </si>
  <si>
    <t>UBND Xã Quảng Tân</t>
  </si>
  <si>
    <t>UBND Xã Đầm Hà</t>
  </si>
  <si>
    <t>UBND Xã Quảng Hà</t>
  </si>
  <si>
    <t>UBND Xã Đường Hoa</t>
  </si>
  <si>
    <t>UBND Xã Quảng Đức</t>
  </si>
  <si>
    <t>UBND Xã Hoành Mô</t>
  </si>
  <si>
    <t>UBND Xã Lục Hồn</t>
  </si>
  <si>
    <t>UBND Xã Bình Liêu</t>
  </si>
  <si>
    <t>UBND Xã Hải Sơn</t>
  </si>
  <si>
    <t>UBND Xã Hải Ninh</t>
  </si>
  <si>
    <t>UBND Xã Vĩnh Thực</t>
  </si>
  <si>
    <t>UBND Phường An Sinh</t>
  </si>
  <si>
    <t>UBND Phường Đông Triều</t>
  </si>
  <si>
    <t>UBND Phường Bình Khê</t>
  </si>
  <si>
    <t>UBND Phường Mạo Khê</t>
  </si>
  <si>
    <t>UBND Phường Hoàng Quế</t>
  </si>
  <si>
    <t>UBND Phường Yên Tử</t>
  </si>
  <si>
    <t>UBND Phường Vàng Danh</t>
  </si>
  <si>
    <t>UBND Phường Uông Bí</t>
  </si>
  <si>
    <t>UBND Phường Đông Mai</t>
  </si>
  <si>
    <t>UBND Phường Hiệp Hòa</t>
  </si>
  <si>
    <t>UBND Phường Quảng Yên</t>
  </si>
  <si>
    <t>UBND Phường Hà An</t>
  </si>
  <si>
    <t>UBND Phường Phong Cốc</t>
  </si>
  <si>
    <t>UBND Phường Liên Hòa</t>
  </si>
  <si>
    <t>UBND Phường Tuần Châu</t>
  </si>
  <si>
    <t>UBND Phường Bãi Cháy</t>
  </si>
  <si>
    <t>UBND Phường Hà Tu</t>
  </si>
  <si>
    <t>UBND Phường Hà Lầm</t>
  </si>
  <si>
    <t>UBND Phường Cao Xanh</t>
  </si>
  <si>
    <t>UBND Phường Hồng Gai</t>
  </si>
  <si>
    <t>UBND Phường Hạ Long</t>
  </si>
  <si>
    <t>UBND Phường Hoành Bồ</t>
  </si>
  <si>
    <t>UBND Phường Mông Dương</t>
  </si>
  <si>
    <t>UBND Phường Quang Hanh</t>
  </si>
  <si>
    <t>UBND Phường Cẩm Phả</t>
  </si>
  <si>
    <t>UBND Phường Cửa Ông</t>
  </si>
  <si>
    <t>UBND Phường Móng Cái 1</t>
  </si>
  <si>
    <t>UBND Phường Móng Cái 2</t>
  </si>
  <si>
    <t>UBND Phường Móng Cái 3</t>
  </si>
  <si>
    <t>UBND Đặc khu Vân Đồn</t>
  </si>
  <si>
    <t>UBND Đặc khu Cô Tô</t>
  </si>
  <si>
    <t>UBND Xã Cái Chiên</t>
  </si>
  <si>
    <t>UBND Xã Lóng Sập</t>
  </si>
  <si>
    <t>UBND Xã Chiềng Sơn</t>
  </si>
  <si>
    <t>UBND Xã Vân Hồ</t>
  </si>
  <si>
    <t>UBND Xã Song Khủa</t>
  </si>
  <si>
    <t>UBND Xã Tô Múa</t>
  </si>
  <si>
    <t>UBND Xã Xuân Nha</t>
  </si>
  <si>
    <t>UBND Xã Quỳnh Nhai</t>
  </si>
  <si>
    <t>UBND Xã Mường Chiên</t>
  </si>
  <si>
    <t>UBND Xã Mường Giôn</t>
  </si>
  <si>
    <t>UBND Xã Mường Sại</t>
  </si>
  <si>
    <t>UBND Xã Thuận Châu</t>
  </si>
  <si>
    <t>UBND Xã Chiềng La</t>
  </si>
  <si>
    <t>UBND Xã Nậm Lầu</t>
  </si>
  <si>
    <t>UBND Xã Muổi Nọi</t>
  </si>
  <si>
    <t>UBND Xã Mường Khiêng</t>
  </si>
  <si>
    <t>UBND Xã Co Mạ</t>
  </si>
  <si>
    <t>UBND Xã Bình Thuận</t>
  </si>
  <si>
    <t>UBND Xã Mường é</t>
  </si>
  <si>
    <t>UBND Xã Long Hẹ</t>
  </si>
  <si>
    <t>UBND Xã Mường La</t>
  </si>
  <si>
    <t>UBND Xã Chiềng Lao</t>
  </si>
  <si>
    <t>UBND Xã Mường Bú</t>
  </si>
  <si>
    <t>UBND Xã Chiềng Hoa</t>
  </si>
  <si>
    <t>UBND Xã Bắc Yên</t>
  </si>
  <si>
    <t>UBND Xã Tà Xùa</t>
  </si>
  <si>
    <t>UBND Xã Tạ Khoa</t>
  </si>
  <si>
    <t>UBND Xã Xím Vàng</t>
  </si>
  <si>
    <t>UBND Xã Pắc Ngà</t>
  </si>
  <si>
    <t>Bảo hiểm xã hội tỉnh Hà Tĩnh</t>
  </si>
  <si>
    <t>Bảo hiểm xã hội tỉnh Hưng Yên</t>
  </si>
  <si>
    <t>Bảo hiểm xã hội tỉnh Khánh Hòa</t>
  </si>
  <si>
    <t>Bảo hiểm xã hội tỉnh Lai Châu</t>
  </si>
  <si>
    <t>Bảo hiểm xã hội tỉnh Lạng Sơn</t>
  </si>
  <si>
    <t>Bảo hiểm xã hội tỉnh Lào Cai</t>
  </si>
  <si>
    <t>UBND Xã Chiềng Sại</t>
  </si>
  <si>
    <t>UBND Xã Phù Yên</t>
  </si>
  <si>
    <t>UBND Xã Gia Phù</t>
  </si>
  <si>
    <t>UBND Xã Tường Hạ</t>
  </si>
  <si>
    <t>UBND Xã Mường Cơi</t>
  </si>
  <si>
    <t>UBND Xã Mường Bang</t>
  </si>
  <si>
    <t>UBND Xã Tân Phong</t>
  </si>
  <si>
    <t>UBND Xã Kim Bon</t>
  </si>
  <si>
    <t>UBND Xã Yên Châu</t>
  </si>
  <si>
    <t>UBND Xã Chiềng Hặc</t>
  </si>
  <si>
    <t>UBND Xã Lóng Phiêng</t>
  </si>
  <si>
    <t>UBND Xã Chiềng Mai</t>
  </si>
  <si>
    <t>UBND Xã Mai Sơn</t>
  </si>
  <si>
    <t>UBND Xã Phiêng Pằn</t>
  </si>
  <si>
    <t>UBND Xã Chiềng Mung</t>
  </si>
  <si>
    <t>UBND Xã Phiêng Cằm</t>
  </si>
  <si>
    <t>UBND Xã Mường Chanh</t>
  </si>
  <si>
    <t>UBND Xã Tà Hộc</t>
  </si>
  <si>
    <t>UBND Xã Chiềng Sung</t>
  </si>
  <si>
    <t>UBND Xã Bó Sinh</t>
  </si>
  <si>
    <t>UBND Xã Chiềng Khương</t>
  </si>
  <si>
    <t>UBND Xã Mường Hung</t>
  </si>
  <si>
    <t>UBND Xã Chiềng Khoong</t>
  </si>
  <si>
    <t>UBND Xã Mường Lầm</t>
  </si>
  <si>
    <t>UBND Xã Nậm Ty</t>
  </si>
  <si>
    <t>UBND Xã Sông Mã</t>
  </si>
  <si>
    <t>UBND Xã Huổi Một</t>
  </si>
  <si>
    <t>UBND Xã Chiềng Sơ</t>
  </si>
  <si>
    <t>UBND Xã Sốp Cộp</t>
  </si>
  <si>
    <t>UBND Xã Púng Bánh</t>
  </si>
  <si>
    <t>UBND Phường Tô Hiệu</t>
  </si>
  <si>
    <t>UBND Phường Chiềng An</t>
  </si>
  <si>
    <t>UBND Phường Chiềng Cơi</t>
  </si>
  <si>
    <t>UBND Phường Chiềng Sinh</t>
  </si>
  <si>
    <t>UBND Phường Mộc Châu</t>
  </si>
  <si>
    <t>UBND Phường Mộc Sơn</t>
  </si>
  <si>
    <t>UBND Phường Vân Sơn</t>
  </si>
  <si>
    <t>UBND Phường Thảo Nguyên</t>
  </si>
  <si>
    <t>UBND Xã Mường Lạn</t>
  </si>
  <si>
    <t>UBND Xã Phiêng Khoài</t>
  </si>
  <si>
    <t>UBND Xã Suối Tọ</t>
  </si>
  <si>
    <t>UBND Xã Ngọc Chiến</t>
  </si>
  <si>
    <t>UBND Xã Mường Bám</t>
  </si>
  <si>
    <t>UBND Xã Mường Lèo</t>
  </si>
  <si>
    <t>UBND Xã Lạc Dương</t>
  </si>
  <si>
    <t>UBND Xã Đơn Dương</t>
  </si>
  <si>
    <t>UBND Xã Ka Đô</t>
  </si>
  <si>
    <t>UBND Xã Quảng Lập</t>
  </si>
  <si>
    <t>UBND Xã D'Ran</t>
  </si>
  <si>
    <t>UBND Xã Hiệp Thạnh</t>
  </si>
  <si>
    <t>UBND Xã Đức Trọng</t>
  </si>
  <si>
    <t>UBND Xã Tà Hine</t>
  </si>
  <si>
    <t>UBND Xã Tà Năng</t>
  </si>
  <si>
    <t>UBND Xã Đinh Văn Lâm Hà</t>
  </si>
  <si>
    <t>UBND Xã Phú Sơn Lâm Hà</t>
  </si>
  <si>
    <t>UBND Xã Nam Hà Lâm Hà</t>
  </si>
  <si>
    <t>UBND Xã Nam Ban Lâm Hà</t>
  </si>
  <si>
    <t>UBND Xã Tân Hà Lâm Hà</t>
  </si>
  <si>
    <t>UBND Xã Phúc Thọ Lâm Hà</t>
  </si>
  <si>
    <t>UBND Xã Đam Rông 1</t>
  </si>
  <si>
    <t>UBND Xã Đam Rông 2</t>
  </si>
  <si>
    <t>UBND Xã Đam Rông 3</t>
  </si>
  <si>
    <t>UBND Xã Đam Rông 4</t>
  </si>
  <si>
    <t>UBND Xã Di Linh</t>
  </si>
  <si>
    <t>UBND Xã Hòa Ninh</t>
  </si>
  <si>
    <t>UBND Xã Hòa Bắc</t>
  </si>
  <si>
    <t>UBND Xã Đinh Trang Thượng</t>
  </si>
  <si>
    <t>UBND Xã Bảo Thuận</t>
  </si>
  <si>
    <t>UBND Xã Sơn Điền</t>
  </si>
  <si>
    <t>UBND Xã Gia Hiệp</t>
  </si>
  <si>
    <t>UBND Xã Bảo Lâm 1</t>
  </si>
  <si>
    <t>UBND Xã Bảo Lâm 2</t>
  </si>
  <si>
    <t>UBND Xã Bảo Lâm 3</t>
  </si>
  <si>
    <t>UBND Xã Bảo Lâm 4</t>
  </si>
  <si>
    <t>UBND Xã Bảo Lâm 5</t>
  </si>
  <si>
    <t>UBND Xã Đạ Huoai</t>
  </si>
  <si>
    <t>UBND Xã Đạ Huoai 2</t>
  </si>
  <si>
    <t>UBND Xã Đạ Tẻh</t>
  </si>
  <si>
    <t>UBND Xã Đạ Tẻh 2</t>
  </si>
  <si>
    <t>Bảo hiểm xã hội tỉnh Lâm Đồng</t>
  </si>
  <si>
    <t>Bảo hiểm xã hội tỉnh Ninh Bình</t>
  </si>
  <si>
    <t>Bảo hiểm xã hội tỉnh Nghệ An</t>
  </si>
  <si>
    <t>Bảo hiểm xã hội tỉnh Phú Thọ</t>
  </si>
  <si>
    <t>Bảo hiểm xã hội tỉnh Quảng Ngãi</t>
  </si>
  <si>
    <t>Bảo hiểm xã hội tỉnh Quảng Ninh</t>
  </si>
  <si>
    <t>Bảo hiểm xã hội tỉnh Quảng Trị</t>
  </si>
  <si>
    <t>Bảo hiểm xã hội tỉnh Sơn La</t>
  </si>
  <si>
    <t>Bảo hiểm xã hội tỉnh Tây Ninh</t>
  </si>
  <si>
    <t>Bảo hiểm xã hội tỉnh Thanh Hóa</t>
  </si>
  <si>
    <t>UBND Xã Đạ Tẻh 3</t>
  </si>
  <si>
    <t>UBND Xã Cát Tiên</t>
  </si>
  <si>
    <t>UBND Xã Cát Tiên 2</t>
  </si>
  <si>
    <t>UBND Xã Cát Tiên 3</t>
  </si>
  <si>
    <t>UBND Xã Vĩnh Hảo</t>
  </si>
  <si>
    <t>UBND Xã Liên Hương</t>
  </si>
  <si>
    <t>UBND Xã Tuy Phong</t>
  </si>
  <si>
    <t>UBND Xã Phan Rí Cửa</t>
  </si>
  <si>
    <t>UBND Xã Bắc Bình</t>
  </si>
  <si>
    <t>UBND Xã Hồng Thái</t>
  </si>
  <si>
    <t>UBND Xã Phan Sơn</t>
  </si>
  <si>
    <t>UBND Xã Sông Lũy</t>
  </si>
  <si>
    <t>UBND Xã Hòa Thắng</t>
  </si>
  <si>
    <t>UBND Xã La Dạ</t>
  </si>
  <si>
    <t>UBND Xã Hàm Thuận Bắc</t>
  </si>
  <si>
    <t>UBND Xã Hàm Thuận</t>
  </si>
  <si>
    <t>UBND Xã Hàm Liêm</t>
  </si>
  <si>
    <t>UBND Xã Tuyên Quang</t>
  </si>
  <si>
    <t>UBND Xã Hàm Thạnh</t>
  </si>
  <si>
    <t>UBND Xã Hàm Kiệm</t>
  </si>
  <si>
    <t>UBND Xã Hàm Thuận Nam</t>
  </si>
  <si>
    <t>UBND Xã Hàm Tân</t>
  </si>
  <si>
    <t>UBND Xã Sơn Mỹ</t>
  </si>
  <si>
    <t>UBND Xã Tân Hải</t>
  </si>
  <si>
    <t>UBND Xã Nghị Đức</t>
  </si>
  <si>
    <t>UBND Xã Bắc Ruộng</t>
  </si>
  <si>
    <t>UBND Xã Đồng Kho</t>
  </si>
  <si>
    <t>UBND Xã Tánh Linh</t>
  </si>
  <si>
    <t>UBND Xã Suối Kiết</t>
  </si>
  <si>
    <t>UBND Xã Nam Thành</t>
  </si>
  <si>
    <t>UBND Xã Đức Linh</t>
  </si>
  <si>
    <t>UBND Xã Đắk Wil</t>
  </si>
  <si>
    <t>UBND Xã Nam Dong</t>
  </si>
  <si>
    <t>UBND Xã Cư Jút</t>
  </si>
  <si>
    <t>UBND Xã Đắk Mil</t>
  </si>
  <si>
    <t>UBND Xã Đắk Sắk</t>
  </si>
  <si>
    <t>UBND Xã Nam Đà</t>
  </si>
  <si>
    <t>UBND Xã Krông Nô</t>
  </si>
  <si>
    <t>UBND Xã Nâm Nung</t>
  </si>
  <si>
    <t>UBND Xã Quảng Phú</t>
  </si>
  <si>
    <t>UBND Xã Đắk Song</t>
  </si>
  <si>
    <t>UBND Xã Đức An</t>
  </si>
  <si>
    <t>UBND Xã Thuận Hạnh</t>
  </si>
  <si>
    <t>UBND Xã Tà Đùng</t>
  </si>
  <si>
    <t>UBND Xã Quảng Khê</t>
  </si>
  <si>
    <t>UBND Xã Tuy Đức</t>
  </si>
  <si>
    <t>UBND Xã Kiến Đức</t>
  </si>
  <si>
    <t>UBND Xã Nhân Cơ</t>
  </si>
  <si>
    <t>UBND Xã Quảng Tín</t>
  </si>
  <si>
    <t>UBND Phường Xuân Hương - Đà Lạt</t>
  </si>
  <si>
    <t>UBND Phường Cam Ly - Đà Lạt</t>
  </si>
  <si>
    <t>UBND Phường Lâm Viên - Đà Lạt</t>
  </si>
  <si>
    <t>UBND Phường Xuân Trường - Đà Lạt</t>
  </si>
  <si>
    <t>UBND Phường Lang Biang - Đà Lạt</t>
  </si>
  <si>
    <t>UBND Phường 1 Bảo Lộc</t>
  </si>
  <si>
    <t>UBND Phường 2 Bảo Lộc</t>
  </si>
  <si>
    <t>UBND Phường 3 Bảo Lộc</t>
  </si>
  <si>
    <t>UBND Phường B'Lao</t>
  </si>
  <si>
    <t>UBND Phường Hàm Thắng</t>
  </si>
  <si>
    <t>UBND Phường Bình Thuận</t>
  </si>
  <si>
    <t>UBND Phường Mũi Né</t>
  </si>
  <si>
    <t>UBND Phường Phú Thủy</t>
  </si>
  <si>
    <t>UBND Phường Phan Thiết</t>
  </si>
  <si>
    <t>UBND Phường Tiến Thành</t>
  </si>
  <si>
    <t>UBND Phường La Gi</t>
  </si>
  <si>
    <t>UBND Phường Phước Hội</t>
  </si>
  <si>
    <t>UBND Phường Bắc Gia Nghĩa</t>
  </si>
  <si>
    <t>UBND Phường Nam Gia Nghĩa</t>
  </si>
  <si>
    <t>Bảo hiểm xã hội tỉnh Thái Nguyên</t>
  </si>
  <si>
    <t>Bảo hiểm xã hội tỉnh Tuyên Quang</t>
  </si>
  <si>
    <t>Bảo hiểm xã hội tỉnh Vĩnh Long</t>
  </si>
  <si>
    <t>UBND Phường Đông Gia Nghĩa</t>
  </si>
  <si>
    <t>UBND Đặc khu Phú Quý</t>
  </si>
  <si>
    <t>UBND xã Quảng Hòa</t>
  </si>
  <si>
    <t>UBND Xã Quảng Sơn</t>
  </si>
  <si>
    <t>UBND Xã Quảng Trực</t>
  </si>
  <si>
    <t>UBND Xã Ninh Gia</t>
  </si>
  <si>
    <t>UBND Xã Đạ Huoai 3</t>
  </si>
  <si>
    <t>UBND Xã Quảng Lâm</t>
  </si>
  <si>
    <t>UBND Xã Nam Quang</t>
  </si>
  <si>
    <t>UBND Xã Lý Bôn</t>
  </si>
  <si>
    <t>UBND Xã Bảo Lâm</t>
  </si>
  <si>
    <t>UBND Xã Yên Thổ</t>
  </si>
  <si>
    <t>UBND Xã Sơn Lộ</t>
  </si>
  <si>
    <t>UBND Xã Bảo Lạc</t>
  </si>
  <si>
    <t>UBND Xã Cốc Pàng</t>
  </si>
  <si>
    <t>UBND Xã Cô Ba</t>
  </si>
  <si>
    <t>UBND Xã Khánh Xuân</t>
  </si>
  <si>
    <t>UBND Xã Huy Giáp</t>
  </si>
  <si>
    <t>UBND Xã Ca Thành</t>
  </si>
  <si>
    <t>UBND Xã Phan Thanh</t>
  </si>
  <si>
    <t>UBND Xã Tam Kim</t>
  </si>
  <si>
    <t>UBND Xã Nguyên Bình</t>
  </si>
  <si>
    <t>UBND Xã Tĩnh Túc</t>
  </si>
  <si>
    <t>UBND Xã Minh Tâm</t>
  </si>
  <si>
    <t>UBND Xã Thanh Long</t>
  </si>
  <si>
    <t>UBND Xã Cần Yên</t>
  </si>
  <si>
    <t>UBND Xã Thông Nông</t>
  </si>
  <si>
    <t>UBND Xã Trường Hà</t>
  </si>
  <si>
    <t>UBND Xã Hà Quảng</t>
  </si>
  <si>
    <t>UBND Xã Lũng Nặm</t>
  </si>
  <si>
    <t>UBND Xã Tổng Cọt</t>
  </si>
  <si>
    <t>UBND Xã Nam Tuấn</t>
  </si>
  <si>
    <t>UBND Xã Bạch Đằng</t>
  </si>
  <si>
    <t>UBND Xã Nguyễn Huệ</t>
  </si>
  <si>
    <t>UBND Xã Minh Khai</t>
  </si>
  <si>
    <t>UBND Xã Canh Tân</t>
  </si>
  <si>
    <t>UBND Xã Kim Đồng</t>
  </si>
  <si>
    <t>UBND Xã Thạch An</t>
  </si>
  <si>
    <t>UBND Xã Đông Khê</t>
  </si>
  <si>
    <t>UBND Xã Đức Long</t>
  </si>
  <si>
    <t>UBND Xã Phục Hòa</t>
  </si>
  <si>
    <t>UBND Xã Bế Văn Đàn</t>
  </si>
  <si>
    <t>UBND Xã Độc Lập</t>
  </si>
  <si>
    <t>UBND Xã Quảng Uyên</t>
  </si>
  <si>
    <t>UBND Xã Quang Hán</t>
  </si>
  <si>
    <t>UBND Xã Trà Lĩnh</t>
  </si>
  <si>
    <t>UBND Xã Đoài Dương</t>
  </si>
  <si>
    <t>UBND Xã Trùng Khánh</t>
  </si>
  <si>
    <t>UBND Xã Đàm Thủy</t>
  </si>
  <si>
    <t>UBND Xã Đình Phong</t>
  </si>
  <si>
    <t>UBND Xã Hạ Lang</t>
  </si>
  <si>
    <t>UBND Xã Lý Quốc</t>
  </si>
  <si>
    <t>UBND Xã Vinh Quý</t>
  </si>
  <si>
    <t>UBND Xã Quang Long</t>
  </si>
  <si>
    <t>UBND Phường Thục Phán</t>
  </si>
  <si>
    <t>UBND Phường Nùng Trí Cao</t>
  </si>
  <si>
    <t>UBND Phường Tân Giang</t>
  </si>
  <si>
    <t>UBND Xã Ea Drông</t>
  </si>
  <si>
    <t>UBND Xã Ea Súp</t>
  </si>
  <si>
    <t>UBND Xã Ea Rốk</t>
  </si>
  <si>
    <t>UBND Xã Ea Bung</t>
  </si>
  <si>
    <t>UBND Xã Ea Wer</t>
  </si>
  <si>
    <t>UBND Xã Ea Nuôl</t>
  </si>
  <si>
    <t>UBND Xã Ea Kiết</t>
  </si>
  <si>
    <t>UBND Xã Ea M'Droh</t>
  </si>
  <si>
    <t>UBND Xã Cuôr Đăng</t>
  </si>
  <si>
    <t>UBND Xã Cư M'gar</t>
  </si>
  <si>
    <t>UBND Xã Ea Tul</t>
  </si>
  <si>
    <t>UBND Xã Pơng Drang</t>
  </si>
  <si>
    <t>UBND Xã Krông Búk</t>
  </si>
  <si>
    <t>UBND Xã Cư Pơng</t>
  </si>
  <si>
    <t>UBND Xã Ea Khăl</t>
  </si>
  <si>
    <t>UBND Xã Ea Drăng</t>
  </si>
  <si>
    <t>UBND Xã Ea Wy</t>
  </si>
  <si>
    <t>UBND Xã Ea Hiao</t>
  </si>
  <si>
    <t>UBND Xã Krông Năng</t>
  </si>
  <si>
    <t>UBND Xã Dliê Ya</t>
  </si>
  <si>
    <t>UBND Xã Phú Xuân</t>
  </si>
  <si>
    <t>UBND Xã Krông Pắc</t>
  </si>
  <si>
    <t>UBND Xã Ea Knuếc</t>
  </si>
  <si>
    <t>UBND Xã Ea Phê</t>
  </si>
  <si>
    <t>UBND Xã Ea Kly</t>
  </si>
  <si>
    <t>UBND Xã Ea Kar</t>
  </si>
  <si>
    <t>UBND Xã Ea Ô</t>
  </si>
  <si>
    <t>UBND Xã Ea Knốp</t>
  </si>
  <si>
    <t>UBND Xã Cư Yang</t>
  </si>
  <si>
    <t>UBND Xã Ea Păl</t>
  </si>
  <si>
    <t>UBND Xã M'Drắk</t>
  </si>
  <si>
    <t>UBND Xã Ea Riêng</t>
  </si>
  <si>
    <t>UBND Xã Cư M'ta</t>
  </si>
  <si>
    <t>UBND Xã Krông á</t>
  </si>
  <si>
    <t>UBND Xã Cư Prao</t>
  </si>
  <si>
    <t>UBND Xã Hòa Sơn</t>
  </si>
  <si>
    <t>UBND Xã Dang Kang</t>
  </si>
  <si>
    <t>UBND Xã Krông Bông</t>
  </si>
  <si>
    <t>UBND Xã Yang Mao</t>
  </si>
  <si>
    <t>UBND Xã Cư Pui</t>
  </si>
  <si>
    <t>UBND Xã Liên Sơn Lắk</t>
  </si>
  <si>
    <t>UBND Xã Đắk Liêng</t>
  </si>
  <si>
    <t>UBND Xã Nam Ka</t>
  </si>
  <si>
    <t>UBND Xã Đắk Phơi</t>
  </si>
  <si>
    <t>UBND Xã Ea Ning</t>
  </si>
  <si>
    <t>UBND Xã Dray Bhăng</t>
  </si>
  <si>
    <t>UBND Xã Ea Ktur</t>
  </si>
  <si>
    <t>UBND Xã Krông Ana</t>
  </si>
  <si>
    <t>UBND Xã Dur Kmăl</t>
  </si>
  <si>
    <t>UBND Xã Ea Na</t>
  </si>
  <si>
    <t>UBND Xã Xuân Thọ</t>
  </si>
  <si>
    <t>UBND Xã Xuân Cảnh</t>
  </si>
  <si>
    <t>UBND Xã Hòa Xuân</t>
  </si>
  <si>
    <t>UBND Xã Tuy An Bắc</t>
  </si>
  <si>
    <t>UBND Xã Tuy An Đông</t>
  </si>
  <si>
    <t>UBND Xã Ô Loan</t>
  </si>
  <si>
    <t>UBND Xã Tuy An Nam</t>
  </si>
  <si>
    <t>UBND Xã Tuy An Tây</t>
  </si>
  <si>
    <t>UBND Xã Phú Hòa 1</t>
  </si>
  <si>
    <t>UBND Xã Phú Hòa 2</t>
  </si>
  <si>
    <t>UBND Xã Tây Hòa</t>
  </si>
  <si>
    <t>UBND Xã Hòa Thịnh</t>
  </si>
  <si>
    <t>UBND Xã Hòa Mỹ</t>
  </si>
  <si>
    <t>UBND Xã Sơn Thành</t>
  </si>
  <si>
    <t>UBND Xã Sơn Hòa</t>
  </si>
  <si>
    <t>UBND Xã Vân Hòa</t>
  </si>
  <si>
    <t>UBND Xã Suối Trai</t>
  </si>
  <si>
    <t>UBND Xã Ea Ly</t>
  </si>
  <si>
    <t>UBND Xã Ea Bá</t>
  </si>
  <si>
    <t>UBND Xã Đức Bình</t>
  </si>
  <si>
    <t>UBND Xã Sông Hinh</t>
  </si>
  <si>
    <t>UBND Xã Xuân Lãnh</t>
  </si>
  <si>
    <t>UBND Xã Phú Mỡ</t>
  </si>
  <si>
    <t>UBND Xã Xuân Phước</t>
  </si>
  <si>
    <t>UBND Xã Đồng Xuân</t>
  </si>
  <si>
    <t>UBND Phường Buôn Ma Thuột</t>
  </si>
  <si>
    <t>UBND Phường Tân Lập</t>
  </si>
  <si>
    <t>UBND Phường Thành Nhất</t>
  </si>
  <si>
    <t>UBND Phường Ea Kao</t>
  </si>
  <si>
    <t>UBND Phường Buôn Hồ</t>
  </si>
  <si>
    <t>UBND Phường Cư Bao</t>
  </si>
  <si>
    <t>UBND Phường Phú Yên</t>
  </si>
  <si>
    <t>UBND Phường Tuy Hòa</t>
  </si>
  <si>
    <t>UBND Phường Bình Kiến</t>
  </si>
  <si>
    <t>UBND Phường Xuân Đài</t>
  </si>
  <si>
    <t>UBND Phường Sông Cầu</t>
  </si>
  <si>
    <t>UBND Phường Hòa Hiệp</t>
  </si>
  <si>
    <t>UBND xã Ea H'Leo</t>
  </si>
  <si>
    <t>UBND XãEa Trang</t>
  </si>
  <si>
    <t>UBND XãIa Lốp</t>
  </si>
  <si>
    <t>UBND XãIa Rvê</t>
  </si>
  <si>
    <t>UBND XãKrông Nô</t>
  </si>
  <si>
    <t>UBND XãVụ Bổn</t>
  </si>
  <si>
    <t>UBND Xã Buôn Đôn</t>
  </si>
  <si>
    <t>UBND Xã Mường Nhé</t>
  </si>
  <si>
    <t>UBND Xã Sín Thầu</t>
  </si>
  <si>
    <t>UBND Xã Mường Toong</t>
  </si>
  <si>
    <t>UBND Xã Nậm Kè</t>
  </si>
  <si>
    <t>UBND Xã Nà Hỳ</t>
  </si>
  <si>
    <t>UBND Xã Mường Chà</t>
  </si>
  <si>
    <t>UBND Xã Nà Bủng</t>
  </si>
  <si>
    <t>UBND Xã Chà Tở</t>
  </si>
  <si>
    <t>UBND Xã Si Pa Phìn</t>
  </si>
  <si>
    <t>UBND Xã Na Sang</t>
  </si>
  <si>
    <t>UBND Xã Mường Tùng</t>
  </si>
  <si>
    <t>UBND Xã Pa Ham</t>
  </si>
  <si>
    <t>UBND Xã Nậm Nèn</t>
  </si>
  <si>
    <t>UBND Xã Mường Pồn</t>
  </si>
  <si>
    <t>UBND Xã Tủa Chùa</t>
  </si>
  <si>
    <t>UBND Xã Sín Chải</t>
  </si>
  <si>
    <t>UBND Xã Sính Phình</t>
  </si>
  <si>
    <t>UBND Xã Tủa Thàng</t>
  </si>
  <si>
    <t>UBND Xã Sáng Nhè</t>
  </si>
  <si>
    <t>UBND Xã Tuần Giáo</t>
  </si>
  <si>
    <t>UBND Xã Quài Tở</t>
  </si>
  <si>
    <t>UBND Xã Mường Mùn</t>
  </si>
  <si>
    <t>UBND Xã Pú Nhung</t>
  </si>
  <si>
    <t>UBND Xã Chiềng Sinh</t>
  </si>
  <si>
    <t>UBND Xã Mường ảng</t>
  </si>
  <si>
    <t>UBND Xã Nà Tấu</t>
  </si>
  <si>
    <t>UBND Xã Búng Lao</t>
  </si>
  <si>
    <t>UBND Xã Mường Phăng</t>
  </si>
  <si>
    <t>UBND Xã Thanh Nưa</t>
  </si>
  <si>
    <t>UBND Xã Thanh Yên</t>
  </si>
  <si>
    <t>UBND Xã Sam Mứn</t>
  </si>
  <si>
    <t>UBND Xã Núa Ngam</t>
  </si>
  <si>
    <t>UBND Xã Mường Nhà</t>
  </si>
  <si>
    <t>UBND Xã Na Son</t>
  </si>
  <si>
    <t>UBND Xã Xa Dung</t>
  </si>
  <si>
    <t>UBND Xã Pu Nhi</t>
  </si>
  <si>
    <t>UBND Xã Mường Luân</t>
  </si>
  <si>
    <t>UBND Xã Tìa Dình</t>
  </si>
  <si>
    <t>UBND Xã Phình Giàng</t>
  </si>
  <si>
    <t>UBND Phường Mường Lay</t>
  </si>
  <si>
    <t>UBND Phường Điện Biên Phủ</t>
  </si>
  <si>
    <t>UBND Phường Mường Thanh</t>
  </si>
  <si>
    <t>UBND Xã Thượng Lâm</t>
  </si>
  <si>
    <t>UBND Xã Lâm Bình</t>
  </si>
  <si>
    <t>UBND Xã Minh Quang</t>
  </si>
  <si>
    <t>UBND Xã Côn Lôn</t>
  </si>
  <si>
    <t>UBND Xã Yên Hoa</t>
  </si>
  <si>
    <t>UBND Xã Thượng Nông</t>
  </si>
  <si>
    <t>UBND Xã Nà Hang</t>
  </si>
  <si>
    <t>UBND Xã Chiêm Hóa</t>
  </si>
  <si>
    <t>UBND Xã Kiên Đài</t>
  </si>
  <si>
    <t>UBND Xã Tri Phú</t>
  </si>
  <si>
    <t>UBND Xã Kim Bình</t>
  </si>
  <si>
    <t>UBND Xã Yên Nguyên</t>
  </si>
  <si>
    <t>UBND Xã Bạch Xa</t>
  </si>
  <si>
    <t>UBND Xã Phù Lưu</t>
  </si>
  <si>
    <t>UBND Xã Hàm Yên</t>
  </si>
  <si>
    <t>UBND Xã Bình Xa</t>
  </si>
  <si>
    <t>UBND Xã Thái Sơn</t>
  </si>
  <si>
    <t>UBND Xã Hùng Lợi</t>
  </si>
  <si>
    <t>UBND Xã Xuân Vân</t>
  </si>
  <si>
    <t>UBND Xã Lực Hành</t>
  </si>
  <si>
    <t>UBND Xã Nhữ Khê</t>
  </si>
  <si>
    <t>UBND Xã Tân Trào</t>
  </si>
  <si>
    <t>UBND Xã Minh Thanh</t>
  </si>
  <si>
    <t>UBND Xã Sơn Dương</t>
  </si>
  <si>
    <t>UBND Xã Bình Ca</t>
  </si>
  <si>
    <t>UBND Xã Trường Sinh</t>
  </si>
  <si>
    <t>UBND Xã Đông Thọ</t>
  </si>
  <si>
    <t>UBND Xã Lũng Cú</t>
  </si>
  <si>
    <t>UBND Xã Đồng Văn</t>
  </si>
  <si>
    <t>UBND Xã Sà Phìn</t>
  </si>
  <si>
    <t>UBND Xã Phố Bảng</t>
  </si>
  <si>
    <t>UBND Xã Lũng Phìn</t>
  </si>
  <si>
    <t>UBND Xã Sủng Máng</t>
  </si>
  <si>
    <t>UBND Xã Sơn Vĩ</t>
  </si>
  <si>
    <t>UBND Xã Mèo Vạc</t>
  </si>
  <si>
    <t>UBND Xã Khâu Vai</t>
  </si>
  <si>
    <t>UBND Xã Niêm Sơn</t>
  </si>
  <si>
    <t>UBND Xã Tát Ngà</t>
  </si>
  <si>
    <t>UBND Xã Thắng Mố</t>
  </si>
  <si>
    <t>UBND Xã Bạch Đích</t>
  </si>
  <si>
    <t>UBND Xã Yên Minh</t>
  </si>
  <si>
    <t>UBND Xã Mậu Duệ</t>
  </si>
  <si>
    <t>UBND Xã Du Già</t>
  </si>
  <si>
    <t>UBND Xã Đường Thượng</t>
  </si>
  <si>
    <t>UBND Xã Lùng Tám</t>
  </si>
  <si>
    <t>UBND Xã Cán Tỷ</t>
  </si>
  <si>
    <t>UBND Xã Nghĩa Thuận</t>
  </si>
  <si>
    <t>UBND Xã Quản Bạ</t>
  </si>
  <si>
    <t>UBND Xã Tùng Vài</t>
  </si>
  <si>
    <t>UBND Xã Đường Hồng</t>
  </si>
  <si>
    <t>UBND Xã Bắc Mê</t>
  </si>
  <si>
    <t>UBND Xã Minh Ngọc</t>
  </si>
  <si>
    <t>UBND Xã Ngọc Đường</t>
  </si>
  <si>
    <t>UBND Xã Phú Linh</t>
  </si>
  <si>
    <t>UBND Xã Linh Hồ</t>
  </si>
  <si>
    <t>UBND Xã Vị Xuyên</t>
  </si>
  <si>
    <t>UBND Xã Việt Lâm</t>
  </si>
  <si>
    <t>UBND Xã Tân Quang</t>
  </si>
  <si>
    <t>UBND Xã Liên Hiệp</t>
  </si>
  <si>
    <t>UBND Xã Bằng Hành</t>
  </si>
  <si>
    <t>UBND Xã Bắc Quang</t>
  </si>
  <si>
    <t>UBND Xã Hùng An</t>
  </si>
  <si>
    <t>UBND Xã Đồng Yên</t>
  </si>
  <si>
    <t>UBND Xã Bằng Lang</t>
  </si>
  <si>
    <t>UBND Xã Quang Bình</t>
  </si>
  <si>
    <t>UBND Xã Tân Trịnh</t>
  </si>
  <si>
    <t>UBND Xã Thông Nguyên</t>
  </si>
  <si>
    <t>UBND Xã Hồ Thầu</t>
  </si>
  <si>
    <t>UBND Xã Nậm Dịch</t>
  </si>
  <si>
    <t>UBND Xã Hoàng Su Phì</t>
  </si>
  <si>
    <t>UBND Xã Thàng Tín</t>
  </si>
  <si>
    <t>UBND Xã Bản Máy</t>
  </si>
  <si>
    <t>UBND Xã Pờ Ly Ngài</t>
  </si>
  <si>
    <t>UBND Xã Xín Mần</t>
  </si>
  <si>
    <t>UBND Xã Pà Vầy Sủ</t>
  </si>
  <si>
    <t>UBND Xã Nấm Dẩn</t>
  </si>
  <si>
    <t>UBND Xã Trung Thịnh</t>
  </si>
  <si>
    <t>UBND Xã Khuôn Lùng</t>
  </si>
  <si>
    <t>UBND Phường Mỹ Lâm</t>
  </si>
  <si>
    <t>UBND Phường Minh Xuân</t>
  </si>
  <si>
    <t>UBND Phường Nông Tiến</t>
  </si>
  <si>
    <t>UBND Phường An Tường</t>
  </si>
  <si>
    <t>UBND Phường Hà Giang 1</t>
  </si>
  <si>
    <t>UBND Phường Hà Giang 2</t>
  </si>
  <si>
    <t>UBND Xã Trung Hà</t>
  </si>
  <si>
    <t>UBND Xã Kiến Thiết</t>
  </si>
  <si>
    <t>UBND Xã Hùng Đức</t>
  </si>
  <si>
    <t>UBND Xã Tùng Bá</t>
  </si>
  <si>
    <t>UBND Xã Thượng Sơn</t>
  </si>
  <si>
    <t>UBND Xã Cao Bồ</t>
  </si>
  <si>
    <t>UBND Xã Ngọc Long</t>
  </si>
  <si>
    <t>UBND Xã Giáp Trung</t>
  </si>
  <si>
    <t>UBND Xã Tiên Nguyên</t>
  </si>
  <si>
    <t>UBND Xã Quảng Nguyên</t>
  </si>
  <si>
    <t>UBND Phường Sài Gòn</t>
  </si>
  <si>
    <t>UBND Phường Tân Định</t>
  </si>
  <si>
    <t>UBND Phường Bến Thành</t>
  </si>
  <si>
    <t>UBND Phường Cầu Ông Lãnh</t>
  </si>
  <si>
    <t>UBND Phường Bàn Cờ</t>
  </si>
  <si>
    <t>UBND Phường Nhiêu Lộc</t>
  </si>
  <si>
    <t>UBND Phường Xóm Chiếu</t>
  </si>
  <si>
    <t>UBND Phường Khánh Hội</t>
  </si>
  <si>
    <t>UBND Phường Vĩnh Hội</t>
  </si>
  <si>
    <t>UBND Phường Chợ Quán</t>
  </si>
  <si>
    <t>UBND Phường An Đông</t>
  </si>
  <si>
    <t>UBND Phường Chợ Lớn</t>
  </si>
  <si>
    <t>UBND Phường Bình Tây</t>
  </si>
  <si>
    <t>UBND Phường Bình Tiên</t>
  </si>
  <si>
    <t>UBND Phường Bình Phú</t>
  </si>
  <si>
    <t>UBND Phường Phú Lâm</t>
  </si>
  <si>
    <t>UBND Phường Tân Thuận</t>
  </si>
  <si>
    <t>UBND Phường Phú Thuận</t>
  </si>
  <si>
    <t>UBND Phường Tân Mỹ</t>
  </si>
  <si>
    <t>UBND Phường Chánh Hưng</t>
  </si>
  <si>
    <t>UBND Phường Phú Định</t>
  </si>
  <si>
    <t>UBND Phường Bình Đông</t>
  </si>
  <si>
    <t>UBND Phường Vườn Lài</t>
  </si>
  <si>
    <t>UBND Phường Hòa Hưng</t>
  </si>
  <si>
    <t>UBND Phường Minh Phụng</t>
  </si>
  <si>
    <t>UBND Phường Bình Thới</t>
  </si>
  <si>
    <t>UBND Phường Đông Hưng Thuận</t>
  </si>
  <si>
    <t>UBND Phường Trung Mỹ Tây</t>
  </si>
  <si>
    <t>UBND Phường Tân Thới Hiệp</t>
  </si>
  <si>
    <t>UBND Phường Thới An</t>
  </si>
  <si>
    <t>UBND Phường An Phú Đông</t>
  </si>
  <si>
    <t>UBND Phường An Lạc</t>
  </si>
  <si>
    <t>UBND Phường Bình Tân</t>
  </si>
  <si>
    <t>UBND Phường Tân Tạo</t>
  </si>
  <si>
    <t>UBND Phường Bình Trị Đông</t>
  </si>
  <si>
    <t>UBND Phường Bình Hưng Hòa</t>
  </si>
  <si>
    <t>UBND Phường Gia Định</t>
  </si>
  <si>
    <t>UBND Phường Bình Thạnh</t>
  </si>
  <si>
    <t>UBND Phường Bình Lợi Trung</t>
  </si>
  <si>
    <t>UBND Phường Thạnh Mỹ Tây</t>
  </si>
  <si>
    <t>UBND Phường Bình Quới</t>
  </si>
  <si>
    <t>UBND Phường Hạnh Thông</t>
  </si>
  <si>
    <t>UBND Phường Gò Vấp</t>
  </si>
  <si>
    <t>UBND Phường An Hội Đông</t>
  </si>
  <si>
    <t>UBND Phường Thông Tây Hội</t>
  </si>
  <si>
    <t>UBND Phường An Hội Tây</t>
  </si>
  <si>
    <t>UBND Phường Đức Nhuận</t>
  </si>
  <si>
    <t>UBND Phường Cầu Kiệu</t>
  </si>
  <si>
    <t>UBND Phường Phú Nhuận</t>
  </si>
  <si>
    <t>UBND Phường Tân Sơn Hòa</t>
  </si>
  <si>
    <t>UBND Phường Tân Sơn Nhất</t>
  </si>
  <si>
    <t>UBND Phường Bảy Hiền</t>
  </si>
  <si>
    <t>UBND Phường Tân Bình</t>
  </si>
  <si>
    <t>UBND Phường Tân Sơn</t>
  </si>
  <si>
    <t>UBND Phường Tây Thạnh</t>
  </si>
  <si>
    <t>UBND Phường Tân Sơn Nhì</t>
  </si>
  <si>
    <t>UBND Phường Phú Thọ Hòa</t>
  </si>
  <si>
    <t>UBND Phường Tân Phú</t>
  </si>
  <si>
    <t>UBND Phường Phú Thạnh</t>
  </si>
  <si>
    <t>UBND Phường Hiệp Bình</t>
  </si>
  <si>
    <t>UBND Phường Thủ Đức</t>
  </si>
  <si>
    <t>UBND Phường Tam Bình</t>
  </si>
  <si>
    <t>UBND Phường Linh Xuân</t>
  </si>
  <si>
    <t>UBND Phường Tăng Nhơn Phú</t>
  </si>
  <si>
    <t>UBND Phường Long Phước</t>
  </si>
  <si>
    <t>THÔNG TIN CÁ NHÂN</t>
  </si>
  <si>
    <t>TÀI KHOẢN THANH TOÁN</t>
  </si>
  <si>
    <t>SMS BANKING</t>
  </si>
  <si>
    <t>AGRIBANKPLUS</t>
  </si>
  <si>
    <t>PHÁT HÀNH THẺ GHI NỢ</t>
  </si>
  <si>
    <r>
      <t>Hình thức nhận thẻ</t>
    </r>
    <r>
      <rPr>
        <b/>
        <sz val="14"/>
        <color rgb="FFC00000"/>
        <rFont val="Times New Roman"/>
        <family val="1"/>
      </rPr>
      <t>*</t>
    </r>
  </si>
  <si>
    <t>Ghi chú</t>
  </si>
  <si>
    <t>Miễn phí PHT đối tượng KH Sinh viên - VB 14266/NHNo-KHCN</t>
  </si>
  <si>
    <t>Số nhà 12, Ngõ 65</t>
  </si>
  <si>
    <t>Mở tài TK SV 220</t>
  </si>
  <si>
    <t>Nguyễn Văn A</t>
  </si>
  <si>
    <t>Nguyễn Văn B</t>
  </si>
  <si>
    <t>NGUYEN VAN A</t>
  </si>
  <si>
    <t>NGUYEN VAN B</t>
  </si>
  <si>
    <t>Số ID cũ</t>
  </si>
  <si>
    <t>Thành phố Quảng Ninh</t>
  </si>
  <si>
    <t>Thành phố Bắc Ninh</t>
  </si>
  <si>
    <t>BATCH_CIF</t>
  </si>
  <si>
    <t>0899000900</t>
  </si>
  <si>
    <t>0899000901</t>
  </si>
  <si>
    <r>
      <rPr>
        <b/>
        <sz val="11"/>
        <color theme="1"/>
        <rFont val="Times New Roman"/>
        <family val="1"/>
      </rPr>
      <t xml:space="preserve">FILE DÀNH CHO KHÁCH HÀNG MỞ MỚI CIF:
</t>
    </r>
    <r>
      <rPr>
        <i/>
        <sz val="11"/>
        <color theme="1"/>
        <rFont val="Times New Roman"/>
        <family val="1"/>
      </rPr>
      <t xml:space="preserve">
</t>
    </r>
    <r>
      <rPr>
        <b/>
        <i/>
        <sz val="11"/>
        <color theme="1"/>
        <rFont val="Times New Roman"/>
        <family val="1"/>
      </rPr>
      <t>Ghi chú:</t>
    </r>
    <r>
      <rPr>
        <i/>
        <sz val="11"/>
        <color theme="1"/>
        <rFont val="Times New Roman"/>
        <family val="1"/>
      </rPr>
      <t xml:space="preserve"> 
+ File được sử dụng trong trường hợp đăng ký mới khách hàng. 
+ Giá trị </t>
    </r>
    <r>
      <rPr>
        <i/>
        <sz val="11"/>
        <color rgb="FFFF0000"/>
        <rFont val="Times New Roman"/>
        <family val="1"/>
      </rPr>
      <t>*</t>
    </r>
    <r>
      <rPr>
        <i/>
        <sz val="11"/>
        <color theme="1"/>
        <rFont val="Times New Roman"/>
        <family val="1"/>
      </rPr>
      <t xml:space="preserve"> là các trường thông tin bắt buộc nhập.
+ Trường Địa chỉ 1 bắt buộc nhập số nhà, tên hẻm, tên nghách, tên đường (Nhập tối đa 35 ký tự trường hợp địa chỉ 1 dài quá 35 ký tự vui lòng nhập tiếp sang Địa chỉ 2).
+ Đăng ký SMS Banking, Agribankplus, phát hành thẻ ghi nợ bắt buộc phải đăng ký mở tài khoản thanh toán.</t>
    </r>
  </si>
  <si>
    <t>Agribank@123#!a</t>
  </si>
  <si>
    <t>Mở tài TKTT</t>
  </si>
  <si>
    <t>TP Đồng Nai</t>
  </si>
  <si>
    <t>Email</t>
  </si>
  <si>
    <t>20241001</t>
  </si>
  <si>
    <t>00130999902</t>
  </si>
  <si>
    <t>00130999903</t>
  </si>
  <si>
    <t>08</t>
  </si>
  <si>
    <t>09</t>
  </si>
  <si>
    <t>Kĩ sư</t>
  </si>
  <si>
    <t>Bộ đội</t>
  </si>
  <si>
    <t>Luật sư, nhà chuyên môn về luật</t>
  </si>
  <si>
    <t>Kế toán thuế</t>
  </si>
  <si>
    <t>Tiếp viên hàng không</t>
  </si>
  <si>
    <t>Tư vấn tài chính và đầu tư/ngân hàng</t>
  </si>
  <si>
    <t>Nội trợ</t>
  </si>
  <si>
    <t>Công an</t>
  </si>
  <si>
    <t>Hướng dẫn viên du lịch</t>
  </si>
  <si>
    <t>Chủ tich/ Giám đốc Cty TNHH</t>
  </si>
  <si>
    <t>Chủ tịch/ Giám đốc Cty CP không niêm yết</t>
  </si>
  <si>
    <t>Học sinh</t>
  </si>
  <si>
    <t>Kinh doanh môi giới BĐS</t>
  </si>
  <si>
    <t>Kinh doanh tự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</si>
</sst>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charset val="16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4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  <charset val="1"/>
    </font>
    <font>
      <b/>
      <sz val="11"/>
      <color theme="0"/>
      <name val="Calibri"/>
      <family val="2"/>
      <charset val="1"/>
    </font>
    <font>
      <sz val="11"/>
      <name val="Consolas"/>
      <family val="3"/>
      <charset val="1"/>
    </font>
    <font>
      <sz val="11"/>
      <color theme="0"/>
      <name val="Calibri"/>
      <family val="2"/>
      <charset val="163"/>
    </font>
    <font>
      <b/>
      <sz val="14"/>
      <color rgb="FF333333"/>
      <name val="Times New Roman"/>
      <family val="1"/>
    </font>
    <font>
      <b/>
      <sz val="14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charset val="163"/>
    </font>
    <font>
      <b/>
      <sz val="14"/>
      <color rgb="FFC00000"/>
      <name val="Times New Roman"/>
      <family val="1"/>
    </font>
    <font>
      <i/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9"/>
      <color rgb="FFA31515"/>
      <name val="Cascadia Mono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39988402966399123"/>
        <bgColor rgb="FF4F81BD"/>
      </patternFill>
    </fill>
    <fill>
      <patternFill patternType="solid">
        <fgColor theme="4"/>
        <bgColor rgb="FF558ED5"/>
      </patternFill>
    </fill>
    <fill>
      <patternFill patternType="solid">
        <fgColor theme="9" tint="0.79998168889431442"/>
        <bgColor rgb="FF33CCCC"/>
      </patternFill>
    </fill>
    <fill>
      <patternFill patternType="solid">
        <fgColor theme="7" tint="0.79998168889431442"/>
        <bgColor rgb="FFCCCCFF"/>
      </patternFill>
    </fill>
    <fill>
      <patternFill patternType="solid">
        <fgColor theme="6" tint="0.59999389629810485"/>
        <bgColor rgb="FFCCC1DA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9">
    <xf numFmtId="0" fontId="0" fillId="0" borderId="0" xfId="0"/>
    <xf numFmtId="49" fontId="3" fillId="0" borderId="0" xfId="0" applyNumberFormat="1" applyFont="1" applyAlignment="1" applyProtection="1">
      <alignment horizontal="center"/>
    </xf>
    <xf numFmtId="49" fontId="3" fillId="0" borderId="0" xfId="0" applyNumberFormat="1" applyFont="1" applyAlignment="1" applyProtection="1"/>
    <xf numFmtId="49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wrapText="1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 wrapText="1"/>
    </xf>
    <xf numFmtId="49" fontId="3" fillId="0" borderId="0" xfId="0" applyNumberFormat="1" applyFont="1" applyAlignment="1" applyProtection="1">
      <alignment horizontal="left" vertical="center"/>
    </xf>
    <xf numFmtId="49" fontId="4" fillId="2" borderId="1" xfId="1" applyNumberFormat="1" applyFont="1" applyFill="1" applyBorder="1" applyAlignment="1" applyProtection="1">
      <alignment horizontal="center" vertical="center" wrapText="1"/>
    </xf>
    <xf numFmtId="49" fontId="4" fillId="2" borderId="3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</xf>
    <xf numFmtId="49" fontId="7" fillId="0" borderId="1" xfId="1" applyNumberFormat="1" applyFont="1" applyBorder="1" applyAlignment="1" applyProtection="1">
      <alignment horizontal="center" wrapText="1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/>
    <xf numFmtId="49" fontId="3" fillId="0" borderId="0" xfId="0" applyNumberFormat="1" applyFont="1" applyBorder="1" applyAlignment="1" applyProtection="1"/>
    <xf numFmtId="49" fontId="3" fillId="0" borderId="4" xfId="0" applyNumberFormat="1" applyFont="1" applyBorder="1" applyAlignment="1" applyProtection="1"/>
    <xf numFmtId="0" fontId="0" fillId="0" borderId="0" xfId="0" applyAlignment="1" applyProtection="1"/>
    <xf numFmtId="0" fontId="8" fillId="3" borderId="1" xfId="0" applyFont="1" applyFill="1" applyBorder="1" applyAlignment="1" applyProtection="1"/>
    <xf numFmtId="49" fontId="0" fillId="0" borderId="1" xfId="0" applyNumberFormat="1" applyFont="1" applyBorder="1" applyAlignment="1" applyProtection="1"/>
    <xf numFmtId="49" fontId="0" fillId="0" borderId="0" xfId="0" applyNumberFormat="1" applyAlignment="1" applyProtection="1"/>
    <xf numFmtId="0" fontId="0" fillId="0" borderId="1" xfId="0" applyFont="1" applyBorder="1" applyAlignment="1" applyProtection="1"/>
    <xf numFmtId="49" fontId="8" fillId="3" borderId="1" xfId="0" applyNumberFormat="1" applyFont="1" applyFill="1" applyBorder="1" applyAlignment="1" applyProtection="1"/>
    <xf numFmtId="49" fontId="9" fillId="0" borderId="1" xfId="0" applyNumberFormat="1" applyFont="1" applyBorder="1" applyAlignment="1" applyProtection="1">
      <alignment vertical="center"/>
    </xf>
    <xf numFmtId="0" fontId="0" fillId="0" borderId="0" xfId="0" applyAlignment="1" applyProtection="1">
      <alignment horizontal="center"/>
    </xf>
    <xf numFmtId="49" fontId="8" fillId="3" borderId="1" xfId="0" applyNumberFormat="1" applyFont="1" applyFill="1" applyBorder="1" applyAlignment="1" applyProtection="1">
      <alignment horizontal="center"/>
    </xf>
    <xf numFmtId="49" fontId="0" fillId="0" borderId="1" xfId="0" applyNumberFormat="1" applyFont="1" applyBorder="1" applyAlignment="1" applyProtection="1">
      <alignment horizontal="center"/>
    </xf>
    <xf numFmtId="49" fontId="0" fillId="0" borderId="0" xfId="0" applyNumberFormat="1" applyAlignment="1" applyProtection="1">
      <alignment horizontal="center"/>
    </xf>
    <xf numFmtId="49" fontId="9" fillId="0" borderId="0" xfId="0" applyNumberFormat="1" applyFont="1" applyAlignment="1" applyProtection="1">
      <alignment horizontal="center" vertical="center"/>
    </xf>
    <xf numFmtId="49" fontId="10" fillId="3" borderId="1" xfId="0" applyNumberFormat="1" applyFont="1" applyFill="1" applyBorder="1" applyAlignment="1" applyProtection="1"/>
    <xf numFmtId="49" fontId="9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</xf>
    <xf numFmtId="0" fontId="10" fillId="4" borderId="1" xfId="0" applyFont="1" applyFill="1" applyBorder="1" applyAlignment="1" applyProtection="1"/>
    <xf numFmtId="49" fontId="0" fillId="0" borderId="1" xfId="0" applyNumberFormat="1" applyFont="1" applyBorder="1" applyAlignment="1" applyProtection="1">
      <alignment vertical="center" wrapText="1"/>
    </xf>
    <xf numFmtId="0" fontId="0" fillId="0" borderId="0" xfId="0" applyAlignment="1" applyProtection="1">
      <alignment horizontal="left" vertical="center"/>
    </xf>
    <xf numFmtId="0" fontId="10" fillId="3" borderId="1" xfId="0" applyFont="1" applyFill="1" applyBorder="1" applyAlignment="1" applyProtection="1"/>
    <xf numFmtId="49" fontId="0" fillId="0" borderId="1" xfId="0" applyNumberFormat="1" applyBorder="1"/>
    <xf numFmtId="0" fontId="6" fillId="0" borderId="1" xfId="0" applyFont="1" applyBorder="1" applyAlignment="1">
      <alignment horizontal="center" vertical="center" wrapText="1"/>
    </xf>
    <xf numFmtId="49" fontId="7" fillId="0" borderId="1" xfId="1" applyNumberFormat="1" applyFont="1" applyBorder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vertical="center"/>
    </xf>
    <xf numFmtId="49" fontId="3" fillId="0" borderId="0" xfId="0" applyNumberFormat="1" applyFont="1" applyAlignment="1" applyProtection="1">
      <alignment vertical="top" wrapText="1"/>
    </xf>
    <xf numFmtId="49" fontId="4" fillId="7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Border="1"/>
    <xf numFmtId="0" fontId="3" fillId="0" borderId="0" xfId="0" applyFont="1" applyAlignment="1" applyProtection="1">
      <alignment horizontal="center" wrapText="1"/>
    </xf>
    <xf numFmtId="49" fontId="3" fillId="0" borderId="1" xfId="0" applyNumberFormat="1" applyFont="1" applyBorder="1" applyAlignment="1" applyProtection="1">
      <alignment horizontal="left" vertical="center" wrapText="1"/>
      <protection locked="0"/>
    </xf>
    <xf numFmtId="49" fontId="3" fillId="0" borderId="0" xfId="0" applyNumberFormat="1" applyFont="1" applyAlignment="1" applyProtection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</xf>
    <xf numFmtId="0" fontId="1" fillId="0" borderId="1" xfId="2" applyNumberFormat="1" applyBorder="1"/>
    <xf numFmtId="0" fontId="0" fillId="8" borderId="1" xfId="0" applyNumberFormat="1" applyFont="1" applyFill="1" applyBorder="1"/>
    <xf numFmtId="0" fontId="0" fillId="9" borderId="1" xfId="0" applyNumberFormat="1" applyFont="1" applyFill="1" applyBorder="1"/>
    <xf numFmtId="49" fontId="4" fillId="2" borderId="1" xfId="1" applyNumberFormat="1" applyFont="1" applyFill="1" applyBorder="1" applyAlignment="1" applyProtection="1">
      <alignment horizontal="center" vertical="center" wrapText="1"/>
    </xf>
    <xf numFmtId="0" fontId="21" fillId="0" borderId="0" xfId="0" applyFont="1" applyAlignment="1">
      <alignment vertical="center"/>
    </xf>
    <xf numFmtId="0" fontId="3" fillId="0" borderId="1" xfId="0" applyNumberFormat="1" applyFont="1" applyBorder="1" applyAlignment="1" applyProtection="1">
      <alignment vertical="center" wrapText="1"/>
      <protection locked="0"/>
    </xf>
    <xf numFmtId="0" fontId="3" fillId="10" borderId="1" xfId="0" applyFont="1" applyFill="1" applyBorder="1" applyAlignment="1" applyProtection="1">
      <alignment horizontal="center" vertical="center" wrapText="1"/>
    </xf>
    <xf numFmtId="0" fontId="3" fillId="10" borderId="1" xfId="0" applyFont="1" applyFill="1" applyBorder="1" applyAlignment="1" applyProtection="1">
      <alignment horizontal="left" vertical="center" wrapText="1"/>
    </xf>
    <xf numFmtId="0" fontId="3" fillId="10" borderId="1" xfId="0" applyNumberFormat="1" applyFont="1" applyFill="1" applyBorder="1" applyAlignment="1" applyProtection="1">
      <alignment horizontal="center" vertical="center" wrapText="1"/>
    </xf>
    <xf numFmtId="49" fontId="4" fillId="2" borderId="1" xfId="1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Border="1" applyAlignment="1" applyProtection="1"/>
    <xf numFmtId="0" fontId="0" fillId="0" borderId="1" xfId="0" applyBorder="1" applyAlignment="1" applyProtection="1"/>
    <xf numFmtId="49" fontId="4" fillId="2" borderId="1" xfId="1" applyNumberFormat="1" applyFont="1" applyFill="1" applyBorder="1" applyAlignment="1" applyProtection="1">
      <alignment horizontal="center" vertical="center" wrapText="1"/>
    </xf>
    <xf numFmtId="49" fontId="17" fillId="0" borderId="6" xfId="0" applyNumberFormat="1" applyFont="1" applyBorder="1" applyAlignment="1" applyProtection="1">
      <alignment horizontal="left" vertical="top" wrapText="1" indent="2"/>
    </xf>
    <xf numFmtId="49" fontId="4" fillId="7" borderId="3" xfId="0" applyNumberFormat="1" applyFont="1" applyFill="1" applyBorder="1" applyAlignment="1" applyProtection="1">
      <alignment horizontal="center" vertical="center" wrapText="1"/>
    </xf>
    <xf numFmtId="49" fontId="4" fillId="7" borderId="5" xfId="0" applyNumberFormat="1" applyFont="1" applyFill="1" applyBorder="1" applyAlignment="1" applyProtection="1">
      <alignment horizontal="center" vertical="center" wrapText="1"/>
    </xf>
    <xf numFmtId="49" fontId="4" fillId="7" borderId="2" xfId="0" applyNumberFormat="1" applyFont="1" applyFill="1" applyBorder="1" applyAlignment="1" applyProtection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49" fontId="4" fillId="5" borderId="1" xfId="1" applyNumberFormat="1" applyFont="1" applyFill="1" applyBorder="1" applyAlignment="1" applyProtection="1">
      <alignment horizontal="center" vertical="center" wrapText="1"/>
    </xf>
    <xf numFmtId="49" fontId="4" fillId="2" borderId="3" xfId="1" applyNumberFormat="1" applyFont="1" applyFill="1" applyBorder="1" applyAlignment="1" applyProtection="1">
      <alignment horizontal="center" vertical="center" wrapText="1"/>
    </xf>
    <xf numFmtId="49" fontId="4" fillId="2" borderId="2" xfId="1" applyNumberFormat="1" applyFont="1" applyFill="1" applyBorder="1" applyAlignment="1" applyProtection="1">
      <alignment horizontal="center" vertical="center" wrapText="1"/>
    </xf>
    <xf numFmtId="49" fontId="4" fillId="6" borderId="3" xfId="1" applyNumberFormat="1" applyFont="1" applyFill="1" applyBorder="1" applyAlignment="1" applyProtection="1">
      <alignment horizontal="center" vertical="center" wrapText="1"/>
    </xf>
    <xf numFmtId="49" fontId="4" fillId="6" borderId="5" xfId="1" applyNumberFormat="1" applyFont="1" applyFill="1" applyBorder="1" applyAlignment="1" applyProtection="1">
      <alignment horizontal="center" vertical="center" wrapText="1"/>
    </xf>
    <xf numFmtId="49" fontId="4" fillId="6" borderId="2" xfId="1" applyNumberFormat="1" applyFont="1" applyFill="1" applyBorder="1" applyAlignment="1" applyProtection="1">
      <alignment horizontal="center" vertical="center" wrapText="1"/>
    </xf>
    <xf numFmtId="49" fontId="10" fillId="3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Alignment="1" applyProtection="1">
      <alignment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558ED5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C3D69B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E1072"/>
  <sheetViews>
    <sheetView tabSelected="1" zoomScale="70" zoomScaleNormal="7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K9" sqref="K9"/>
    </sheetView>
  </sheetViews>
  <sheetFormatPr defaultColWidth="9.140625" defaultRowHeight="18.75" x14ac:dyDescent="0.3"/>
  <cols>
    <col min="1" max="1" width="5.85546875" style="1" customWidth="1"/>
    <col min="2" max="3" width="23" style="2" customWidth="1"/>
    <col min="4" max="4" width="31.85546875" style="2" customWidth="1"/>
    <col min="5" max="5" width="28.140625" style="2" customWidth="1"/>
    <col min="6" max="6" width="14.140625" style="2" customWidth="1"/>
    <col min="7" max="7" width="5.140625" style="43" customWidth="1"/>
    <col min="8" max="8" width="10.28515625" style="3" customWidth="1"/>
    <col min="9" max="9" width="26.140625" style="3" customWidth="1"/>
    <col min="10" max="10" width="5" style="47" bestFit="1" customWidth="1"/>
    <col min="11" max="11" width="17.7109375" style="51" customWidth="1"/>
    <col min="12" max="12" width="14.28515625" style="3" customWidth="1"/>
    <col min="13" max="13" width="8.85546875" style="2" customWidth="1"/>
    <col min="14" max="14" width="14.42578125" style="51" customWidth="1"/>
    <col min="15" max="15" width="6.140625" style="2" customWidth="1"/>
    <col min="16" max="16" width="18.28515625" style="51" customWidth="1"/>
    <col min="17" max="17" width="5.85546875" style="2" customWidth="1"/>
    <col min="18" max="18" width="24.5703125" style="51" customWidth="1"/>
    <col min="19" max="19" width="9.140625" style="2"/>
    <col min="20" max="20" width="34.140625" style="5" customWidth="1"/>
    <col min="21" max="22" width="20.5703125" style="49" customWidth="1"/>
    <col min="23" max="23" width="20.140625" style="3" customWidth="1"/>
    <col min="24" max="24" width="14" style="3" customWidth="1"/>
    <col min="25" max="25" width="9.85546875" style="3" customWidth="1"/>
    <col min="26" max="26" width="9.42578125" style="2" customWidth="1"/>
    <col min="27" max="27" width="33" style="5" customWidth="1"/>
    <col min="28" max="28" width="8.42578125" style="2" customWidth="1"/>
    <col min="29" max="29" width="21.140625" style="5" customWidth="1"/>
    <col min="30" max="30" width="8" style="2" customWidth="1"/>
    <col min="31" max="31" width="19.28515625" style="5" customWidth="1"/>
    <col min="32" max="32" width="6.85546875" style="6" customWidth="1"/>
    <col min="33" max="33" width="27.42578125" style="7" customWidth="1"/>
    <col min="34" max="34" width="12.5703125" style="2" customWidth="1"/>
    <col min="35" max="35" width="32" style="7" customWidth="1"/>
    <col min="36" max="36" width="41.7109375" style="2" customWidth="1"/>
    <col min="37" max="37" width="28.140625" style="2" customWidth="1"/>
    <col min="38" max="39" width="58.7109375" style="2" customWidth="1"/>
    <col min="40" max="40" width="17.7109375" style="3" customWidth="1"/>
    <col min="41" max="41" width="19.85546875" style="3" customWidth="1"/>
    <col min="42" max="42" width="96.42578125" style="3" customWidth="1"/>
    <col min="43" max="43" width="19.5703125" style="3" customWidth="1"/>
    <col min="44" max="44" width="22.85546875" style="3" customWidth="1"/>
    <col min="45" max="45" width="19.85546875" style="3" customWidth="1"/>
    <col min="46" max="46" width="12.7109375" style="3" customWidth="1"/>
    <col min="47" max="47" width="45.85546875" style="7" bestFit="1" customWidth="1"/>
    <col min="48" max="48" width="19.85546875" style="3" customWidth="1"/>
    <col min="49" max="49" width="24.5703125" style="3" bestFit="1" customWidth="1"/>
    <col min="50" max="50" width="11.7109375" style="3" customWidth="1"/>
    <col min="51" max="51" width="58.5703125" style="7" customWidth="1"/>
    <col min="52" max="16384" width="9.140625" style="2"/>
  </cols>
  <sheetData>
    <row r="1" spans="1:51" ht="135.75" customHeight="1" x14ac:dyDescent="0.3">
      <c r="A1" s="65" t="s">
        <v>13818</v>
      </c>
      <c r="B1" s="65"/>
      <c r="C1" s="65"/>
      <c r="D1" s="65"/>
      <c r="E1" s="65"/>
      <c r="F1" s="65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</row>
    <row r="2" spans="1:51" ht="38.25" customHeight="1" x14ac:dyDescent="0.3">
      <c r="A2" s="71" t="s">
        <v>0</v>
      </c>
      <c r="B2" s="71"/>
      <c r="C2" s="71"/>
      <c r="D2" s="71"/>
      <c r="E2" s="71"/>
      <c r="F2" s="71"/>
      <c r="G2" s="74" t="s">
        <v>13798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6"/>
      <c r="AN2" s="66" t="s">
        <v>13799</v>
      </c>
      <c r="AO2" s="67"/>
      <c r="AP2" s="68"/>
      <c r="AQ2" s="45" t="s">
        <v>13800</v>
      </c>
      <c r="AR2" s="45" t="s">
        <v>13801</v>
      </c>
      <c r="AS2" s="66" t="s">
        <v>13802</v>
      </c>
      <c r="AT2" s="67"/>
      <c r="AU2" s="67"/>
      <c r="AV2" s="67"/>
      <c r="AW2" s="67"/>
      <c r="AX2" s="67"/>
      <c r="AY2" s="68"/>
    </row>
    <row r="3" spans="1:51" s="12" customFormat="1" ht="42.75" customHeight="1" x14ac:dyDescent="0.25">
      <c r="A3" s="8" t="s">
        <v>2</v>
      </c>
      <c r="B3" s="8" t="s">
        <v>4500</v>
      </c>
      <c r="C3" s="8" t="s">
        <v>4501</v>
      </c>
      <c r="D3" s="8" t="s">
        <v>4502</v>
      </c>
      <c r="E3" s="8" t="s">
        <v>4503</v>
      </c>
      <c r="F3" s="8" t="s">
        <v>4504</v>
      </c>
      <c r="G3" s="64" t="s">
        <v>4505</v>
      </c>
      <c r="H3" s="64"/>
      <c r="I3" s="8" t="s">
        <v>4506</v>
      </c>
      <c r="J3" s="64" t="s">
        <v>4507</v>
      </c>
      <c r="K3" s="64"/>
      <c r="L3" s="41" t="s">
        <v>4508</v>
      </c>
      <c r="M3" s="72" t="s">
        <v>4509</v>
      </c>
      <c r="N3" s="73"/>
      <c r="O3" s="64" t="s">
        <v>4510</v>
      </c>
      <c r="P3" s="64"/>
      <c r="Q3" s="64" t="s">
        <v>4511</v>
      </c>
      <c r="R3" s="64"/>
      <c r="S3" s="64" t="s">
        <v>4512</v>
      </c>
      <c r="T3" s="64"/>
      <c r="U3" s="8" t="s">
        <v>4513</v>
      </c>
      <c r="V3" s="55" t="s">
        <v>13812</v>
      </c>
      <c r="W3" s="8" t="s">
        <v>4514</v>
      </c>
      <c r="X3" s="8" t="s">
        <v>4515</v>
      </c>
      <c r="Y3" s="9" t="s">
        <v>3</v>
      </c>
      <c r="Z3" s="64" t="s">
        <v>4516</v>
      </c>
      <c r="AA3" s="64"/>
      <c r="AB3" s="64" t="s">
        <v>4517</v>
      </c>
      <c r="AC3" s="64"/>
      <c r="AD3" s="64" t="s">
        <v>4518</v>
      </c>
      <c r="AE3" s="64"/>
      <c r="AF3" s="64" t="s">
        <v>4519</v>
      </c>
      <c r="AG3" s="64"/>
      <c r="AH3" s="64" t="s">
        <v>4520</v>
      </c>
      <c r="AI3" s="64"/>
      <c r="AJ3" s="8" t="s">
        <v>4521</v>
      </c>
      <c r="AK3" s="8" t="s">
        <v>4</v>
      </c>
      <c r="AL3" s="8" t="s">
        <v>5</v>
      </c>
      <c r="AM3" s="61" t="s">
        <v>13822</v>
      </c>
      <c r="AN3" s="10" t="s">
        <v>6</v>
      </c>
      <c r="AO3" s="10" t="s">
        <v>7</v>
      </c>
      <c r="AP3" s="10" t="s">
        <v>13804</v>
      </c>
      <c r="AQ3" s="10" t="s">
        <v>8</v>
      </c>
      <c r="AR3" s="10" t="s">
        <v>9</v>
      </c>
      <c r="AS3" s="11" t="s">
        <v>1</v>
      </c>
      <c r="AT3" s="69" t="s">
        <v>4522</v>
      </c>
      <c r="AU3" s="70"/>
      <c r="AV3" s="11" t="s">
        <v>13803</v>
      </c>
      <c r="AW3" s="11" t="s">
        <v>4523</v>
      </c>
      <c r="AX3" s="11" t="s">
        <v>4537</v>
      </c>
      <c r="AY3" s="11" t="s">
        <v>4524</v>
      </c>
    </row>
    <row r="4" spans="1:51" s="43" customFormat="1" ht="37.5" x14ac:dyDescent="0.25">
      <c r="A4" s="42" t="s">
        <v>10</v>
      </c>
      <c r="B4" s="48" t="s">
        <v>13808</v>
      </c>
      <c r="C4" s="48" t="s">
        <v>13808</v>
      </c>
      <c r="D4" s="48" t="s">
        <v>13810</v>
      </c>
      <c r="E4" s="48" t="s">
        <v>13810</v>
      </c>
      <c r="F4" s="48" t="s">
        <v>11</v>
      </c>
      <c r="G4" s="58" t="str">
        <f>IF(ISNUMBER(MATCH(H4,GIOI_TINH!$B:$B,0)),INDEX(GIOI_TINH!$A:$A,MATCH(H4,GIOI_TINH!$B:$B,0)),"")</f>
        <v>01</v>
      </c>
      <c r="H4" s="15" t="s">
        <v>27</v>
      </c>
      <c r="I4" s="15" t="s">
        <v>13816</v>
      </c>
      <c r="J4" s="58" t="str">
        <f>IF(ISNUMBER(MATCH(K4,QUOC_GIA!$B:$B,0)),INDEX(QUOC_GIA!$A:$A,MATCH(K4,QUOC_GIA!$B:$B,0)),"")</f>
        <v>VN</v>
      </c>
      <c r="K4" s="50" t="s">
        <v>13</v>
      </c>
      <c r="L4" s="15" t="s">
        <v>14</v>
      </c>
      <c r="M4" s="58" t="str">
        <f>IF(ISNUMBER(MATCH(N4,LOAI_THUE!$B:$B,0)),INDEX(LOAI_THUE!$A:$A,MATCH(N4,LOAI_THUE!$B:$B,0)),"")</f>
        <v>1001</v>
      </c>
      <c r="N4" s="50" t="s">
        <v>15</v>
      </c>
      <c r="O4" s="58" t="str">
        <f>IF(ISNUMBER(MATCH(P4,CHI_TIET_LOAI_KH!$B:$B,0)),INDEX(CHI_TIET_LOAI_KH!$A:$A,MATCH(P4,CHI_TIET_LOAI_KH!$B:$B,0)),"")</f>
        <v>101</v>
      </c>
      <c r="P4" s="50" t="s">
        <v>16</v>
      </c>
      <c r="Q4" s="58" t="str">
        <f>IF(ISNUMBER(MATCH(R4,NGHE_NGHIEP!$B:$B,0)),INDEX(NGHE_NGHIEP!$A:$A,MATCH(R4,NGHE_NGHIEP!$B:$B,0)),"")</f>
        <v>20</v>
      </c>
      <c r="R4" s="50" t="s">
        <v>13839</v>
      </c>
      <c r="S4" s="58" t="str">
        <f>IF(ISNUMBER(MATCH(T4,LOAI_ID!$B:$B,0)),INDEX(LOAI_ID!$A:$A,MATCH(T4,LOAI_ID!$B:$B,0)),"")</f>
        <v>01</v>
      </c>
      <c r="T4" s="16" t="s">
        <v>18</v>
      </c>
      <c r="U4" s="48" t="s">
        <v>13824</v>
      </c>
      <c r="V4" s="48"/>
      <c r="W4" s="17" t="s">
        <v>13823</v>
      </c>
      <c r="X4" s="17" t="s">
        <v>4498</v>
      </c>
      <c r="Y4" s="15" t="s">
        <v>20</v>
      </c>
      <c r="Z4" s="15" t="s">
        <v>162</v>
      </c>
      <c r="AA4" s="59" t="str">
        <f>IFERROR(INDEX(NOI_CAP!$B:$B,MATCH(Z4,NOI_CAP!$A:$A,0)),"")</f>
        <v>Hội cựu chiến binh Việt Nam</v>
      </c>
      <c r="AB4" s="58" t="str">
        <f>IF(ISNUMBER(MATCH(AC4,LOAI_DIA_CHI!$B:$B,0)),INDEX(LOAI_DIA_CHI!$A:$A,MATCH(AC4,LOAI_DIA_CHI!$B:$B,0)),"")</f>
        <v>02</v>
      </c>
      <c r="AC4" s="16" t="s">
        <v>41</v>
      </c>
      <c r="AD4" s="58" t="str">
        <f>IF(ISNUMBER(MATCH(AE4,QUOC_GIA!$B:$B,0)),INDEX(QUOC_GIA!$A:$A,MATCH(AE4,QUOC_GIA!$B:$B,0)),"")</f>
        <v>VN</v>
      </c>
      <c r="AE4" s="16" t="s">
        <v>13</v>
      </c>
      <c r="AF4" s="48" t="s">
        <v>831</v>
      </c>
      <c r="AG4" s="59" t="str">
        <f>IFERROR(INDEX(TINH_TP!$B:$B,MATCH(AF4,TINH_TP!$A:$A,0)),"")</f>
        <v>TP Đồng Nai</v>
      </c>
      <c r="AH4" s="15" t="s">
        <v>3678</v>
      </c>
      <c r="AI4" s="59" t="str">
        <f>IF(OR(AF4="",AH4=""),"",IF(COUNTIFS(PHUONG_XA!$A$2:$A$3323,AH4,PHUONG_XA!$C$2:$C$3323,AF4)=0,"",INDEX(PHUONG_XA!$B$2:$B$3323,SUMPRODUCT((PHUONG_XA!$A$2:$A$3323&amp;""=AH4&amp;"")*(PHUONG_XA!$C$2:$C$3323&amp;""=AF4&amp;"")*(ROW(PHUONG_XA!$A$2:$A$3323)-ROW(PHUONG_XA!$A$2)+1)))))</f>
        <v>Phường An Lộc</v>
      </c>
      <c r="AJ4" s="14" t="s">
        <v>4538</v>
      </c>
      <c r="AK4" s="14"/>
      <c r="AL4" s="57" t="str">
        <f>IF(OR(AI4="",AG4=""),"",SUBSTITUTE(SUBSTITUTE(AI4,"Phường","P."),"Xã","X.")&amp;", "&amp;SUBSTITUTE(SUBSTITUTE(AG4,"Thành phố","TP."),"Tỉnh","T."))</f>
        <v>P. An Lộc, TP Đồng Nai</v>
      </c>
      <c r="AM4" s="78"/>
      <c r="AN4" s="15" t="s">
        <v>14</v>
      </c>
      <c r="AO4" s="15" t="s">
        <v>496</v>
      </c>
      <c r="AP4" s="48" t="s">
        <v>13807</v>
      </c>
      <c r="AQ4" s="15" t="s">
        <v>14</v>
      </c>
      <c r="AR4" s="15" t="s">
        <v>14</v>
      </c>
      <c r="AS4" s="15" t="s">
        <v>14</v>
      </c>
      <c r="AT4" s="60" t="str">
        <f>IF(ISNUMBER(MATCH(AU4,LOAI_THE!$B:$B,0)),INDEX(LOAI_THE!$A:$A,MATCH(AU4,LOAI_THE!$B:$B,0)),"")</f>
        <v>NNC</v>
      </c>
      <c r="AU4" s="48" t="s">
        <v>4274</v>
      </c>
      <c r="AV4" s="15" t="s">
        <v>4526</v>
      </c>
      <c r="AW4" s="15" t="s">
        <v>4499</v>
      </c>
      <c r="AX4" s="15">
        <v>0</v>
      </c>
      <c r="AY4" s="48" t="s">
        <v>13805</v>
      </c>
    </row>
    <row r="5" spans="1:51" ht="37.5" x14ac:dyDescent="0.3">
      <c r="A5" s="13" t="s">
        <v>25</v>
      </c>
      <c r="B5" s="48" t="s">
        <v>13809</v>
      </c>
      <c r="C5" s="48" t="s">
        <v>13809</v>
      </c>
      <c r="D5" s="48" t="s">
        <v>13811</v>
      </c>
      <c r="E5" s="48" t="s">
        <v>13811</v>
      </c>
      <c r="F5" s="48" t="s">
        <v>4497</v>
      </c>
      <c r="G5" s="58" t="str">
        <f>IF(ISNUMBER(MATCH(H5,GIOI_TINH!$B:$B,0)),INDEX(GIOI_TINH!$A:$A,MATCH(H5,GIOI_TINH!$B:$B,0)),"")</f>
        <v>01</v>
      </c>
      <c r="H5" s="15" t="s">
        <v>27</v>
      </c>
      <c r="I5" s="15" t="s">
        <v>13817</v>
      </c>
      <c r="J5" s="58" t="str">
        <f>IF(ISNUMBER(MATCH(K5,QUOC_GIA!$B:$B,0)),INDEX(QUOC_GIA!$A:$A,MATCH(K5,QUOC_GIA!$B:$B,0)),"")</f>
        <v>VN</v>
      </c>
      <c r="K5" s="50" t="s">
        <v>13</v>
      </c>
      <c r="L5" s="15" t="s">
        <v>14</v>
      </c>
      <c r="M5" s="58" t="str">
        <f>IF(ISNUMBER(MATCH(N5,LOAI_THUE!$B:$B,0)),INDEX(LOAI_THUE!$A:$A,MATCH(N5,LOAI_THUE!$B:$B,0)),"")</f>
        <v>1001</v>
      </c>
      <c r="N5" s="50" t="s">
        <v>15</v>
      </c>
      <c r="O5" s="58" t="str">
        <f>IF(ISNUMBER(MATCH(P5,CHI_TIET_LOAI_KH!$B:$B,0)),INDEX(CHI_TIET_LOAI_KH!$A:$A,MATCH(P5,CHI_TIET_LOAI_KH!$B:$B,0)),"")</f>
        <v>101</v>
      </c>
      <c r="P5" s="50" t="s">
        <v>16</v>
      </c>
      <c r="Q5" s="58" t="str">
        <f>IF(ISNUMBER(MATCH(R5,NGHE_NGHIEP!$B:$B,0)),INDEX(NGHE_NGHIEP!$A:$A,MATCH(R5,NGHE_NGHIEP!$B:$B,0)),"")</f>
        <v>20</v>
      </c>
      <c r="R5" s="50" t="s">
        <v>13839</v>
      </c>
      <c r="S5" s="58" t="str">
        <f>IF(ISNUMBER(MATCH(T5,LOAI_ID!$B:$B,0)),INDEX(LOAI_ID!$A:$A,MATCH(T5,LOAI_ID!$B:$B,0)),"")</f>
        <v>01</v>
      </c>
      <c r="T5" s="16" t="s">
        <v>18</v>
      </c>
      <c r="U5" s="48" t="s">
        <v>13825</v>
      </c>
      <c r="V5" s="48"/>
      <c r="W5" s="17" t="s">
        <v>19</v>
      </c>
      <c r="X5" s="17" t="s">
        <v>4498</v>
      </c>
      <c r="Y5" s="15" t="s">
        <v>20</v>
      </c>
      <c r="Z5" s="15" t="s">
        <v>692</v>
      </c>
      <c r="AA5" s="59" t="str">
        <f>IFERROR(INDEX(NOI_CAP!$B:$B,MATCH(Z5,NOI_CAP!$A:$A,0)),"")</f>
        <v>Cục CSQLHC về TTXH</v>
      </c>
      <c r="AB5" s="58" t="str">
        <f>IF(ISNUMBER(MATCH(AC5,LOAI_DIA_CHI!$B:$B,0)),INDEX(LOAI_DIA_CHI!$A:$A,MATCH(AC5,LOAI_DIA_CHI!$B:$B,0)),"")</f>
        <v>01</v>
      </c>
      <c r="AC5" s="16" t="s">
        <v>22</v>
      </c>
      <c r="AD5" s="58" t="str">
        <f>IF(ISNUMBER(MATCH(AE5,QUOC_GIA!$B:$B,0)),INDEX(QUOC_GIA!$A:$A,MATCH(AE5,QUOC_GIA!$B:$B,0)),"")</f>
        <v>VN</v>
      </c>
      <c r="AE5" s="16" t="s">
        <v>13</v>
      </c>
      <c r="AF5" s="48" t="s">
        <v>840</v>
      </c>
      <c r="AG5" s="59" t="str">
        <f>IFERROR(INDEX(TINH_TP!$B:$B,MATCH(AF5,TINH_TP!$A:$A,0)),"")</f>
        <v>Tỉnh Cà Mau</v>
      </c>
      <c r="AH5" s="15" t="s">
        <v>4267</v>
      </c>
      <c r="AI5" s="59" t="str">
        <f>IF(OR(AF5="",AH5=""),"",IF(COUNTIFS(PHUONG_XA!$A$2:$A$3323,AH5,PHUONG_XA!$C$2:$C$3323,AF5)=0,"",INDEX(PHUONG_XA!$B$2:$B$3323,SUMPRODUCT((PHUONG_XA!$A$2:$A$3323&amp;""=AH5&amp;"")*(PHUONG_XA!$C$2:$C$3323&amp;""=AF5&amp;"")*(ROW(PHUONG_XA!$A$2:$A$3323)-ROW(PHUONG_XA!$A$2)+1)))))</f>
        <v>Xã Vĩnh Thanh</v>
      </c>
      <c r="AJ5" s="14" t="s">
        <v>13806</v>
      </c>
      <c r="AK5" s="14"/>
      <c r="AL5" s="57" t="str">
        <f t="shared" ref="AL5:AL6" si="0">IF(OR(AI5="",AG5=""),"",SUBSTITUTE(SUBSTITUTE(AI5,"Phường","P."),"Xã","X.")&amp;", "&amp;SUBSTITUTE(SUBSTITUTE(AG5,"Thành phố","TP."),"Tỉnh","T."))</f>
        <v>X. Vĩnh Thanh, T. Cà Mau</v>
      </c>
      <c r="AM5" s="14"/>
      <c r="AN5" s="15" t="s">
        <v>14</v>
      </c>
      <c r="AO5" s="15" t="s">
        <v>24</v>
      </c>
      <c r="AP5" s="48" t="s">
        <v>13820</v>
      </c>
      <c r="AQ5" s="15" t="s">
        <v>14</v>
      </c>
      <c r="AR5" s="15" t="s">
        <v>14</v>
      </c>
      <c r="AS5" s="15" t="s">
        <v>14</v>
      </c>
      <c r="AT5" s="60" t="str">
        <f>IF(ISNUMBER(MATCH(AU5,LOAI_THE!$B:$B,0)),INDEX(LOAI_THE!$A:$A,MATCH(AU5,LOAI_THE!$B:$B,0)),"")</f>
        <v>Success</v>
      </c>
      <c r="AU5" s="48" t="s">
        <v>4270</v>
      </c>
      <c r="AV5" s="15" t="s">
        <v>4526</v>
      </c>
      <c r="AW5" s="15" t="s">
        <v>4499</v>
      </c>
      <c r="AX5" s="15">
        <v>0</v>
      </c>
      <c r="AY5" s="48" t="s">
        <v>13805</v>
      </c>
    </row>
    <row r="6" spans="1:51" x14ac:dyDescent="0.3">
      <c r="A6" s="13" t="s">
        <v>26</v>
      </c>
      <c r="B6" s="48"/>
      <c r="C6" s="48"/>
      <c r="D6" s="48"/>
      <c r="E6" s="48"/>
      <c r="F6" s="48"/>
      <c r="G6" s="58" t="str">
        <f>IF(ISNUMBER(MATCH(H6,GIOI_TINH!$B:$B,0)),INDEX(GIOI_TINH!$A:$A,MATCH(H6,GIOI_TINH!$B:$B,0)),"")</f>
        <v/>
      </c>
      <c r="H6" s="15"/>
      <c r="I6" s="15"/>
      <c r="J6" s="58" t="str">
        <f>IF(ISNUMBER(MATCH(K6,QUOC_GIA!$B:$B,0)),INDEX(QUOC_GIA!$A:$A,MATCH(K6,QUOC_GIA!$B:$B,0)),"")</f>
        <v/>
      </c>
      <c r="K6" s="50"/>
      <c r="L6" s="15"/>
      <c r="M6" s="58" t="str">
        <f>IF(ISNUMBER(MATCH(N6,LOAI_THUE!$B:$B,0)),INDEX(LOAI_THUE!$A:$A,MATCH(N6,LOAI_THUE!$B:$B,0)),"")</f>
        <v/>
      </c>
      <c r="N6" s="50"/>
      <c r="O6" s="58" t="str">
        <f>IF(ISNUMBER(MATCH(P6,CHI_TIET_LOAI_KH!$B:$B,0)),INDEX(CHI_TIET_LOAI_KH!$A:$A,MATCH(P6,CHI_TIET_LOAI_KH!$B:$B,0)),"")</f>
        <v/>
      </c>
      <c r="P6" s="50"/>
      <c r="Q6" s="58" t="str">
        <f>IF(ISNUMBER(MATCH(R6,NGHE_NGHIEP!$B:$B,0)),INDEX(NGHE_NGHIEP!$A:$A,MATCH(R6,NGHE_NGHIEP!$B:$B,0)),"")</f>
        <v/>
      </c>
      <c r="R6" s="50"/>
      <c r="S6" s="58" t="str">
        <f>IF(ISNUMBER(MATCH(T6,LOAI_ID!$B:$B,0)),INDEX(LOAI_ID!$A:$A,MATCH(T6,LOAI_ID!$B:$B,0)),"")</f>
        <v/>
      </c>
      <c r="T6" s="16"/>
      <c r="U6" s="48"/>
      <c r="V6" s="48"/>
      <c r="W6" s="17"/>
      <c r="X6" s="17"/>
      <c r="Y6" s="15"/>
      <c r="Z6" s="15"/>
      <c r="AA6" s="59" t="str">
        <f>IFERROR(INDEX(NOI_CAP!$B:$B,MATCH(Z6,NOI_CAP!$A:$A,0)),"")</f>
        <v/>
      </c>
      <c r="AB6" s="58" t="str">
        <f>IF(ISNUMBER(MATCH(AC6,LOAI_DIA_CHI!$B:$B,0)),INDEX(LOAI_DIA_CHI!$A:$A,MATCH(AC6,LOAI_DIA_CHI!$B:$B,0)),"")</f>
        <v/>
      </c>
      <c r="AC6" s="16"/>
      <c r="AD6" s="58" t="str">
        <f>IF(ISNUMBER(MATCH(AE6,QUOC_GIA!$B:$B,0)),INDEX(QUOC_GIA!$A:$A,MATCH(AE6,QUOC_GIA!$B:$B,0)),"")</f>
        <v/>
      </c>
      <c r="AE6" s="16"/>
      <c r="AF6" s="48"/>
      <c r="AG6" s="59" t="str">
        <f>IFERROR(INDEX(TINH_TP!$B:$B,MATCH(AF6,TINH_TP!$A:$A,0)),"")</f>
        <v/>
      </c>
      <c r="AH6" s="15"/>
      <c r="AI6" s="59" t="str">
        <f>IF(OR(AF6="",AH6=""),"",IF(COUNTIFS(PHUONG_XA!$A$2:$A$3323,AH6,PHUONG_XA!$C$2:$C$3323,AF6)=0,"",INDEX(PHUONG_XA!$B$2:$B$3323,SUMPRODUCT((PHUONG_XA!$A$2:$A$3323&amp;""=AH6&amp;"")*(PHUONG_XA!$C$2:$C$3323&amp;""=AF6&amp;"")*(ROW(PHUONG_XA!$A$2:$A$3323)-ROW(PHUONG_XA!$A$2)+1)))))</f>
        <v/>
      </c>
      <c r="AJ6" s="14"/>
      <c r="AK6" s="14"/>
      <c r="AL6" s="57" t="str">
        <f t="shared" si="0"/>
        <v/>
      </c>
      <c r="AM6" s="14"/>
      <c r="AN6" s="15"/>
      <c r="AO6" s="15"/>
      <c r="AP6" s="48"/>
      <c r="AQ6" s="15"/>
      <c r="AR6" s="15"/>
      <c r="AS6" s="15"/>
      <c r="AT6" s="60" t="str">
        <f>IF(ISNUMBER(MATCH(AU6,LOAI_THE!$B:$B,0)),INDEX(LOAI_THE!$A:$A,MATCH(AU6,LOAI_THE!$B:$B,0)),"")</f>
        <v/>
      </c>
      <c r="AU6" s="48"/>
      <c r="AV6" s="15"/>
      <c r="AW6" s="15"/>
      <c r="AX6" s="15"/>
      <c r="AY6" s="48"/>
    </row>
    <row r="7" spans="1:51" x14ac:dyDescent="0.3">
      <c r="A7" s="13" t="s">
        <v>28</v>
      </c>
      <c r="B7" s="48"/>
      <c r="C7" s="48"/>
      <c r="D7" s="48"/>
      <c r="E7" s="48"/>
      <c r="F7" s="48"/>
      <c r="G7" s="58" t="str">
        <f>IF(ISNUMBER(MATCH(H7,GIOI_TINH!$B:$B,0)),INDEX(GIOI_TINH!$A:$A,MATCH(H7,GIOI_TINH!$B:$B,0)),"")</f>
        <v/>
      </c>
      <c r="H7" s="15"/>
      <c r="I7" s="15"/>
      <c r="J7" s="58" t="str">
        <f>IF(ISNUMBER(MATCH(K7,QUOC_GIA!$B:$B,0)),INDEX(QUOC_GIA!$A:$A,MATCH(K7,QUOC_GIA!$B:$B,0)),"")</f>
        <v/>
      </c>
      <c r="K7" s="50"/>
      <c r="L7" s="15"/>
      <c r="M7" s="58" t="str">
        <f>IF(ISNUMBER(MATCH(N7,LOAI_THUE!$B:$B,0)),INDEX(LOAI_THUE!$A:$A,MATCH(N7,LOAI_THUE!$B:$B,0)),"")</f>
        <v/>
      </c>
      <c r="N7" s="50"/>
      <c r="O7" s="58" t="str">
        <f>IF(ISNUMBER(MATCH(P7,CHI_TIET_LOAI_KH!$B:$B,0)),INDEX(CHI_TIET_LOAI_KH!$A:$A,MATCH(P7,CHI_TIET_LOAI_KH!$B:$B,0)),"")</f>
        <v/>
      </c>
      <c r="P7" s="50"/>
      <c r="Q7" s="58" t="str">
        <f>IF(ISNUMBER(MATCH(R7,NGHE_NGHIEP!$B:$B,0)),INDEX(NGHE_NGHIEP!$A:$A,MATCH(R7,NGHE_NGHIEP!$B:$B,0)),"")</f>
        <v/>
      </c>
      <c r="R7" s="50"/>
      <c r="S7" s="58" t="str">
        <f>IF(ISNUMBER(MATCH(T7,LOAI_ID!$B:$B,0)),INDEX(LOAI_ID!$A:$A,MATCH(T7,LOAI_ID!$B:$B,0)),"")</f>
        <v/>
      </c>
      <c r="T7" s="16"/>
      <c r="U7" s="48"/>
      <c r="V7" s="48"/>
      <c r="W7" s="17"/>
      <c r="X7" s="17"/>
      <c r="Y7" s="15"/>
      <c r="Z7" s="15"/>
      <c r="AA7" s="59" t="str">
        <f>IFERROR(INDEX(NOI_CAP!$B:$B,MATCH(Z7,NOI_CAP!$A:$A,0)),"")</f>
        <v/>
      </c>
      <c r="AB7" s="58" t="str">
        <f>IF(ISNUMBER(MATCH(AC7,LOAI_DIA_CHI!$B:$B,0)),INDEX(LOAI_DIA_CHI!$A:$A,MATCH(AC7,LOAI_DIA_CHI!$B:$B,0)),"")</f>
        <v/>
      </c>
      <c r="AC7" s="16"/>
      <c r="AD7" s="58" t="str">
        <f>IF(ISNUMBER(MATCH(AE7,QUOC_GIA!$B:$B,0)),INDEX(QUOC_GIA!$A:$A,MATCH(AE7,QUOC_GIA!$B:$B,0)),"")</f>
        <v/>
      </c>
      <c r="AE7" s="16"/>
      <c r="AF7" s="48"/>
      <c r="AG7" s="59" t="str">
        <f>IFERROR(INDEX(TINH_TP!$B:$B,MATCH(AF7,TINH_TP!$A:$A,0)),"")</f>
        <v/>
      </c>
      <c r="AH7" s="15"/>
      <c r="AI7" s="59" t="str">
        <f>IF(OR(AF7="",AH7=""),"",IF(COUNTIFS(PHUONG_XA!$A$2:$A$3323,AH7,PHUONG_XA!$C$2:$C$3323,AF7)=0,"",INDEX(PHUONG_XA!$B$2:$B$3323,SUMPRODUCT((PHUONG_XA!$A$2:$A$3323&amp;""=AH7&amp;"")*(PHUONG_XA!$C$2:$C$3323&amp;""=AF7&amp;"")*(ROW(PHUONG_XA!$A$2:$A$3323)-ROW(PHUONG_XA!$A$2)+1)))))</f>
        <v/>
      </c>
      <c r="AJ7" s="14"/>
      <c r="AK7" s="14"/>
      <c r="AL7" s="57" t="str">
        <f t="shared" ref="AL7:AL70" si="1">IF(OR(AI7="",AG7=""),"",SUBSTITUTE(SUBSTITUTE(AI7,"Phường","P."),"Xã","X.")&amp;", "&amp;SUBSTITUTE(SUBSTITUTE(AG7,"Thành phố","TP."),"Tỉnh","T."))</f>
        <v/>
      </c>
      <c r="AM7" s="14"/>
      <c r="AN7" s="15"/>
      <c r="AO7" s="15"/>
      <c r="AP7" s="48"/>
      <c r="AQ7" s="15"/>
      <c r="AR7" s="15"/>
      <c r="AS7" s="15"/>
      <c r="AT7" s="60" t="str">
        <f>IF(ISNUMBER(MATCH(AU7,LOAI_THE!$B:$B,0)),INDEX(LOAI_THE!$A:$A,MATCH(AU7,LOAI_THE!$B:$B,0)),"")</f>
        <v/>
      </c>
      <c r="AU7" s="48"/>
      <c r="AV7" s="15"/>
      <c r="AW7" s="15"/>
      <c r="AX7" s="15"/>
      <c r="AY7" s="48"/>
    </row>
    <row r="8" spans="1:51" x14ac:dyDescent="0.3">
      <c r="A8" s="13" t="s">
        <v>29</v>
      </c>
      <c r="B8" s="48"/>
      <c r="C8" s="48"/>
      <c r="D8" s="48"/>
      <c r="E8" s="48"/>
      <c r="F8" s="48"/>
      <c r="G8" s="58" t="str">
        <f>IF(ISNUMBER(MATCH(H8,GIOI_TINH!$B:$B,0)),INDEX(GIOI_TINH!$A:$A,MATCH(H8,GIOI_TINH!$B:$B,0)),"")</f>
        <v/>
      </c>
      <c r="H8" s="15"/>
      <c r="I8" s="15"/>
      <c r="J8" s="58" t="str">
        <f>IF(ISNUMBER(MATCH(K8,QUOC_GIA!$B:$B,0)),INDEX(QUOC_GIA!$A:$A,MATCH(K8,QUOC_GIA!$B:$B,0)),"")</f>
        <v/>
      </c>
      <c r="K8" s="50"/>
      <c r="L8" s="15"/>
      <c r="M8" s="58" t="str">
        <f>IF(ISNUMBER(MATCH(N8,LOAI_THUE!$B:$B,0)),INDEX(LOAI_THUE!$A:$A,MATCH(N8,LOAI_THUE!$B:$B,0)),"")</f>
        <v/>
      </c>
      <c r="N8" s="50"/>
      <c r="O8" s="58" t="str">
        <f>IF(ISNUMBER(MATCH(P8,CHI_TIET_LOAI_KH!$B:$B,0)),INDEX(CHI_TIET_LOAI_KH!$A:$A,MATCH(P8,CHI_TIET_LOAI_KH!$B:$B,0)),"")</f>
        <v/>
      </c>
      <c r="P8" s="50"/>
      <c r="Q8" s="58" t="str">
        <f>IF(ISNUMBER(MATCH(R8,NGHE_NGHIEP!$B:$B,0)),INDEX(NGHE_NGHIEP!$A:$A,MATCH(R8,NGHE_NGHIEP!$B:$B,0)),"")</f>
        <v/>
      </c>
      <c r="R8" s="50"/>
      <c r="S8" s="58" t="str">
        <f>IF(ISNUMBER(MATCH(T8,LOAI_ID!$B:$B,0)),INDEX(LOAI_ID!$A:$A,MATCH(T8,LOAI_ID!$B:$B,0)),"")</f>
        <v/>
      </c>
      <c r="T8" s="16"/>
      <c r="U8" s="48"/>
      <c r="V8" s="48"/>
      <c r="W8" s="17"/>
      <c r="X8" s="17"/>
      <c r="Y8" s="15"/>
      <c r="Z8" s="15"/>
      <c r="AA8" s="59" t="str">
        <f>IFERROR(INDEX(NOI_CAP!$B:$B,MATCH(Z8,NOI_CAP!$A:$A,0)),"")</f>
        <v/>
      </c>
      <c r="AB8" s="58" t="str">
        <f>IF(ISNUMBER(MATCH(AC8,LOAI_DIA_CHI!$B:$B,0)),INDEX(LOAI_DIA_CHI!$A:$A,MATCH(AC8,LOAI_DIA_CHI!$B:$B,0)),"")</f>
        <v/>
      </c>
      <c r="AC8" s="16"/>
      <c r="AD8" s="58" t="str">
        <f>IF(ISNUMBER(MATCH(AE8,QUOC_GIA!$B:$B,0)),INDEX(QUOC_GIA!$A:$A,MATCH(AE8,QUOC_GIA!$B:$B,0)),"")</f>
        <v/>
      </c>
      <c r="AE8" s="16"/>
      <c r="AF8" s="48"/>
      <c r="AG8" s="59" t="str">
        <f>IFERROR(INDEX(TINH_TP!$B:$B,MATCH(AF8,TINH_TP!$A:$A,0)),"")</f>
        <v/>
      </c>
      <c r="AH8" s="15"/>
      <c r="AI8" s="59" t="str">
        <f>IF(OR(AF8="",AH8=""),"",IF(COUNTIFS(PHUONG_XA!$A$2:$A$3323,AH8,PHUONG_XA!$C$2:$C$3323,AF8)=0,"",INDEX(PHUONG_XA!$B$2:$B$3323,SUMPRODUCT((PHUONG_XA!$A$2:$A$3323&amp;""=AH8&amp;"")*(PHUONG_XA!$C$2:$C$3323&amp;""=AF8&amp;"")*(ROW(PHUONG_XA!$A$2:$A$3323)-ROW(PHUONG_XA!$A$2)+1)))))</f>
        <v/>
      </c>
      <c r="AJ8" s="14"/>
      <c r="AK8" s="14"/>
      <c r="AL8" s="57" t="str">
        <f t="shared" si="1"/>
        <v/>
      </c>
      <c r="AM8" s="14"/>
      <c r="AN8" s="15"/>
      <c r="AO8" s="15"/>
      <c r="AP8" s="48"/>
      <c r="AQ8" s="15"/>
      <c r="AR8" s="15"/>
      <c r="AS8" s="15"/>
      <c r="AT8" s="60" t="str">
        <f>IF(ISNUMBER(MATCH(AU8,LOAI_THE!$B:$B,0)),INDEX(LOAI_THE!$A:$A,MATCH(AU8,LOAI_THE!$B:$B,0)),"")</f>
        <v/>
      </c>
      <c r="AU8" s="48"/>
      <c r="AV8" s="15"/>
      <c r="AW8" s="15"/>
      <c r="AX8" s="15"/>
      <c r="AY8" s="48"/>
    </row>
    <row r="9" spans="1:51" x14ac:dyDescent="0.3">
      <c r="A9" s="13" t="s">
        <v>30</v>
      </c>
      <c r="B9" s="48"/>
      <c r="C9" s="48"/>
      <c r="D9" s="48"/>
      <c r="E9" s="48"/>
      <c r="F9" s="48"/>
      <c r="G9" s="58" t="str">
        <f>IF(ISNUMBER(MATCH(H9,GIOI_TINH!$B:$B,0)),INDEX(GIOI_TINH!$A:$A,MATCH(H9,GIOI_TINH!$B:$B,0)),"")</f>
        <v/>
      </c>
      <c r="H9" s="15"/>
      <c r="I9" s="15"/>
      <c r="J9" s="58" t="str">
        <f>IF(ISNUMBER(MATCH(K9,QUOC_GIA!$B:$B,0)),INDEX(QUOC_GIA!$A:$A,MATCH(K9,QUOC_GIA!$B:$B,0)),"")</f>
        <v/>
      </c>
      <c r="K9" s="50"/>
      <c r="L9" s="15"/>
      <c r="M9" s="58" t="str">
        <f>IF(ISNUMBER(MATCH(N9,LOAI_THUE!$B:$B,0)),INDEX(LOAI_THUE!$A:$A,MATCH(N9,LOAI_THUE!$B:$B,0)),"")</f>
        <v/>
      </c>
      <c r="N9" s="50"/>
      <c r="O9" s="58" t="str">
        <f>IF(ISNUMBER(MATCH(P9,CHI_TIET_LOAI_KH!$B:$B,0)),INDEX(CHI_TIET_LOAI_KH!$A:$A,MATCH(P9,CHI_TIET_LOAI_KH!$B:$B,0)),"")</f>
        <v/>
      </c>
      <c r="P9" s="50"/>
      <c r="Q9" s="58" t="str">
        <f>IF(ISNUMBER(MATCH(R9,NGHE_NGHIEP!$B:$B,0)),INDEX(NGHE_NGHIEP!$A:$A,MATCH(R9,NGHE_NGHIEP!$B:$B,0)),"")</f>
        <v/>
      </c>
      <c r="R9" s="50"/>
      <c r="S9" s="58" t="str">
        <f>IF(ISNUMBER(MATCH(T9,LOAI_ID!$B:$B,0)),INDEX(LOAI_ID!$A:$A,MATCH(T9,LOAI_ID!$B:$B,0)),"")</f>
        <v/>
      </c>
      <c r="T9" s="16"/>
      <c r="U9" s="48"/>
      <c r="V9" s="48"/>
      <c r="W9" s="17"/>
      <c r="X9" s="17"/>
      <c r="Y9" s="15"/>
      <c r="Z9" s="15"/>
      <c r="AA9" s="59" t="str">
        <f>IFERROR(INDEX(NOI_CAP!$B:$B,MATCH(Z9,NOI_CAP!$A:$A,0)),"")</f>
        <v/>
      </c>
      <c r="AB9" s="58" t="str">
        <f>IF(ISNUMBER(MATCH(AC9,LOAI_DIA_CHI!$B:$B,0)),INDEX(LOAI_DIA_CHI!$A:$A,MATCH(AC9,LOAI_DIA_CHI!$B:$B,0)),"")</f>
        <v/>
      </c>
      <c r="AC9" s="16"/>
      <c r="AD9" s="58" t="str">
        <f>IF(ISNUMBER(MATCH(AE9,QUOC_GIA!$B:$B,0)),INDEX(QUOC_GIA!$A:$A,MATCH(AE9,QUOC_GIA!$B:$B,0)),"")</f>
        <v/>
      </c>
      <c r="AE9" s="16"/>
      <c r="AF9" s="48"/>
      <c r="AG9" s="59" t="str">
        <f>IFERROR(INDEX(TINH_TP!$B:$B,MATCH(AF9,TINH_TP!$A:$A,0)),"")</f>
        <v/>
      </c>
      <c r="AH9" s="15"/>
      <c r="AI9" s="59" t="str">
        <f>IF(OR(AF9="",AH9=""),"",IF(COUNTIFS(PHUONG_XA!$A$2:$A$3323,AH9,PHUONG_XA!$C$2:$C$3323,AF9)=0,"",INDEX(PHUONG_XA!$B$2:$B$3323,SUMPRODUCT((PHUONG_XA!$A$2:$A$3323&amp;""=AH9&amp;"")*(PHUONG_XA!$C$2:$C$3323&amp;""=AF9&amp;"")*(ROW(PHUONG_XA!$A$2:$A$3323)-ROW(PHUONG_XA!$A$2)+1)))))</f>
        <v/>
      </c>
      <c r="AJ9" s="14"/>
      <c r="AK9" s="14"/>
      <c r="AL9" s="57" t="str">
        <f t="shared" si="1"/>
        <v/>
      </c>
      <c r="AM9" s="14"/>
      <c r="AN9" s="15"/>
      <c r="AO9" s="15"/>
      <c r="AP9" s="48"/>
      <c r="AQ9" s="15"/>
      <c r="AR9" s="15"/>
      <c r="AS9" s="15"/>
      <c r="AT9" s="60" t="str">
        <f>IF(ISNUMBER(MATCH(AU9,LOAI_THE!$B:$B,0)),INDEX(LOAI_THE!$A:$A,MATCH(AU9,LOAI_THE!$B:$B,0)),"")</f>
        <v/>
      </c>
      <c r="AU9" s="48"/>
      <c r="AV9" s="15"/>
      <c r="AW9" s="15"/>
      <c r="AX9" s="15"/>
      <c r="AY9" s="48"/>
    </row>
    <row r="10" spans="1:51" x14ac:dyDescent="0.3">
      <c r="A10" s="13" t="s">
        <v>31</v>
      </c>
      <c r="B10" s="48"/>
      <c r="C10" s="48"/>
      <c r="D10" s="48"/>
      <c r="E10" s="48"/>
      <c r="F10" s="48"/>
      <c r="G10" s="58" t="str">
        <f>IF(ISNUMBER(MATCH(H10,GIOI_TINH!$B:$B,0)),INDEX(GIOI_TINH!$A:$A,MATCH(H10,GIOI_TINH!$B:$B,0)),"")</f>
        <v/>
      </c>
      <c r="H10" s="15"/>
      <c r="I10" s="15"/>
      <c r="J10" s="58" t="str">
        <f>IF(ISNUMBER(MATCH(K10,QUOC_GIA!$B:$B,0)),INDEX(QUOC_GIA!$A:$A,MATCH(K10,QUOC_GIA!$B:$B,0)),"")</f>
        <v/>
      </c>
      <c r="K10" s="50"/>
      <c r="L10" s="15"/>
      <c r="M10" s="58" t="str">
        <f>IF(ISNUMBER(MATCH(N10,LOAI_THUE!$B:$B,0)),INDEX(LOAI_THUE!$A:$A,MATCH(N10,LOAI_THUE!$B:$B,0)),"")</f>
        <v/>
      </c>
      <c r="N10" s="50"/>
      <c r="O10" s="58" t="str">
        <f>IF(ISNUMBER(MATCH(P10,CHI_TIET_LOAI_KH!$B:$B,0)),INDEX(CHI_TIET_LOAI_KH!$A:$A,MATCH(P10,CHI_TIET_LOAI_KH!$B:$B,0)),"")</f>
        <v/>
      </c>
      <c r="P10" s="50"/>
      <c r="Q10" s="58" t="str">
        <f>IF(ISNUMBER(MATCH(R10,NGHE_NGHIEP!$B:$B,0)),INDEX(NGHE_NGHIEP!$A:$A,MATCH(R10,NGHE_NGHIEP!$B:$B,0)),"")</f>
        <v/>
      </c>
      <c r="R10" s="50"/>
      <c r="S10" s="58" t="str">
        <f>IF(ISNUMBER(MATCH(T10,LOAI_ID!$B:$B,0)),INDEX(LOAI_ID!$A:$A,MATCH(T10,LOAI_ID!$B:$B,0)),"")</f>
        <v/>
      </c>
      <c r="T10" s="16"/>
      <c r="U10" s="48"/>
      <c r="V10" s="48"/>
      <c r="W10" s="17"/>
      <c r="X10" s="17"/>
      <c r="Y10" s="15"/>
      <c r="Z10" s="15"/>
      <c r="AA10" s="59" t="str">
        <f>IFERROR(INDEX(NOI_CAP!$B:$B,MATCH(Z10,NOI_CAP!$A:$A,0)),"")</f>
        <v/>
      </c>
      <c r="AB10" s="58" t="str">
        <f>IF(ISNUMBER(MATCH(AC10,LOAI_DIA_CHI!$B:$B,0)),INDEX(LOAI_DIA_CHI!$A:$A,MATCH(AC10,LOAI_DIA_CHI!$B:$B,0)),"")</f>
        <v/>
      </c>
      <c r="AC10" s="16"/>
      <c r="AD10" s="58" t="str">
        <f>IF(ISNUMBER(MATCH(AE10,QUOC_GIA!$B:$B,0)),INDEX(QUOC_GIA!$A:$A,MATCH(AE10,QUOC_GIA!$B:$B,0)),"")</f>
        <v/>
      </c>
      <c r="AE10" s="16"/>
      <c r="AF10" s="48"/>
      <c r="AG10" s="59" t="str">
        <f>IFERROR(INDEX(TINH_TP!$B:$B,MATCH(AF10,TINH_TP!$A:$A,0)),"")</f>
        <v/>
      </c>
      <c r="AH10" s="15"/>
      <c r="AI10" s="59" t="str">
        <f>IF(OR(AF10="",AH10=""),"",IF(COUNTIFS(PHUONG_XA!$A$2:$A$3323,AH10,PHUONG_XA!$C$2:$C$3323,AF10)=0,"",INDEX(PHUONG_XA!$B$2:$B$3323,SUMPRODUCT((PHUONG_XA!$A$2:$A$3323&amp;""=AH10&amp;"")*(PHUONG_XA!$C$2:$C$3323&amp;""=AF10&amp;"")*(ROW(PHUONG_XA!$A$2:$A$3323)-ROW(PHUONG_XA!$A$2)+1)))))</f>
        <v/>
      </c>
      <c r="AJ10" s="14"/>
      <c r="AK10" s="14"/>
      <c r="AL10" s="57" t="str">
        <f t="shared" si="1"/>
        <v/>
      </c>
      <c r="AM10" s="14"/>
      <c r="AN10" s="15"/>
      <c r="AO10" s="15"/>
      <c r="AP10" s="48"/>
      <c r="AQ10" s="15"/>
      <c r="AR10" s="15"/>
      <c r="AS10" s="15"/>
      <c r="AT10" s="60" t="str">
        <f>IF(ISNUMBER(MATCH(AU10,LOAI_THE!$B:$B,0)),INDEX(LOAI_THE!$A:$A,MATCH(AU10,LOAI_THE!$B:$B,0)),"")</f>
        <v/>
      </c>
      <c r="AU10" s="48"/>
      <c r="AV10" s="15"/>
      <c r="AW10" s="15"/>
      <c r="AX10" s="15"/>
      <c r="AY10" s="48"/>
    </row>
    <row r="11" spans="1:51" x14ac:dyDescent="0.3">
      <c r="A11" s="13" t="s">
        <v>32</v>
      </c>
      <c r="B11" s="48"/>
      <c r="C11" s="48"/>
      <c r="D11" s="48"/>
      <c r="E11" s="48"/>
      <c r="F11" s="48"/>
      <c r="G11" s="58" t="str">
        <f>IF(ISNUMBER(MATCH(H11,GIOI_TINH!$B:$B,0)),INDEX(GIOI_TINH!$A:$A,MATCH(H11,GIOI_TINH!$B:$B,0)),"")</f>
        <v/>
      </c>
      <c r="H11" s="15"/>
      <c r="I11" s="15"/>
      <c r="J11" s="58" t="str">
        <f>IF(ISNUMBER(MATCH(K11,QUOC_GIA!$B:$B,0)),INDEX(QUOC_GIA!$A:$A,MATCH(K11,QUOC_GIA!$B:$B,0)),"")</f>
        <v/>
      </c>
      <c r="K11" s="50"/>
      <c r="L11" s="15"/>
      <c r="M11" s="58" t="str">
        <f>IF(ISNUMBER(MATCH(N11,LOAI_THUE!$B:$B,0)),INDEX(LOAI_THUE!$A:$A,MATCH(N11,LOAI_THUE!$B:$B,0)),"")</f>
        <v/>
      </c>
      <c r="N11" s="50"/>
      <c r="O11" s="58" t="str">
        <f>IF(ISNUMBER(MATCH(P11,CHI_TIET_LOAI_KH!$B:$B,0)),INDEX(CHI_TIET_LOAI_KH!$A:$A,MATCH(P11,CHI_TIET_LOAI_KH!$B:$B,0)),"")</f>
        <v/>
      </c>
      <c r="P11" s="50"/>
      <c r="Q11" s="58" t="str">
        <f>IF(ISNUMBER(MATCH(R11,NGHE_NGHIEP!$B:$B,0)),INDEX(NGHE_NGHIEP!$A:$A,MATCH(R11,NGHE_NGHIEP!$B:$B,0)),"")</f>
        <v/>
      </c>
      <c r="R11" s="50"/>
      <c r="S11" s="58" t="str">
        <f>IF(ISNUMBER(MATCH(T11,LOAI_ID!$B:$B,0)),INDEX(LOAI_ID!$A:$A,MATCH(T11,LOAI_ID!$B:$B,0)),"")</f>
        <v/>
      </c>
      <c r="T11" s="16"/>
      <c r="U11" s="48"/>
      <c r="V11" s="48"/>
      <c r="W11" s="17"/>
      <c r="X11" s="17"/>
      <c r="Y11" s="15"/>
      <c r="Z11" s="15"/>
      <c r="AA11" s="59" t="str">
        <f>IFERROR(INDEX(NOI_CAP!$B:$B,MATCH(Z11,NOI_CAP!$A:$A,0)),"")</f>
        <v/>
      </c>
      <c r="AB11" s="58" t="str">
        <f>IF(ISNUMBER(MATCH(AC11,LOAI_DIA_CHI!$B:$B,0)),INDEX(LOAI_DIA_CHI!$A:$A,MATCH(AC11,LOAI_DIA_CHI!$B:$B,0)),"")</f>
        <v/>
      </c>
      <c r="AC11" s="16"/>
      <c r="AD11" s="58" t="str">
        <f>IF(ISNUMBER(MATCH(AE11,QUOC_GIA!$B:$B,0)),INDEX(QUOC_GIA!$A:$A,MATCH(AE11,QUOC_GIA!$B:$B,0)),"")</f>
        <v/>
      </c>
      <c r="AE11" s="16"/>
      <c r="AF11" s="48"/>
      <c r="AG11" s="59" t="str">
        <f>IFERROR(INDEX(TINH_TP!$B:$B,MATCH(AF11,TINH_TP!$A:$A,0)),"")</f>
        <v/>
      </c>
      <c r="AH11" s="15"/>
      <c r="AI11" s="59" t="str">
        <f>IF(OR(AF11="",AH11=""),"",IF(COUNTIFS(PHUONG_XA!$A$2:$A$3323,AH11,PHUONG_XA!$C$2:$C$3323,AF11)=0,"",INDEX(PHUONG_XA!$B$2:$B$3323,SUMPRODUCT((PHUONG_XA!$A$2:$A$3323&amp;""=AH11&amp;"")*(PHUONG_XA!$C$2:$C$3323&amp;""=AF11&amp;"")*(ROW(PHUONG_XA!$A$2:$A$3323)-ROW(PHUONG_XA!$A$2)+1)))))</f>
        <v/>
      </c>
      <c r="AJ11" s="14"/>
      <c r="AK11" s="14"/>
      <c r="AL11" s="57" t="str">
        <f t="shared" si="1"/>
        <v/>
      </c>
      <c r="AM11" s="14"/>
      <c r="AN11" s="15"/>
      <c r="AO11" s="15"/>
      <c r="AP11" s="48"/>
      <c r="AQ11" s="15"/>
      <c r="AR11" s="15"/>
      <c r="AS11" s="15"/>
      <c r="AT11" s="60" t="str">
        <f>IF(ISNUMBER(MATCH(AU11,LOAI_THE!$B:$B,0)),INDEX(LOAI_THE!$A:$A,MATCH(AU11,LOAI_THE!$B:$B,0)),"")</f>
        <v/>
      </c>
      <c r="AU11" s="48"/>
      <c r="AV11" s="15"/>
      <c r="AW11" s="15"/>
      <c r="AX11" s="15"/>
      <c r="AY11" s="48"/>
    </row>
    <row r="12" spans="1:51" x14ac:dyDescent="0.3">
      <c r="A12" s="13" t="s">
        <v>33</v>
      </c>
      <c r="B12" s="48"/>
      <c r="C12" s="48"/>
      <c r="D12" s="48"/>
      <c r="E12" s="48"/>
      <c r="F12" s="48"/>
      <c r="G12" s="58" t="str">
        <f>IF(ISNUMBER(MATCH(H12,GIOI_TINH!$B:$B,0)),INDEX(GIOI_TINH!$A:$A,MATCH(H12,GIOI_TINH!$B:$B,0)),"")</f>
        <v/>
      </c>
      <c r="H12" s="15"/>
      <c r="I12" s="15"/>
      <c r="J12" s="58" t="str">
        <f>IF(ISNUMBER(MATCH(K12,QUOC_GIA!$B:$B,0)),INDEX(QUOC_GIA!$A:$A,MATCH(K12,QUOC_GIA!$B:$B,0)),"")</f>
        <v/>
      </c>
      <c r="K12" s="50"/>
      <c r="L12" s="15"/>
      <c r="M12" s="58" t="str">
        <f>IF(ISNUMBER(MATCH(N12,LOAI_THUE!$B:$B,0)),INDEX(LOAI_THUE!$A:$A,MATCH(N12,LOAI_THUE!$B:$B,0)),"")</f>
        <v/>
      </c>
      <c r="N12" s="50"/>
      <c r="O12" s="58" t="str">
        <f>IF(ISNUMBER(MATCH(P12,CHI_TIET_LOAI_KH!$B:$B,0)),INDEX(CHI_TIET_LOAI_KH!$A:$A,MATCH(P12,CHI_TIET_LOAI_KH!$B:$B,0)),"")</f>
        <v/>
      </c>
      <c r="P12" s="50"/>
      <c r="Q12" s="58" t="str">
        <f>IF(ISNUMBER(MATCH(R12,NGHE_NGHIEP!$B:$B,0)),INDEX(NGHE_NGHIEP!$A:$A,MATCH(R12,NGHE_NGHIEP!$B:$B,0)),"")</f>
        <v/>
      </c>
      <c r="R12" s="50"/>
      <c r="S12" s="58" t="str">
        <f>IF(ISNUMBER(MATCH(T12,LOAI_ID!$B:$B,0)),INDEX(LOAI_ID!$A:$A,MATCH(T12,LOAI_ID!$B:$B,0)),"")</f>
        <v/>
      </c>
      <c r="T12" s="16"/>
      <c r="U12" s="48"/>
      <c r="V12" s="48"/>
      <c r="W12" s="17"/>
      <c r="X12" s="17"/>
      <c r="Y12" s="15"/>
      <c r="Z12" s="15"/>
      <c r="AA12" s="59" t="str">
        <f>IFERROR(INDEX(NOI_CAP!$B:$B,MATCH(Z12,NOI_CAP!$A:$A,0)),"")</f>
        <v/>
      </c>
      <c r="AB12" s="58" t="str">
        <f>IF(ISNUMBER(MATCH(AC12,LOAI_DIA_CHI!$B:$B,0)),INDEX(LOAI_DIA_CHI!$A:$A,MATCH(AC12,LOAI_DIA_CHI!$B:$B,0)),"")</f>
        <v/>
      </c>
      <c r="AC12" s="16"/>
      <c r="AD12" s="58" t="str">
        <f>IF(ISNUMBER(MATCH(AE12,QUOC_GIA!$B:$B,0)),INDEX(QUOC_GIA!$A:$A,MATCH(AE12,QUOC_GIA!$B:$B,0)),"")</f>
        <v/>
      </c>
      <c r="AE12" s="16"/>
      <c r="AF12" s="48"/>
      <c r="AG12" s="59" t="str">
        <f>IFERROR(INDEX(TINH_TP!$B:$B,MATCH(AF12,TINH_TP!$A:$A,0)),"")</f>
        <v/>
      </c>
      <c r="AH12" s="15"/>
      <c r="AI12" s="59" t="str">
        <f>IF(OR(AF12="",AH12=""),"",IF(COUNTIFS(PHUONG_XA!$A$2:$A$3323,AH12,PHUONG_XA!$C$2:$C$3323,AF12)=0,"",INDEX(PHUONG_XA!$B$2:$B$3323,SUMPRODUCT((PHUONG_XA!$A$2:$A$3323&amp;""=AH12&amp;"")*(PHUONG_XA!$C$2:$C$3323&amp;""=AF12&amp;"")*(ROW(PHUONG_XA!$A$2:$A$3323)-ROW(PHUONG_XA!$A$2)+1)))))</f>
        <v/>
      </c>
      <c r="AJ12" s="14"/>
      <c r="AK12" s="14"/>
      <c r="AL12" s="57" t="str">
        <f t="shared" si="1"/>
        <v/>
      </c>
      <c r="AM12" s="14"/>
      <c r="AN12" s="15"/>
      <c r="AO12" s="15"/>
      <c r="AP12" s="48"/>
      <c r="AQ12" s="15"/>
      <c r="AR12" s="15"/>
      <c r="AS12" s="15"/>
      <c r="AT12" s="60" t="str">
        <f>IF(ISNUMBER(MATCH(AU12,LOAI_THE!$B:$B,0)),INDEX(LOAI_THE!$A:$A,MATCH(AU12,LOAI_THE!$B:$B,0)),"")</f>
        <v/>
      </c>
      <c r="AU12" s="48"/>
      <c r="AV12" s="15"/>
      <c r="AW12" s="15"/>
      <c r="AX12" s="15"/>
      <c r="AY12" s="48"/>
    </row>
    <row r="13" spans="1:51" x14ac:dyDescent="0.3">
      <c r="A13" s="13" t="s">
        <v>34</v>
      </c>
      <c r="B13" s="48"/>
      <c r="C13" s="48"/>
      <c r="D13" s="48"/>
      <c r="E13" s="48"/>
      <c r="F13" s="48"/>
      <c r="G13" s="58" t="str">
        <f>IF(ISNUMBER(MATCH(H13,GIOI_TINH!$B:$B,0)),INDEX(GIOI_TINH!$A:$A,MATCH(H13,GIOI_TINH!$B:$B,0)),"")</f>
        <v/>
      </c>
      <c r="H13" s="15"/>
      <c r="I13" s="15"/>
      <c r="J13" s="58" t="str">
        <f>IF(ISNUMBER(MATCH(K13,QUOC_GIA!$B:$B,0)),INDEX(QUOC_GIA!$A:$A,MATCH(K13,QUOC_GIA!$B:$B,0)),"")</f>
        <v/>
      </c>
      <c r="K13" s="50"/>
      <c r="L13" s="15"/>
      <c r="M13" s="58" t="str">
        <f>IF(ISNUMBER(MATCH(N13,LOAI_THUE!$B:$B,0)),INDEX(LOAI_THUE!$A:$A,MATCH(N13,LOAI_THUE!$B:$B,0)),"")</f>
        <v/>
      </c>
      <c r="N13" s="50"/>
      <c r="O13" s="58" t="str">
        <f>IF(ISNUMBER(MATCH(P13,CHI_TIET_LOAI_KH!$B:$B,0)),INDEX(CHI_TIET_LOAI_KH!$A:$A,MATCH(P13,CHI_TIET_LOAI_KH!$B:$B,0)),"")</f>
        <v/>
      </c>
      <c r="P13" s="50"/>
      <c r="Q13" s="58" t="str">
        <f>IF(ISNUMBER(MATCH(R13,NGHE_NGHIEP!$B:$B,0)),INDEX(NGHE_NGHIEP!$A:$A,MATCH(R13,NGHE_NGHIEP!$B:$B,0)),"")</f>
        <v/>
      </c>
      <c r="R13" s="50"/>
      <c r="S13" s="58" t="str">
        <f>IF(ISNUMBER(MATCH(T13,LOAI_ID!$B:$B,0)),INDEX(LOAI_ID!$A:$A,MATCH(T13,LOAI_ID!$B:$B,0)),"")</f>
        <v/>
      </c>
      <c r="T13" s="16"/>
      <c r="U13" s="48"/>
      <c r="V13" s="48"/>
      <c r="W13" s="17"/>
      <c r="X13" s="17"/>
      <c r="Y13" s="15"/>
      <c r="Z13" s="15"/>
      <c r="AA13" s="59" t="str">
        <f>IFERROR(INDEX(NOI_CAP!$B:$B,MATCH(Z13,NOI_CAP!$A:$A,0)),"")</f>
        <v/>
      </c>
      <c r="AB13" s="58" t="str">
        <f>IF(ISNUMBER(MATCH(AC13,LOAI_DIA_CHI!$B:$B,0)),INDEX(LOAI_DIA_CHI!$A:$A,MATCH(AC13,LOAI_DIA_CHI!$B:$B,0)),"")</f>
        <v/>
      </c>
      <c r="AC13" s="16"/>
      <c r="AD13" s="58" t="str">
        <f>IF(ISNUMBER(MATCH(AE13,QUOC_GIA!$B:$B,0)),INDEX(QUOC_GIA!$A:$A,MATCH(AE13,QUOC_GIA!$B:$B,0)),"")</f>
        <v/>
      </c>
      <c r="AE13" s="16"/>
      <c r="AF13" s="48"/>
      <c r="AG13" s="59" t="str">
        <f>IFERROR(INDEX(TINH_TP!$B:$B,MATCH(AF13,TINH_TP!$A:$A,0)),"")</f>
        <v/>
      </c>
      <c r="AH13" s="15"/>
      <c r="AI13" s="59" t="str">
        <f>IF(OR(AF13="",AH13=""),"",IF(COUNTIFS(PHUONG_XA!$A$2:$A$3323,AH13,PHUONG_XA!$C$2:$C$3323,AF13)=0,"",INDEX(PHUONG_XA!$B$2:$B$3323,SUMPRODUCT((PHUONG_XA!$A$2:$A$3323&amp;""=AH13&amp;"")*(PHUONG_XA!$C$2:$C$3323&amp;""=AF13&amp;"")*(ROW(PHUONG_XA!$A$2:$A$3323)-ROW(PHUONG_XA!$A$2)+1)))))</f>
        <v/>
      </c>
      <c r="AJ13" s="14"/>
      <c r="AK13" s="14"/>
      <c r="AL13" s="57" t="str">
        <f t="shared" si="1"/>
        <v/>
      </c>
      <c r="AM13" s="14"/>
      <c r="AN13" s="15"/>
      <c r="AO13" s="15"/>
      <c r="AP13" s="48"/>
      <c r="AQ13" s="15"/>
      <c r="AR13" s="15"/>
      <c r="AS13" s="15"/>
      <c r="AT13" s="60" t="str">
        <f>IF(ISNUMBER(MATCH(AU13,LOAI_THE!$B:$B,0)),INDEX(LOAI_THE!$A:$A,MATCH(AU13,LOAI_THE!$B:$B,0)),"")</f>
        <v/>
      </c>
      <c r="AU13" s="48"/>
      <c r="AV13" s="15"/>
      <c r="AW13" s="15"/>
      <c r="AX13" s="15"/>
      <c r="AY13" s="48"/>
    </row>
    <row r="14" spans="1:51" x14ac:dyDescent="0.3">
      <c r="A14" s="13" t="s">
        <v>4290</v>
      </c>
      <c r="B14" s="48"/>
      <c r="C14" s="48"/>
      <c r="D14" s="48"/>
      <c r="E14" s="48"/>
      <c r="F14" s="48"/>
      <c r="G14" s="58" t="str">
        <f>IF(ISNUMBER(MATCH(H14,GIOI_TINH!$B:$B,0)),INDEX(GIOI_TINH!$A:$A,MATCH(H14,GIOI_TINH!$B:$B,0)),"")</f>
        <v/>
      </c>
      <c r="H14" s="15"/>
      <c r="I14" s="15"/>
      <c r="J14" s="58" t="str">
        <f>IF(ISNUMBER(MATCH(K14,QUOC_GIA!$B:$B,0)),INDEX(QUOC_GIA!$A:$A,MATCH(K14,QUOC_GIA!$B:$B,0)),"")</f>
        <v/>
      </c>
      <c r="K14" s="50"/>
      <c r="L14" s="15"/>
      <c r="M14" s="58" t="str">
        <f>IF(ISNUMBER(MATCH(N14,LOAI_THUE!$B:$B,0)),INDEX(LOAI_THUE!$A:$A,MATCH(N14,LOAI_THUE!$B:$B,0)),"")</f>
        <v/>
      </c>
      <c r="N14" s="50"/>
      <c r="O14" s="58" t="str">
        <f>IF(ISNUMBER(MATCH(P14,CHI_TIET_LOAI_KH!$B:$B,0)),INDEX(CHI_TIET_LOAI_KH!$A:$A,MATCH(P14,CHI_TIET_LOAI_KH!$B:$B,0)),"")</f>
        <v/>
      </c>
      <c r="P14" s="50"/>
      <c r="Q14" s="58" t="str">
        <f>IF(ISNUMBER(MATCH(R14,NGHE_NGHIEP!$B:$B,0)),INDEX(NGHE_NGHIEP!$A:$A,MATCH(R14,NGHE_NGHIEP!$B:$B,0)),"")</f>
        <v/>
      </c>
      <c r="R14" s="50"/>
      <c r="S14" s="58" t="str">
        <f>IF(ISNUMBER(MATCH(T14,LOAI_ID!$B:$B,0)),INDEX(LOAI_ID!$A:$A,MATCH(T14,LOAI_ID!$B:$B,0)),"")</f>
        <v/>
      </c>
      <c r="T14" s="16"/>
      <c r="U14" s="48"/>
      <c r="V14" s="48"/>
      <c r="W14" s="17"/>
      <c r="X14" s="17"/>
      <c r="Y14" s="15"/>
      <c r="Z14" s="15"/>
      <c r="AA14" s="59" t="str">
        <f>IFERROR(INDEX(NOI_CAP!$B:$B,MATCH(Z14,NOI_CAP!$A:$A,0)),"")</f>
        <v/>
      </c>
      <c r="AB14" s="58" t="str">
        <f>IF(ISNUMBER(MATCH(AC14,LOAI_DIA_CHI!$B:$B,0)),INDEX(LOAI_DIA_CHI!$A:$A,MATCH(AC14,LOAI_DIA_CHI!$B:$B,0)),"")</f>
        <v/>
      </c>
      <c r="AC14" s="16"/>
      <c r="AD14" s="58" t="str">
        <f>IF(ISNUMBER(MATCH(AE14,QUOC_GIA!$B:$B,0)),INDEX(QUOC_GIA!$A:$A,MATCH(AE14,QUOC_GIA!$B:$B,0)),"")</f>
        <v/>
      </c>
      <c r="AE14" s="16"/>
      <c r="AF14" s="48"/>
      <c r="AG14" s="59" t="str">
        <f>IFERROR(INDEX(TINH_TP!$B:$B,MATCH(AF14,TINH_TP!$A:$A,0)),"")</f>
        <v/>
      </c>
      <c r="AH14" s="15"/>
      <c r="AI14" s="59" t="str">
        <f>IF(OR(AF14="",AH14=""),"",IF(COUNTIFS(PHUONG_XA!$A$2:$A$3323,AH14,PHUONG_XA!$C$2:$C$3323,AF14)=0,"",INDEX(PHUONG_XA!$B$2:$B$3323,SUMPRODUCT((PHUONG_XA!$A$2:$A$3323&amp;""=AH14&amp;"")*(PHUONG_XA!$C$2:$C$3323&amp;""=AF14&amp;"")*(ROW(PHUONG_XA!$A$2:$A$3323)-ROW(PHUONG_XA!$A$2)+1)))))</f>
        <v/>
      </c>
      <c r="AJ14" s="14"/>
      <c r="AK14" s="14"/>
      <c r="AL14" s="57" t="str">
        <f t="shared" si="1"/>
        <v/>
      </c>
      <c r="AM14" s="14"/>
      <c r="AN14" s="15"/>
      <c r="AO14" s="15"/>
      <c r="AP14" s="48"/>
      <c r="AQ14" s="15"/>
      <c r="AR14" s="15"/>
      <c r="AS14" s="15"/>
      <c r="AT14" s="60" t="str">
        <f>IF(ISNUMBER(MATCH(AU14,LOAI_THE!$B:$B,0)),INDEX(LOAI_THE!$A:$A,MATCH(AU14,LOAI_THE!$B:$B,0)),"")</f>
        <v/>
      </c>
      <c r="AU14" s="48"/>
      <c r="AV14" s="15"/>
      <c r="AW14" s="15"/>
      <c r="AX14" s="15"/>
      <c r="AY14" s="48"/>
    </row>
    <row r="15" spans="1:51" x14ac:dyDescent="0.3">
      <c r="A15" s="13" t="s">
        <v>4291</v>
      </c>
      <c r="B15" s="48"/>
      <c r="C15" s="48"/>
      <c r="D15" s="48"/>
      <c r="E15" s="48"/>
      <c r="F15" s="48"/>
      <c r="G15" s="58" t="str">
        <f>IF(ISNUMBER(MATCH(H15,GIOI_TINH!$B:$B,0)),INDEX(GIOI_TINH!$A:$A,MATCH(H15,GIOI_TINH!$B:$B,0)),"")</f>
        <v/>
      </c>
      <c r="H15" s="15"/>
      <c r="I15" s="15"/>
      <c r="J15" s="58" t="str">
        <f>IF(ISNUMBER(MATCH(K15,QUOC_GIA!$B:$B,0)),INDEX(QUOC_GIA!$A:$A,MATCH(K15,QUOC_GIA!$B:$B,0)),"")</f>
        <v/>
      </c>
      <c r="K15" s="50"/>
      <c r="L15" s="15"/>
      <c r="M15" s="58" t="str">
        <f>IF(ISNUMBER(MATCH(N15,LOAI_THUE!$B:$B,0)),INDEX(LOAI_THUE!$A:$A,MATCH(N15,LOAI_THUE!$B:$B,0)),"")</f>
        <v/>
      </c>
      <c r="N15" s="50"/>
      <c r="O15" s="58" t="str">
        <f>IF(ISNUMBER(MATCH(P15,CHI_TIET_LOAI_KH!$B:$B,0)),INDEX(CHI_TIET_LOAI_KH!$A:$A,MATCH(P15,CHI_TIET_LOAI_KH!$B:$B,0)),"")</f>
        <v/>
      </c>
      <c r="P15" s="50"/>
      <c r="Q15" s="58" t="str">
        <f>IF(ISNUMBER(MATCH(R15,NGHE_NGHIEP!$B:$B,0)),INDEX(NGHE_NGHIEP!$A:$A,MATCH(R15,NGHE_NGHIEP!$B:$B,0)),"")</f>
        <v/>
      </c>
      <c r="R15" s="50"/>
      <c r="S15" s="58" t="str">
        <f>IF(ISNUMBER(MATCH(T15,LOAI_ID!$B:$B,0)),INDEX(LOAI_ID!$A:$A,MATCH(T15,LOAI_ID!$B:$B,0)),"")</f>
        <v/>
      </c>
      <c r="T15" s="16"/>
      <c r="U15" s="48"/>
      <c r="V15" s="48"/>
      <c r="W15" s="17"/>
      <c r="X15" s="17"/>
      <c r="Y15" s="15"/>
      <c r="Z15" s="15"/>
      <c r="AA15" s="59" t="str">
        <f>IFERROR(INDEX(NOI_CAP!$B:$B,MATCH(Z15,NOI_CAP!$A:$A,0)),"")</f>
        <v/>
      </c>
      <c r="AB15" s="58" t="str">
        <f>IF(ISNUMBER(MATCH(AC15,LOAI_DIA_CHI!$B:$B,0)),INDEX(LOAI_DIA_CHI!$A:$A,MATCH(AC15,LOAI_DIA_CHI!$B:$B,0)),"")</f>
        <v/>
      </c>
      <c r="AC15" s="16"/>
      <c r="AD15" s="58" t="str">
        <f>IF(ISNUMBER(MATCH(AE15,QUOC_GIA!$B:$B,0)),INDEX(QUOC_GIA!$A:$A,MATCH(AE15,QUOC_GIA!$B:$B,0)),"")</f>
        <v/>
      </c>
      <c r="AE15" s="16"/>
      <c r="AF15" s="48"/>
      <c r="AG15" s="59" t="str">
        <f>IFERROR(INDEX(TINH_TP!$B:$B,MATCH(AF15,TINH_TP!$A:$A,0)),"")</f>
        <v/>
      </c>
      <c r="AH15" s="15"/>
      <c r="AI15" s="59" t="str">
        <f>IF(OR(AF15="",AH15=""),"",IF(COUNTIFS(PHUONG_XA!$A$2:$A$3323,AH15,PHUONG_XA!$C$2:$C$3323,AF15)=0,"",INDEX(PHUONG_XA!$B$2:$B$3323,SUMPRODUCT((PHUONG_XA!$A$2:$A$3323&amp;""=AH15&amp;"")*(PHUONG_XA!$C$2:$C$3323&amp;""=AF15&amp;"")*(ROW(PHUONG_XA!$A$2:$A$3323)-ROW(PHUONG_XA!$A$2)+1)))))</f>
        <v/>
      </c>
      <c r="AJ15" s="14"/>
      <c r="AK15" s="14"/>
      <c r="AL15" s="57" t="str">
        <f t="shared" si="1"/>
        <v/>
      </c>
      <c r="AM15" s="14"/>
      <c r="AN15" s="15"/>
      <c r="AO15" s="15"/>
      <c r="AP15" s="48"/>
      <c r="AQ15" s="15"/>
      <c r="AR15" s="15"/>
      <c r="AS15" s="15"/>
      <c r="AT15" s="60" t="str">
        <f>IF(ISNUMBER(MATCH(AU15,LOAI_THE!$B:$B,0)),INDEX(LOAI_THE!$A:$A,MATCH(AU15,LOAI_THE!$B:$B,0)),"")</f>
        <v/>
      </c>
      <c r="AU15" s="48"/>
      <c r="AV15" s="15"/>
      <c r="AW15" s="15"/>
      <c r="AX15" s="15"/>
      <c r="AY15" s="48"/>
    </row>
    <row r="16" spans="1:51" x14ac:dyDescent="0.3">
      <c r="A16" s="13" t="s">
        <v>4292</v>
      </c>
      <c r="B16" s="48"/>
      <c r="C16" s="48"/>
      <c r="D16" s="48"/>
      <c r="E16" s="48"/>
      <c r="F16" s="48"/>
      <c r="G16" s="58" t="str">
        <f>IF(ISNUMBER(MATCH(H16,GIOI_TINH!$B:$B,0)),INDEX(GIOI_TINH!$A:$A,MATCH(H16,GIOI_TINH!$B:$B,0)),"")</f>
        <v/>
      </c>
      <c r="H16" s="15"/>
      <c r="I16" s="15"/>
      <c r="J16" s="58" t="str">
        <f>IF(ISNUMBER(MATCH(K16,QUOC_GIA!$B:$B,0)),INDEX(QUOC_GIA!$A:$A,MATCH(K16,QUOC_GIA!$B:$B,0)),"")</f>
        <v/>
      </c>
      <c r="K16" s="50"/>
      <c r="L16" s="15"/>
      <c r="M16" s="58" t="str">
        <f>IF(ISNUMBER(MATCH(N16,LOAI_THUE!$B:$B,0)),INDEX(LOAI_THUE!$A:$A,MATCH(N16,LOAI_THUE!$B:$B,0)),"")</f>
        <v/>
      </c>
      <c r="N16" s="50"/>
      <c r="O16" s="58" t="str">
        <f>IF(ISNUMBER(MATCH(P16,CHI_TIET_LOAI_KH!$B:$B,0)),INDEX(CHI_TIET_LOAI_KH!$A:$A,MATCH(P16,CHI_TIET_LOAI_KH!$B:$B,0)),"")</f>
        <v/>
      </c>
      <c r="P16" s="50"/>
      <c r="Q16" s="58" t="str">
        <f>IF(ISNUMBER(MATCH(R16,NGHE_NGHIEP!$B:$B,0)),INDEX(NGHE_NGHIEP!$A:$A,MATCH(R16,NGHE_NGHIEP!$B:$B,0)),"")</f>
        <v/>
      </c>
      <c r="R16" s="50"/>
      <c r="S16" s="58" t="str">
        <f>IF(ISNUMBER(MATCH(T16,LOAI_ID!$B:$B,0)),INDEX(LOAI_ID!$A:$A,MATCH(T16,LOAI_ID!$B:$B,0)),"")</f>
        <v/>
      </c>
      <c r="T16" s="16"/>
      <c r="U16" s="48"/>
      <c r="V16" s="48"/>
      <c r="W16" s="17"/>
      <c r="X16" s="17"/>
      <c r="Y16" s="15"/>
      <c r="Z16" s="15"/>
      <c r="AA16" s="59" t="str">
        <f>IFERROR(INDEX(NOI_CAP!$B:$B,MATCH(Z16,NOI_CAP!$A:$A,0)),"")</f>
        <v/>
      </c>
      <c r="AB16" s="58" t="str">
        <f>IF(ISNUMBER(MATCH(AC16,LOAI_DIA_CHI!$B:$B,0)),INDEX(LOAI_DIA_CHI!$A:$A,MATCH(AC16,LOAI_DIA_CHI!$B:$B,0)),"")</f>
        <v/>
      </c>
      <c r="AC16" s="16"/>
      <c r="AD16" s="58" t="str">
        <f>IF(ISNUMBER(MATCH(AE16,QUOC_GIA!$B:$B,0)),INDEX(QUOC_GIA!$A:$A,MATCH(AE16,QUOC_GIA!$B:$B,0)),"")</f>
        <v/>
      </c>
      <c r="AE16" s="16"/>
      <c r="AF16" s="48"/>
      <c r="AG16" s="59" t="str">
        <f>IFERROR(INDEX(TINH_TP!$B:$B,MATCH(AF16,TINH_TP!$A:$A,0)),"")</f>
        <v/>
      </c>
      <c r="AH16" s="15"/>
      <c r="AI16" s="59" t="str">
        <f>IF(OR(AF16="",AH16=""),"",IF(COUNTIFS(PHUONG_XA!$A$2:$A$3323,AH16,PHUONG_XA!$C$2:$C$3323,AF16)=0,"",INDEX(PHUONG_XA!$B$2:$B$3323,SUMPRODUCT((PHUONG_XA!$A$2:$A$3323&amp;""=AH16&amp;"")*(PHUONG_XA!$C$2:$C$3323&amp;""=AF16&amp;"")*(ROW(PHUONG_XA!$A$2:$A$3323)-ROW(PHUONG_XA!$A$2)+1)))))</f>
        <v/>
      </c>
      <c r="AJ16" s="14"/>
      <c r="AK16" s="14"/>
      <c r="AL16" s="57" t="str">
        <f t="shared" si="1"/>
        <v/>
      </c>
      <c r="AM16" s="14"/>
      <c r="AN16" s="15"/>
      <c r="AO16" s="15"/>
      <c r="AP16" s="48"/>
      <c r="AQ16" s="15"/>
      <c r="AR16" s="15"/>
      <c r="AS16" s="15"/>
      <c r="AT16" s="60" t="str">
        <f>IF(ISNUMBER(MATCH(AU16,LOAI_THE!$B:$B,0)),INDEX(LOAI_THE!$A:$A,MATCH(AU16,LOAI_THE!$B:$B,0)),"")</f>
        <v/>
      </c>
      <c r="AU16" s="48"/>
      <c r="AV16" s="15"/>
      <c r="AW16" s="15"/>
      <c r="AX16" s="15"/>
      <c r="AY16" s="48"/>
    </row>
    <row r="17" spans="1:51" x14ac:dyDescent="0.3">
      <c r="A17" s="13" t="s">
        <v>4293</v>
      </c>
      <c r="B17" s="48"/>
      <c r="C17" s="48"/>
      <c r="D17" s="48"/>
      <c r="E17" s="48"/>
      <c r="F17" s="48"/>
      <c r="G17" s="58" t="str">
        <f>IF(ISNUMBER(MATCH(H17,GIOI_TINH!$B:$B,0)),INDEX(GIOI_TINH!$A:$A,MATCH(H17,GIOI_TINH!$B:$B,0)),"")</f>
        <v/>
      </c>
      <c r="H17" s="15"/>
      <c r="I17" s="15"/>
      <c r="J17" s="58" t="str">
        <f>IF(ISNUMBER(MATCH(K17,QUOC_GIA!$B:$B,0)),INDEX(QUOC_GIA!$A:$A,MATCH(K17,QUOC_GIA!$B:$B,0)),"")</f>
        <v/>
      </c>
      <c r="K17" s="50"/>
      <c r="L17" s="15"/>
      <c r="M17" s="58" t="str">
        <f>IF(ISNUMBER(MATCH(N17,LOAI_THUE!$B:$B,0)),INDEX(LOAI_THUE!$A:$A,MATCH(N17,LOAI_THUE!$B:$B,0)),"")</f>
        <v/>
      </c>
      <c r="N17" s="50"/>
      <c r="O17" s="58" t="str">
        <f>IF(ISNUMBER(MATCH(P17,CHI_TIET_LOAI_KH!$B:$B,0)),INDEX(CHI_TIET_LOAI_KH!$A:$A,MATCH(P17,CHI_TIET_LOAI_KH!$B:$B,0)),"")</f>
        <v/>
      </c>
      <c r="P17" s="50"/>
      <c r="Q17" s="58" t="str">
        <f>IF(ISNUMBER(MATCH(R17,NGHE_NGHIEP!$B:$B,0)),INDEX(NGHE_NGHIEP!$A:$A,MATCH(R17,NGHE_NGHIEP!$B:$B,0)),"")</f>
        <v/>
      </c>
      <c r="R17" s="50"/>
      <c r="S17" s="58" t="str">
        <f>IF(ISNUMBER(MATCH(T17,LOAI_ID!$B:$B,0)),INDEX(LOAI_ID!$A:$A,MATCH(T17,LOAI_ID!$B:$B,0)),"")</f>
        <v/>
      </c>
      <c r="T17" s="16"/>
      <c r="U17" s="48"/>
      <c r="V17" s="48"/>
      <c r="W17" s="17"/>
      <c r="X17" s="17"/>
      <c r="Y17" s="15"/>
      <c r="Z17" s="15"/>
      <c r="AA17" s="59" t="str">
        <f>IFERROR(INDEX(NOI_CAP!$B:$B,MATCH(Z17,NOI_CAP!$A:$A,0)),"")</f>
        <v/>
      </c>
      <c r="AB17" s="58" t="str">
        <f>IF(ISNUMBER(MATCH(AC17,LOAI_DIA_CHI!$B:$B,0)),INDEX(LOAI_DIA_CHI!$A:$A,MATCH(AC17,LOAI_DIA_CHI!$B:$B,0)),"")</f>
        <v/>
      </c>
      <c r="AC17" s="16"/>
      <c r="AD17" s="58" t="str">
        <f>IF(ISNUMBER(MATCH(AE17,QUOC_GIA!$B:$B,0)),INDEX(QUOC_GIA!$A:$A,MATCH(AE17,QUOC_GIA!$B:$B,0)),"")</f>
        <v/>
      </c>
      <c r="AE17" s="16"/>
      <c r="AF17" s="48"/>
      <c r="AG17" s="59" t="str">
        <f>IFERROR(INDEX(TINH_TP!$B:$B,MATCH(AF17,TINH_TP!$A:$A,0)),"")</f>
        <v/>
      </c>
      <c r="AH17" s="15"/>
      <c r="AI17" s="59" t="str">
        <f>IF(OR(AF17="",AH17=""),"",IF(COUNTIFS(PHUONG_XA!$A$2:$A$3323,AH17,PHUONG_XA!$C$2:$C$3323,AF17)=0,"",INDEX(PHUONG_XA!$B$2:$B$3323,SUMPRODUCT((PHUONG_XA!$A$2:$A$3323&amp;""=AH17&amp;"")*(PHUONG_XA!$C$2:$C$3323&amp;""=AF17&amp;"")*(ROW(PHUONG_XA!$A$2:$A$3323)-ROW(PHUONG_XA!$A$2)+1)))))</f>
        <v/>
      </c>
      <c r="AJ17" s="14"/>
      <c r="AK17" s="14"/>
      <c r="AL17" s="57" t="str">
        <f t="shared" si="1"/>
        <v/>
      </c>
      <c r="AM17" s="14"/>
      <c r="AN17" s="15"/>
      <c r="AO17" s="15"/>
      <c r="AP17" s="48"/>
      <c r="AQ17" s="15"/>
      <c r="AR17" s="15"/>
      <c r="AS17" s="15"/>
      <c r="AT17" s="60" t="str">
        <f>IF(ISNUMBER(MATCH(AU17,LOAI_THE!$B:$B,0)),INDEX(LOAI_THE!$A:$A,MATCH(AU17,LOAI_THE!$B:$B,0)),"")</f>
        <v/>
      </c>
      <c r="AU17" s="48"/>
      <c r="AV17" s="15"/>
      <c r="AW17" s="15"/>
      <c r="AX17" s="15"/>
      <c r="AY17" s="48"/>
    </row>
    <row r="18" spans="1:51" x14ac:dyDescent="0.3">
      <c r="A18" s="13" t="s">
        <v>4294</v>
      </c>
      <c r="B18" s="48"/>
      <c r="C18" s="48"/>
      <c r="D18" s="48"/>
      <c r="E18" s="48"/>
      <c r="F18" s="48"/>
      <c r="G18" s="58" t="str">
        <f>IF(ISNUMBER(MATCH(H18,GIOI_TINH!$B:$B,0)),INDEX(GIOI_TINH!$A:$A,MATCH(H18,GIOI_TINH!$B:$B,0)),"")</f>
        <v/>
      </c>
      <c r="H18" s="15"/>
      <c r="I18" s="15"/>
      <c r="J18" s="58" t="str">
        <f>IF(ISNUMBER(MATCH(K18,QUOC_GIA!$B:$B,0)),INDEX(QUOC_GIA!$A:$A,MATCH(K18,QUOC_GIA!$B:$B,0)),"")</f>
        <v/>
      </c>
      <c r="K18" s="50"/>
      <c r="L18" s="15"/>
      <c r="M18" s="58" t="str">
        <f>IF(ISNUMBER(MATCH(N18,LOAI_THUE!$B:$B,0)),INDEX(LOAI_THUE!$A:$A,MATCH(N18,LOAI_THUE!$B:$B,0)),"")</f>
        <v/>
      </c>
      <c r="N18" s="50"/>
      <c r="O18" s="58" t="str">
        <f>IF(ISNUMBER(MATCH(P18,CHI_TIET_LOAI_KH!$B:$B,0)),INDEX(CHI_TIET_LOAI_KH!$A:$A,MATCH(P18,CHI_TIET_LOAI_KH!$B:$B,0)),"")</f>
        <v/>
      </c>
      <c r="P18" s="50"/>
      <c r="Q18" s="58" t="str">
        <f>IF(ISNUMBER(MATCH(R18,NGHE_NGHIEP!$B:$B,0)),INDEX(NGHE_NGHIEP!$A:$A,MATCH(R18,NGHE_NGHIEP!$B:$B,0)),"")</f>
        <v/>
      </c>
      <c r="R18" s="50"/>
      <c r="S18" s="58" t="str">
        <f>IF(ISNUMBER(MATCH(T18,LOAI_ID!$B:$B,0)),INDEX(LOAI_ID!$A:$A,MATCH(T18,LOAI_ID!$B:$B,0)),"")</f>
        <v/>
      </c>
      <c r="T18" s="16"/>
      <c r="U18" s="48"/>
      <c r="V18" s="48"/>
      <c r="W18" s="17"/>
      <c r="X18" s="17"/>
      <c r="Y18" s="15"/>
      <c r="Z18" s="15"/>
      <c r="AA18" s="59" t="str">
        <f>IFERROR(INDEX(NOI_CAP!$B:$B,MATCH(Z18,NOI_CAP!$A:$A,0)),"")</f>
        <v/>
      </c>
      <c r="AB18" s="58" t="str">
        <f>IF(ISNUMBER(MATCH(AC18,LOAI_DIA_CHI!$B:$B,0)),INDEX(LOAI_DIA_CHI!$A:$A,MATCH(AC18,LOAI_DIA_CHI!$B:$B,0)),"")</f>
        <v/>
      </c>
      <c r="AC18" s="16"/>
      <c r="AD18" s="58" t="str">
        <f>IF(ISNUMBER(MATCH(AE18,QUOC_GIA!$B:$B,0)),INDEX(QUOC_GIA!$A:$A,MATCH(AE18,QUOC_GIA!$B:$B,0)),"")</f>
        <v/>
      </c>
      <c r="AE18" s="16"/>
      <c r="AF18" s="48"/>
      <c r="AG18" s="59" t="str">
        <f>IFERROR(INDEX(TINH_TP!$B:$B,MATCH(AF18,TINH_TP!$A:$A,0)),"")</f>
        <v/>
      </c>
      <c r="AH18" s="15"/>
      <c r="AI18" s="59" t="str">
        <f>IF(OR(AF18="",AH18=""),"",IF(COUNTIFS(PHUONG_XA!$A$2:$A$3323,AH18,PHUONG_XA!$C$2:$C$3323,AF18)=0,"",INDEX(PHUONG_XA!$B$2:$B$3323,SUMPRODUCT((PHUONG_XA!$A$2:$A$3323&amp;""=AH18&amp;"")*(PHUONG_XA!$C$2:$C$3323&amp;""=AF18&amp;"")*(ROW(PHUONG_XA!$A$2:$A$3323)-ROW(PHUONG_XA!$A$2)+1)))))</f>
        <v/>
      </c>
      <c r="AJ18" s="14"/>
      <c r="AK18" s="14"/>
      <c r="AL18" s="57" t="str">
        <f t="shared" si="1"/>
        <v/>
      </c>
      <c r="AM18" s="14"/>
      <c r="AN18" s="15"/>
      <c r="AO18" s="15"/>
      <c r="AP18" s="48"/>
      <c r="AQ18" s="15"/>
      <c r="AR18" s="15"/>
      <c r="AS18" s="15"/>
      <c r="AT18" s="60" t="str">
        <f>IF(ISNUMBER(MATCH(AU18,LOAI_THE!$B:$B,0)),INDEX(LOAI_THE!$A:$A,MATCH(AU18,LOAI_THE!$B:$B,0)),"")</f>
        <v/>
      </c>
      <c r="AU18" s="48"/>
      <c r="AV18" s="15"/>
      <c r="AW18" s="15"/>
      <c r="AX18" s="15"/>
      <c r="AY18" s="48"/>
    </row>
    <row r="19" spans="1:51" x14ac:dyDescent="0.3">
      <c r="A19" s="13" t="s">
        <v>4295</v>
      </c>
      <c r="B19" s="48"/>
      <c r="C19" s="48"/>
      <c r="D19" s="48"/>
      <c r="E19" s="48"/>
      <c r="F19" s="48"/>
      <c r="G19" s="58" t="str">
        <f>IF(ISNUMBER(MATCH(H19,GIOI_TINH!$B:$B,0)),INDEX(GIOI_TINH!$A:$A,MATCH(H19,GIOI_TINH!$B:$B,0)),"")</f>
        <v/>
      </c>
      <c r="H19" s="15"/>
      <c r="I19" s="15"/>
      <c r="J19" s="58" t="str">
        <f>IF(ISNUMBER(MATCH(K19,QUOC_GIA!$B:$B,0)),INDEX(QUOC_GIA!$A:$A,MATCH(K19,QUOC_GIA!$B:$B,0)),"")</f>
        <v/>
      </c>
      <c r="K19" s="50"/>
      <c r="L19" s="15"/>
      <c r="M19" s="58" t="str">
        <f>IF(ISNUMBER(MATCH(N19,LOAI_THUE!$B:$B,0)),INDEX(LOAI_THUE!$A:$A,MATCH(N19,LOAI_THUE!$B:$B,0)),"")</f>
        <v/>
      </c>
      <c r="N19" s="50"/>
      <c r="O19" s="58" t="str">
        <f>IF(ISNUMBER(MATCH(P19,CHI_TIET_LOAI_KH!$B:$B,0)),INDEX(CHI_TIET_LOAI_KH!$A:$A,MATCH(P19,CHI_TIET_LOAI_KH!$B:$B,0)),"")</f>
        <v/>
      </c>
      <c r="P19" s="50"/>
      <c r="Q19" s="58" t="str">
        <f>IF(ISNUMBER(MATCH(R19,NGHE_NGHIEP!$B:$B,0)),INDEX(NGHE_NGHIEP!$A:$A,MATCH(R19,NGHE_NGHIEP!$B:$B,0)),"")</f>
        <v/>
      </c>
      <c r="R19" s="50"/>
      <c r="S19" s="58" t="str">
        <f>IF(ISNUMBER(MATCH(T19,LOAI_ID!$B:$B,0)),INDEX(LOAI_ID!$A:$A,MATCH(T19,LOAI_ID!$B:$B,0)),"")</f>
        <v/>
      </c>
      <c r="T19" s="16"/>
      <c r="U19" s="48"/>
      <c r="V19" s="48"/>
      <c r="W19" s="17"/>
      <c r="X19" s="17"/>
      <c r="Y19" s="15"/>
      <c r="Z19" s="15"/>
      <c r="AA19" s="59" t="str">
        <f>IFERROR(INDEX(NOI_CAP!$B:$B,MATCH(Z19,NOI_CAP!$A:$A,0)),"")</f>
        <v/>
      </c>
      <c r="AB19" s="58" t="str">
        <f>IF(ISNUMBER(MATCH(AC19,LOAI_DIA_CHI!$B:$B,0)),INDEX(LOAI_DIA_CHI!$A:$A,MATCH(AC19,LOAI_DIA_CHI!$B:$B,0)),"")</f>
        <v/>
      </c>
      <c r="AC19" s="16"/>
      <c r="AD19" s="58" t="str">
        <f>IF(ISNUMBER(MATCH(AE19,QUOC_GIA!$B:$B,0)),INDEX(QUOC_GIA!$A:$A,MATCH(AE19,QUOC_GIA!$B:$B,0)),"")</f>
        <v/>
      </c>
      <c r="AE19" s="16"/>
      <c r="AF19" s="48"/>
      <c r="AG19" s="59" t="str">
        <f>IFERROR(INDEX(TINH_TP!$B:$B,MATCH(AF19,TINH_TP!$A:$A,0)),"")</f>
        <v/>
      </c>
      <c r="AH19" s="15"/>
      <c r="AI19" s="59" t="str">
        <f>IF(OR(AF19="",AH19=""),"",IF(COUNTIFS(PHUONG_XA!$A$2:$A$3323,AH19,PHUONG_XA!$C$2:$C$3323,AF19)=0,"",INDEX(PHUONG_XA!$B$2:$B$3323,SUMPRODUCT((PHUONG_XA!$A$2:$A$3323&amp;""=AH19&amp;"")*(PHUONG_XA!$C$2:$C$3323&amp;""=AF19&amp;"")*(ROW(PHUONG_XA!$A$2:$A$3323)-ROW(PHUONG_XA!$A$2)+1)))))</f>
        <v/>
      </c>
      <c r="AJ19" s="14"/>
      <c r="AK19" s="14"/>
      <c r="AL19" s="57" t="str">
        <f t="shared" si="1"/>
        <v/>
      </c>
      <c r="AM19" s="14"/>
      <c r="AN19" s="15"/>
      <c r="AO19" s="15"/>
      <c r="AP19" s="48"/>
      <c r="AQ19" s="15"/>
      <c r="AR19" s="15"/>
      <c r="AS19" s="15"/>
      <c r="AT19" s="60" t="str">
        <f>IF(ISNUMBER(MATCH(AU19,LOAI_THE!$B:$B,0)),INDEX(LOAI_THE!$A:$A,MATCH(AU19,LOAI_THE!$B:$B,0)),"")</f>
        <v/>
      </c>
      <c r="AU19" s="48"/>
      <c r="AV19" s="15"/>
      <c r="AW19" s="15"/>
      <c r="AX19" s="15"/>
      <c r="AY19" s="48"/>
    </row>
    <row r="20" spans="1:51" x14ac:dyDescent="0.3">
      <c r="A20" s="13" t="s">
        <v>4296</v>
      </c>
      <c r="B20" s="48"/>
      <c r="C20" s="48"/>
      <c r="D20" s="48"/>
      <c r="E20" s="48"/>
      <c r="F20" s="48"/>
      <c r="G20" s="58" t="str">
        <f>IF(ISNUMBER(MATCH(H20,GIOI_TINH!$B:$B,0)),INDEX(GIOI_TINH!$A:$A,MATCH(H20,GIOI_TINH!$B:$B,0)),"")</f>
        <v/>
      </c>
      <c r="H20" s="15"/>
      <c r="I20" s="15"/>
      <c r="J20" s="58" t="str">
        <f>IF(ISNUMBER(MATCH(K20,QUOC_GIA!$B:$B,0)),INDEX(QUOC_GIA!$A:$A,MATCH(K20,QUOC_GIA!$B:$B,0)),"")</f>
        <v/>
      </c>
      <c r="K20" s="50"/>
      <c r="L20" s="15"/>
      <c r="M20" s="58" t="str">
        <f>IF(ISNUMBER(MATCH(N20,LOAI_THUE!$B:$B,0)),INDEX(LOAI_THUE!$A:$A,MATCH(N20,LOAI_THUE!$B:$B,0)),"")</f>
        <v/>
      </c>
      <c r="N20" s="50"/>
      <c r="O20" s="58" t="str">
        <f>IF(ISNUMBER(MATCH(P20,CHI_TIET_LOAI_KH!$B:$B,0)),INDEX(CHI_TIET_LOAI_KH!$A:$A,MATCH(P20,CHI_TIET_LOAI_KH!$B:$B,0)),"")</f>
        <v/>
      </c>
      <c r="P20" s="50"/>
      <c r="Q20" s="58" t="str">
        <f>IF(ISNUMBER(MATCH(R20,NGHE_NGHIEP!$B:$B,0)),INDEX(NGHE_NGHIEP!$A:$A,MATCH(R20,NGHE_NGHIEP!$B:$B,0)),"")</f>
        <v/>
      </c>
      <c r="R20" s="50"/>
      <c r="S20" s="58" t="str">
        <f>IF(ISNUMBER(MATCH(T20,LOAI_ID!$B:$B,0)),INDEX(LOAI_ID!$A:$A,MATCH(T20,LOAI_ID!$B:$B,0)),"")</f>
        <v/>
      </c>
      <c r="T20" s="16"/>
      <c r="U20" s="48"/>
      <c r="V20" s="48"/>
      <c r="W20" s="17"/>
      <c r="X20" s="17"/>
      <c r="Y20" s="15"/>
      <c r="Z20" s="15"/>
      <c r="AA20" s="59" t="str">
        <f>IFERROR(INDEX(NOI_CAP!$B:$B,MATCH(Z20,NOI_CAP!$A:$A,0)),"")</f>
        <v/>
      </c>
      <c r="AB20" s="58" t="str">
        <f>IF(ISNUMBER(MATCH(AC20,LOAI_DIA_CHI!$B:$B,0)),INDEX(LOAI_DIA_CHI!$A:$A,MATCH(AC20,LOAI_DIA_CHI!$B:$B,0)),"")</f>
        <v/>
      </c>
      <c r="AC20" s="16"/>
      <c r="AD20" s="58" t="str">
        <f>IF(ISNUMBER(MATCH(AE20,QUOC_GIA!$B:$B,0)),INDEX(QUOC_GIA!$A:$A,MATCH(AE20,QUOC_GIA!$B:$B,0)),"")</f>
        <v/>
      </c>
      <c r="AE20" s="16"/>
      <c r="AF20" s="48"/>
      <c r="AG20" s="59" t="str">
        <f>IFERROR(INDEX(TINH_TP!$B:$B,MATCH(AF20,TINH_TP!$A:$A,0)),"")</f>
        <v/>
      </c>
      <c r="AH20" s="15"/>
      <c r="AI20" s="59" t="str">
        <f>IF(OR(AF20="",AH20=""),"",IF(COUNTIFS(PHUONG_XA!$A$2:$A$3323,AH20,PHUONG_XA!$C$2:$C$3323,AF20)=0,"",INDEX(PHUONG_XA!$B$2:$B$3323,SUMPRODUCT((PHUONG_XA!$A$2:$A$3323&amp;""=AH20&amp;"")*(PHUONG_XA!$C$2:$C$3323&amp;""=AF20&amp;"")*(ROW(PHUONG_XA!$A$2:$A$3323)-ROW(PHUONG_XA!$A$2)+1)))))</f>
        <v/>
      </c>
      <c r="AJ20" s="14"/>
      <c r="AK20" s="14"/>
      <c r="AL20" s="57" t="str">
        <f t="shared" si="1"/>
        <v/>
      </c>
      <c r="AM20" s="14"/>
      <c r="AN20" s="15"/>
      <c r="AO20" s="15"/>
      <c r="AP20" s="48"/>
      <c r="AQ20" s="15"/>
      <c r="AR20" s="15"/>
      <c r="AS20" s="15"/>
      <c r="AT20" s="60" t="str">
        <f>IF(ISNUMBER(MATCH(AU20,LOAI_THE!$B:$B,0)),INDEX(LOAI_THE!$A:$A,MATCH(AU20,LOAI_THE!$B:$B,0)),"")</f>
        <v/>
      </c>
      <c r="AU20" s="48"/>
      <c r="AV20" s="15"/>
      <c r="AW20" s="15"/>
      <c r="AX20" s="15"/>
      <c r="AY20" s="48"/>
    </row>
    <row r="21" spans="1:51" x14ac:dyDescent="0.3">
      <c r="A21" s="13" t="s">
        <v>4297</v>
      </c>
      <c r="B21" s="48"/>
      <c r="C21" s="48"/>
      <c r="D21" s="48"/>
      <c r="E21" s="48"/>
      <c r="F21" s="48"/>
      <c r="G21" s="58" t="str">
        <f>IF(ISNUMBER(MATCH(H21,GIOI_TINH!$B:$B,0)),INDEX(GIOI_TINH!$A:$A,MATCH(H21,GIOI_TINH!$B:$B,0)),"")</f>
        <v/>
      </c>
      <c r="H21" s="15"/>
      <c r="I21" s="15"/>
      <c r="J21" s="58" t="str">
        <f>IF(ISNUMBER(MATCH(K21,QUOC_GIA!$B:$B,0)),INDEX(QUOC_GIA!$A:$A,MATCH(K21,QUOC_GIA!$B:$B,0)),"")</f>
        <v/>
      </c>
      <c r="K21" s="50"/>
      <c r="L21" s="15"/>
      <c r="M21" s="58" t="str">
        <f>IF(ISNUMBER(MATCH(N21,LOAI_THUE!$B:$B,0)),INDEX(LOAI_THUE!$A:$A,MATCH(N21,LOAI_THUE!$B:$B,0)),"")</f>
        <v/>
      </c>
      <c r="N21" s="50"/>
      <c r="O21" s="58" t="str">
        <f>IF(ISNUMBER(MATCH(P21,CHI_TIET_LOAI_KH!$B:$B,0)),INDEX(CHI_TIET_LOAI_KH!$A:$A,MATCH(P21,CHI_TIET_LOAI_KH!$B:$B,0)),"")</f>
        <v/>
      </c>
      <c r="P21" s="50"/>
      <c r="Q21" s="58" t="str">
        <f>IF(ISNUMBER(MATCH(R21,NGHE_NGHIEP!$B:$B,0)),INDEX(NGHE_NGHIEP!$A:$A,MATCH(R21,NGHE_NGHIEP!$B:$B,0)),"")</f>
        <v/>
      </c>
      <c r="R21" s="50"/>
      <c r="S21" s="58" t="str">
        <f>IF(ISNUMBER(MATCH(T21,LOAI_ID!$B:$B,0)),INDEX(LOAI_ID!$A:$A,MATCH(T21,LOAI_ID!$B:$B,0)),"")</f>
        <v/>
      </c>
      <c r="T21" s="16"/>
      <c r="U21" s="48"/>
      <c r="V21" s="48"/>
      <c r="W21" s="17"/>
      <c r="X21" s="17"/>
      <c r="Y21" s="15"/>
      <c r="Z21" s="15"/>
      <c r="AA21" s="59" t="str">
        <f>IFERROR(INDEX(NOI_CAP!$B:$B,MATCH(Z21,NOI_CAP!$A:$A,0)),"")</f>
        <v/>
      </c>
      <c r="AB21" s="58" t="str">
        <f>IF(ISNUMBER(MATCH(AC21,LOAI_DIA_CHI!$B:$B,0)),INDEX(LOAI_DIA_CHI!$A:$A,MATCH(AC21,LOAI_DIA_CHI!$B:$B,0)),"")</f>
        <v/>
      </c>
      <c r="AC21" s="16"/>
      <c r="AD21" s="58" t="str">
        <f>IF(ISNUMBER(MATCH(AE21,QUOC_GIA!$B:$B,0)),INDEX(QUOC_GIA!$A:$A,MATCH(AE21,QUOC_GIA!$B:$B,0)),"")</f>
        <v/>
      </c>
      <c r="AE21" s="16"/>
      <c r="AF21" s="48"/>
      <c r="AG21" s="59" t="str">
        <f>IFERROR(INDEX(TINH_TP!$B:$B,MATCH(AF21,TINH_TP!$A:$A,0)),"")</f>
        <v/>
      </c>
      <c r="AH21" s="15"/>
      <c r="AI21" s="59" t="str">
        <f>IF(OR(AF21="",AH21=""),"",IF(COUNTIFS(PHUONG_XA!$A$2:$A$3323,AH21,PHUONG_XA!$C$2:$C$3323,AF21)=0,"",INDEX(PHUONG_XA!$B$2:$B$3323,SUMPRODUCT((PHUONG_XA!$A$2:$A$3323&amp;""=AH21&amp;"")*(PHUONG_XA!$C$2:$C$3323&amp;""=AF21&amp;"")*(ROW(PHUONG_XA!$A$2:$A$3323)-ROW(PHUONG_XA!$A$2)+1)))))</f>
        <v/>
      </c>
      <c r="AJ21" s="14"/>
      <c r="AK21" s="14"/>
      <c r="AL21" s="57" t="str">
        <f t="shared" si="1"/>
        <v/>
      </c>
      <c r="AM21" s="14"/>
      <c r="AN21" s="15"/>
      <c r="AO21" s="15"/>
      <c r="AP21" s="48"/>
      <c r="AQ21" s="15"/>
      <c r="AR21" s="15"/>
      <c r="AS21" s="15"/>
      <c r="AT21" s="60" t="str">
        <f>IF(ISNUMBER(MATCH(AU21,LOAI_THE!$B:$B,0)),INDEX(LOAI_THE!$A:$A,MATCH(AU21,LOAI_THE!$B:$B,0)),"")</f>
        <v/>
      </c>
      <c r="AU21" s="48"/>
      <c r="AV21" s="15"/>
      <c r="AW21" s="15"/>
      <c r="AX21" s="15"/>
      <c r="AY21" s="48"/>
    </row>
    <row r="22" spans="1:51" x14ac:dyDescent="0.3">
      <c r="A22" s="13" t="s">
        <v>4298</v>
      </c>
      <c r="B22" s="48"/>
      <c r="C22" s="48"/>
      <c r="D22" s="48"/>
      <c r="E22" s="48"/>
      <c r="F22" s="48"/>
      <c r="G22" s="58" t="str">
        <f>IF(ISNUMBER(MATCH(H22,GIOI_TINH!$B:$B,0)),INDEX(GIOI_TINH!$A:$A,MATCH(H22,GIOI_TINH!$B:$B,0)),"")</f>
        <v/>
      </c>
      <c r="H22" s="15"/>
      <c r="I22" s="15"/>
      <c r="J22" s="58" t="str">
        <f>IF(ISNUMBER(MATCH(K22,QUOC_GIA!$B:$B,0)),INDEX(QUOC_GIA!$A:$A,MATCH(K22,QUOC_GIA!$B:$B,0)),"")</f>
        <v/>
      </c>
      <c r="K22" s="50"/>
      <c r="L22" s="15"/>
      <c r="M22" s="58" t="str">
        <f>IF(ISNUMBER(MATCH(N22,LOAI_THUE!$B:$B,0)),INDEX(LOAI_THUE!$A:$A,MATCH(N22,LOAI_THUE!$B:$B,0)),"")</f>
        <v/>
      </c>
      <c r="N22" s="50"/>
      <c r="O22" s="58" t="str">
        <f>IF(ISNUMBER(MATCH(P22,CHI_TIET_LOAI_KH!$B:$B,0)),INDEX(CHI_TIET_LOAI_KH!$A:$A,MATCH(P22,CHI_TIET_LOAI_KH!$B:$B,0)),"")</f>
        <v/>
      </c>
      <c r="P22" s="50"/>
      <c r="Q22" s="58" t="str">
        <f>IF(ISNUMBER(MATCH(R22,NGHE_NGHIEP!$B:$B,0)),INDEX(NGHE_NGHIEP!$A:$A,MATCH(R22,NGHE_NGHIEP!$B:$B,0)),"")</f>
        <v/>
      </c>
      <c r="R22" s="50"/>
      <c r="S22" s="58" t="str">
        <f>IF(ISNUMBER(MATCH(T22,LOAI_ID!$B:$B,0)),INDEX(LOAI_ID!$A:$A,MATCH(T22,LOAI_ID!$B:$B,0)),"")</f>
        <v/>
      </c>
      <c r="T22" s="16"/>
      <c r="U22" s="48"/>
      <c r="V22" s="48"/>
      <c r="W22" s="17"/>
      <c r="X22" s="17"/>
      <c r="Y22" s="15"/>
      <c r="Z22" s="15"/>
      <c r="AA22" s="59" t="str">
        <f>IFERROR(INDEX(NOI_CAP!$B:$B,MATCH(Z22,NOI_CAP!$A:$A,0)),"")</f>
        <v/>
      </c>
      <c r="AB22" s="58" t="str">
        <f>IF(ISNUMBER(MATCH(AC22,LOAI_DIA_CHI!$B:$B,0)),INDEX(LOAI_DIA_CHI!$A:$A,MATCH(AC22,LOAI_DIA_CHI!$B:$B,0)),"")</f>
        <v/>
      </c>
      <c r="AC22" s="16"/>
      <c r="AD22" s="58" t="str">
        <f>IF(ISNUMBER(MATCH(AE22,QUOC_GIA!$B:$B,0)),INDEX(QUOC_GIA!$A:$A,MATCH(AE22,QUOC_GIA!$B:$B,0)),"")</f>
        <v/>
      </c>
      <c r="AE22" s="16"/>
      <c r="AF22" s="48"/>
      <c r="AG22" s="59" t="str">
        <f>IFERROR(INDEX(TINH_TP!$B:$B,MATCH(AF22,TINH_TP!$A:$A,0)),"")</f>
        <v/>
      </c>
      <c r="AH22" s="15"/>
      <c r="AI22" s="59" t="str">
        <f>IF(OR(AF22="",AH22=""),"",IF(COUNTIFS(PHUONG_XA!$A$2:$A$3323,AH22,PHUONG_XA!$C$2:$C$3323,AF22)=0,"",INDEX(PHUONG_XA!$B$2:$B$3323,SUMPRODUCT((PHUONG_XA!$A$2:$A$3323&amp;""=AH22&amp;"")*(PHUONG_XA!$C$2:$C$3323&amp;""=AF22&amp;"")*(ROW(PHUONG_XA!$A$2:$A$3323)-ROW(PHUONG_XA!$A$2)+1)))))</f>
        <v/>
      </c>
      <c r="AJ22" s="14"/>
      <c r="AK22" s="14"/>
      <c r="AL22" s="57" t="str">
        <f t="shared" si="1"/>
        <v/>
      </c>
      <c r="AM22" s="14"/>
      <c r="AN22" s="15"/>
      <c r="AO22" s="15"/>
      <c r="AP22" s="48"/>
      <c r="AQ22" s="15"/>
      <c r="AR22" s="15"/>
      <c r="AS22" s="15"/>
      <c r="AT22" s="60" t="str">
        <f>IF(ISNUMBER(MATCH(AU22,LOAI_THE!$B:$B,0)),INDEX(LOAI_THE!$A:$A,MATCH(AU22,LOAI_THE!$B:$B,0)),"")</f>
        <v/>
      </c>
      <c r="AU22" s="48"/>
      <c r="AV22" s="15"/>
      <c r="AW22" s="15"/>
      <c r="AX22" s="15"/>
      <c r="AY22" s="48"/>
    </row>
    <row r="23" spans="1:51" x14ac:dyDescent="0.3">
      <c r="A23" s="13" t="s">
        <v>4299</v>
      </c>
      <c r="B23" s="48"/>
      <c r="C23" s="48"/>
      <c r="D23" s="48"/>
      <c r="E23" s="48"/>
      <c r="F23" s="48"/>
      <c r="G23" s="58" t="str">
        <f>IF(ISNUMBER(MATCH(H23,GIOI_TINH!$B:$B,0)),INDEX(GIOI_TINH!$A:$A,MATCH(H23,GIOI_TINH!$B:$B,0)),"")</f>
        <v/>
      </c>
      <c r="H23" s="15"/>
      <c r="I23" s="15"/>
      <c r="J23" s="58" t="str">
        <f>IF(ISNUMBER(MATCH(K23,QUOC_GIA!$B:$B,0)),INDEX(QUOC_GIA!$A:$A,MATCH(K23,QUOC_GIA!$B:$B,0)),"")</f>
        <v/>
      </c>
      <c r="K23" s="50"/>
      <c r="L23" s="15"/>
      <c r="M23" s="58" t="str">
        <f>IF(ISNUMBER(MATCH(N23,LOAI_THUE!$B:$B,0)),INDEX(LOAI_THUE!$A:$A,MATCH(N23,LOAI_THUE!$B:$B,0)),"")</f>
        <v/>
      </c>
      <c r="N23" s="50"/>
      <c r="O23" s="58" t="str">
        <f>IF(ISNUMBER(MATCH(P23,CHI_TIET_LOAI_KH!$B:$B,0)),INDEX(CHI_TIET_LOAI_KH!$A:$A,MATCH(P23,CHI_TIET_LOAI_KH!$B:$B,0)),"")</f>
        <v/>
      </c>
      <c r="P23" s="50"/>
      <c r="Q23" s="58" t="str">
        <f>IF(ISNUMBER(MATCH(R23,NGHE_NGHIEP!$B:$B,0)),INDEX(NGHE_NGHIEP!$A:$A,MATCH(R23,NGHE_NGHIEP!$B:$B,0)),"")</f>
        <v/>
      </c>
      <c r="R23" s="50"/>
      <c r="S23" s="58" t="str">
        <f>IF(ISNUMBER(MATCH(T23,LOAI_ID!$B:$B,0)),INDEX(LOAI_ID!$A:$A,MATCH(T23,LOAI_ID!$B:$B,0)),"")</f>
        <v/>
      </c>
      <c r="T23" s="16"/>
      <c r="U23" s="48"/>
      <c r="V23" s="48"/>
      <c r="W23" s="17"/>
      <c r="X23" s="17"/>
      <c r="Y23" s="15"/>
      <c r="Z23" s="15"/>
      <c r="AA23" s="59" t="str">
        <f>IFERROR(INDEX(NOI_CAP!$B:$B,MATCH(Z23,NOI_CAP!$A:$A,0)),"")</f>
        <v/>
      </c>
      <c r="AB23" s="58" t="str">
        <f>IF(ISNUMBER(MATCH(AC23,LOAI_DIA_CHI!$B:$B,0)),INDEX(LOAI_DIA_CHI!$A:$A,MATCH(AC23,LOAI_DIA_CHI!$B:$B,0)),"")</f>
        <v/>
      </c>
      <c r="AC23" s="16"/>
      <c r="AD23" s="58" t="str">
        <f>IF(ISNUMBER(MATCH(AE23,QUOC_GIA!$B:$B,0)),INDEX(QUOC_GIA!$A:$A,MATCH(AE23,QUOC_GIA!$B:$B,0)),"")</f>
        <v/>
      </c>
      <c r="AE23" s="16"/>
      <c r="AF23" s="48"/>
      <c r="AG23" s="59" t="str">
        <f>IFERROR(INDEX(TINH_TP!$B:$B,MATCH(AF23,TINH_TP!$A:$A,0)),"")</f>
        <v/>
      </c>
      <c r="AH23" s="15"/>
      <c r="AI23" s="59" t="str">
        <f>IF(OR(AF23="",AH23=""),"",IF(COUNTIFS(PHUONG_XA!$A$2:$A$3323,AH23,PHUONG_XA!$C$2:$C$3323,AF23)=0,"",INDEX(PHUONG_XA!$B$2:$B$3323,SUMPRODUCT((PHUONG_XA!$A$2:$A$3323&amp;""=AH23&amp;"")*(PHUONG_XA!$C$2:$C$3323&amp;""=AF23&amp;"")*(ROW(PHUONG_XA!$A$2:$A$3323)-ROW(PHUONG_XA!$A$2)+1)))))</f>
        <v/>
      </c>
      <c r="AJ23" s="14"/>
      <c r="AK23" s="14"/>
      <c r="AL23" s="57" t="str">
        <f t="shared" si="1"/>
        <v/>
      </c>
      <c r="AM23" s="14"/>
      <c r="AN23" s="15"/>
      <c r="AO23" s="15"/>
      <c r="AP23" s="48"/>
      <c r="AQ23" s="15"/>
      <c r="AR23" s="15"/>
      <c r="AS23" s="15"/>
      <c r="AT23" s="60" t="str">
        <f>IF(ISNUMBER(MATCH(AU23,LOAI_THE!$B:$B,0)),INDEX(LOAI_THE!$A:$A,MATCH(AU23,LOAI_THE!$B:$B,0)),"")</f>
        <v/>
      </c>
      <c r="AU23" s="48"/>
      <c r="AV23" s="15"/>
      <c r="AW23" s="15"/>
      <c r="AX23" s="15"/>
      <c r="AY23" s="48"/>
    </row>
    <row r="24" spans="1:51" x14ac:dyDescent="0.3">
      <c r="A24" s="13" t="s">
        <v>4300</v>
      </c>
      <c r="B24" s="48"/>
      <c r="C24" s="48"/>
      <c r="D24" s="48"/>
      <c r="E24" s="48"/>
      <c r="F24" s="48"/>
      <c r="G24" s="58" t="str">
        <f>IF(ISNUMBER(MATCH(H24,GIOI_TINH!$B:$B,0)),INDEX(GIOI_TINH!$A:$A,MATCH(H24,GIOI_TINH!$B:$B,0)),"")</f>
        <v/>
      </c>
      <c r="H24" s="15"/>
      <c r="I24" s="15"/>
      <c r="J24" s="58" t="str">
        <f>IF(ISNUMBER(MATCH(K24,QUOC_GIA!$B:$B,0)),INDEX(QUOC_GIA!$A:$A,MATCH(K24,QUOC_GIA!$B:$B,0)),"")</f>
        <v/>
      </c>
      <c r="K24" s="50"/>
      <c r="L24" s="15"/>
      <c r="M24" s="58" t="str">
        <f>IF(ISNUMBER(MATCH(N24,LOAI_THUE!$B:$B,0)),INDEX(LOAI_THUE!$A:$A,MATCH(N24,LOAI_THUE!$B:$B,0)),"")</f>
        <v/>
      </c>
      <c r="N24" s="50"/>
      <c r="O24" s="58" t="str">
        <f>IF(ISNUMBER(MATCH(P24,CHI_TIET_LOAI_KH!$B:$B,0)),INDEX(CHI_TIET_LOAI_KH!$A:$A,MATCH(P24,CHI_TIET_LOAI_KH!$B:$B,0)),"")</f>
        <v/>
      </c>
      <c r="P24" s="50"/>
      <c r="Q24" s="58" t="str">
        <f>IF(ISNUMBER(MATCH(R24,NGHE_NGHIEP!$B:$B,0)),INDEX(NGHE_NGHIEP!$A:$A,MATCH(R24,NGHE_NGHIEP!$B:$B,0)),"")</f>
        <v/>
      </c>
      <c r="R24" s="50"/>
      <c r="S24" s="58" t="str">
        <f>IF(ISNUMBER(MATCH(T24,LOAI_ID!$B:$B,0)),INDEX(LOAI_ID!$A:$A,MATCH(T24,LOAI_ID!$B:$B,0)),"")</f>
        <v/>
      </c>
      <c r="T24" s="16"/>
      <c r="U24" s="48"/>
      <c r="V24" s="48"/>
      <c r="W24" s="17"/>
      <c r="X24" s="17"/>
      <c r="Y24" s="15"/>
      <c r="Z24" s="15"/>
      <c r="AA24" s="59" t="str">
        <f>IFERROR(INDEX(NOI_CAP!$B:$B,MATCH(Z24,NOI_CAP!$A:$A,0)),"")</f>
        <v/>
      </c>
      <c r="AB24" s="58" t="str">
        <f>IF(ISNUMBER(MATCH(AC24,LOAI_DIA_CHI!$B:$B,0)),INDEX(LOAI_DIA_CHI!$A:$A,MATCH(AC24,LOAI_DIA_CHI!$B:$B,0)),"")</f>
        <v/>
      </c>
      <c r="AC24" s="16"/>
      <c r="AD24" s="58" t="str">
        <f>IF(ISNUMBER(MATCH(AE24,QUOC_GIA!$B:$B,0)),INDEX(QUOC_GIA!$A:$A,MATCH(AE24,QUOC_GIA!$B:$B,0)),"")</f>
        <v/>
      </c>
      <c r="AE24" s="16"/>
      <c r="AF24" s="48"/>
      <c r="AG24" s="59" t="str">
        <f>IFERROR(INDEX(TINH_TP!$B:$B,MATCH(AF24,TINH_TP!$A:$A,0)),"")</f>
        <v/>
      </c>
      <c r="AH24" s="15"/>
      <c r="AI24" s="59" t="str">
        <f>IF(OR(AF24="",AH24=""),"",IF(COUNTIFS(PHUONG_XA!$A$2:$A$3323,AH24,PHUONG_XA!$C$2:$C$3323,AF24)=0,"",INDEX(PHUONG_XA!$B$2:$B$3323,SUMPRODUCT((PHUONG_XA!$A$2:$A$3323&amp;""=AH24&amp;"")*(PHUONG_XA!$C$2:$C$3323&amp;""=AF24&amp;"")*(ROW(PHUONG_XA!$A$2:$A$3323)-ROW(PHUONG_XA!$A$2)+1)))))</f>
        <v/>
      </c>
      <c r="AJ24" s="14"/>
      <c r="AK24" s="14"/>
      <c r="AL24" s="57" t="str">
        <f t="shared" si="1"/>
        <v/>
      </c>
      <c r="AM24" s="14"/>
      <c r="AN24" s="15"/>
      <c r="AO24" s="15"/>
      <c r="AP24" s="48"/>
      <c r="AQ24" s="15"/>
      <c r="AR24" s="15"/>
      <c r="AS24" s="15"/>
      <c r="AT24" s="60" t="str">
        <f>IF(ISNUMBER(MATCH(AU24,LOAI_THE!$B:$B,0)),INDEX(LOAI_THE!$A:$A,MATCH(AU24,LOAI_THE!$B:$B,0)),"")</f>
        <v/>
      </c>
      <c r="AU24" s="48"/>
      <c r="AV24" s="15"/>
      <c r="AW24" s="15"/>
      <c r="AX24" s="15"/>
      <c r="AY24" s="48"/>
    </row>
    <row r="25" spans="1:51" x14ac:dyDescent="0.3">
      <c r="A25" s="13" t="s">
        <v>4301</v>
      </c>
      <c r="B25" s="48"/>
      <c r="C25" s="48"/>
      <c r="D25" s="48"/>
      <c r="E25" s="48"/>
      <c r="F25" s="48"/>
      <c r="G25" s="58" t="str">
        <f>IF(ISNUMBER(MATCH(H25,GIOI_TINH!$B:$B,0)),INDEX(GIOI_TINH!$A:$A,MATCH(H25,GIOI_TINH!$B:$B,0)),"")</f>
        <v/>
      </c>
      <c r="H25" s="15"/>
      <c r="I25" s="15"/>
      <c r="J25" s="58" t="str">
        <f>IF(ISNUMBER(MATCH(K25,QUOC_GIA!$B:$B,0)),INDEX(QUOC_GIA!$A:$A,MATCH(K25,QUOC_GIA!$B:$B,0)),"")</f>
        <v/>
      </c>
      <c r="K25" s="50"/>
      <c r="L25" s="15"/>
      <c r="M25" s="58" t="str">
        <f>IF(ISNUMBER(MATCH(N25,LOAI_THUE!$B:$B,0)),INDEX(LOAI_THUE!$A:$A,MATCH(N25,LOAI_THUE!$B:$B,0)),"")</f>
        <v/>
      </c>
      <c r="N25" s="50"/>
      <c r="O25" s="58" t="str">
        <f>IF(ISNUMBER(MATCH(P25,CHI_TIET_LOAI_KH!$B:$B,0)),INDEX(CHI_TIET_LOAI_KH!$A:$A,MATCH(P25,CHI_TIET_LOAI_KH!$B:$B,0)),"")</f>
        <v/>
      </c>
      <c r="P25" s="50"/>
      <c r="Q25" s="58" t="str">
        <f>IF(ISNUMBER(MATCH(R25,NGHE_NGHIEP!$B:$B,0)),INDEX(NGHE_NGHIEP!$A:$A,MATCH(R25,NGHE_NGHIEP!$B:$B,0)),"")</f>
        <v/>
      </c>
      <c r="R25" s="50"/>
      <c r="S25" s="58" t="str">
        <f>IF(ISNUMBER(MATCH(T25,LOAI_ID!$B:$B,0)),INDEX(LOAI_ID!$A:$A,MATCH(T25,LOAI_ID!$B:$B,0)),"")</f>
        <v/>
      </c>
      <c r="T25" s="16"/>
      <c r="U25" s="48"/>
      <c r="V25" s="48"/>
      <c r="W25" s="17"/>
      <c r="X25" s="17"/>
      <c r="Y25" s="15"/>
      <c r="Z25" s="15"/>
      <c r="AA25" s="59" t="str">
        <f>IFERROR(INDEX(NOI_CAP!$B:$B,MATCH(Z25,NOI_CAP!$A:$A,0)),"")</f>
        <v/>
      </c>
      <c r="AB25" s="58" t="str">
        <f>IF(ISNUMBER(MATCH(AC25,LOAI_DIA_CHI!$B:$B,0)),INDEX(LOAI_DIA_CHI!$A:$A,MATCH(AC25,LOAI_DIA_CHI!$B:$B,0)),"")</f>
        <v/>
      </c>
      <c r="AC25" s="16"/>
      <c r="AD25" s="58" t="str">
        <f>IF(ISNUMBER(MATCH(AE25,QUOC_GIA!$B:$B,0)),INDEX(QUOC_GIA!$A:$A,MATCH(AE25,QUOC_GIA!$B:$B,0)),"")</f>
        <v/>
      </c>
      <c r="AE25" s="16"/>
      <c r="AF25" s="48"/>
      <c r="AG25" s="59" t="str">
        <f>IFERROR(INDEX(TINH_TP!$B:$B,MATCH(AF25,TINH_TP!$A:$A,0)),"")</f>
        <v/>
      </c>
      <c r="AH25" s="15"/>
      <c r="AI25" s="59" t="str">
        <f>IF(OR(AF25="",AH25=""),"",IF(COUNTIFS(PHUONG_XA!$A$2:$A$3323,AH25,PHUONG_XA!$C$2:$C$3323,AF25)=0,"",INDEX(PHUONG_XA!$B$2:$B$3323,SUMPRODUCT((PHUONG_XA!$A$2:$A$3323&amp;""=AH25&amp;"")*(PHUONG_XA!$C$2:$C$3323&amp;""=AF25&amp;"")*(ROW(PHUONG_XA!$A$2:$A$3323)-ROW(PHUONG_XA!$A$2)+1)))))</f>
        <v/>
      </c>
      <c r="AJ25" s="14"/>
      <c r="AK25" s="14"/>
      <c r="AL25" s="57" t="str">
        <f t="shared" si="1"/>
        <v/>
      </c>
      <c r="AM25" s="14"/>
      <c r="AN25" s="15"/>
      <c r="AO25" s="15"/>
      <c r="AP25" s="48"/>
      <c r="AQ25" s="15"/>
      <c r="AR25" s="15"/>
      <c r="AS25" s="15"/>
      <c r="AT25" s="60" t="str">
        <f>IF(ISNUMBER(MATCH(AU25,LOAI_THE!$B:$B,0)),INDEX(LOAI_THE!$A:$A,MATCH(AU25,LOAI_THE!$B:$B,0)),"")</f>
        <v/>
      </c>
      <c r="AU25" s="48"/>
      <c r="AV25" s="15"/>
      <c r="AW25" s="15"/>
      <c r="AX25" s="15"/>
      <c r="AY25" s="48"/>
    </row>
    <row r="26" spans="1:51" x14ac:dyDescent="0.3">
      <c r="A26" s="13" t="s">
        <v>4302</v>
      </c>
      <c r="B26" s="48"/>
      <c r="C26" s="48"/>
      <c r="D26" s="48"/>
      <c r="E26" s="48"/>
      <c r="F26" s="48"/>
      <c r="G26" s="58" t="str">
        <f>IF(ISNUMBER(MATCH(H26,GIOI_TINH!$B:$B,0)),INDEX(GIOI_TINH!$A:$A,MATCH(H26,GIOI_TINH!$B:$B,0)),"")</f>
        <v/>
      </c>
      <c r="H26" s="15"/>
      <c r="I26" s="15"/>
      <c r="J26" s="58" t="str">
        <f>IF(ISNUMBER(MATCH(K26,QUOC_GIA!$B:$B,0)),INDEX(QUOC_GIA!$A:$A,MATCH(K26,QUOC_GIA!$B:$B,0)),"")</f>
        <v/>
      </c>
      <c r="K26" s="50"/>
      <c r="L26" s="15"/>
      <c r="M26" s="58" t="str">
        <f>IF(ISNUMBER(MATCH(N26,LOAI_THUE!$B:$B,0)),INDEX(LOAI_THUE!$A:$A,MATCH(N26,LOAI_THUE!$B:$B,0)),"")</f>
        <v/>
      </c>
      <c r="N26" s="50"/>
      <c r="O26" s="58" t="str">
        <f>IF(ISNUMBER(MATCH(P26,CHI_TIET_LOAI_KH!$B:$B,0)),INDEX(CHI_TIET_LOAI_KH!$A:$A,MATCH(P26,CHI_TIET_LOAI_KH!$B:$B,0)),"")</f>
        <v/>
      </c>
      <c r="P26" s="50"/>
      <c r="Q26" s="58" t="str">
        <f>IF(ISNUMBER(MATCH(R26,NGHE_NGHIEP!$B:$B,0)),INDEX(NGHE_NGHIEP!$A:$A,MATCH(R26,NGHE_NGHIEP!$B:$B,0)),"")</f>
        <v/>
      </c>
      <c r="R26" s="50"/>
      <c r="S26" s="58" t="str">
        <f>IF(ISNUMBER(MATCH(T26,LOAI_ID!$B:$B,0)),INDEX(LOAI_ID!$A:$A,MATCH(T26,LOAI_ID!$B:$B,0)),"")</f>
        <v/>
      </c>
      <c r="T26" s="16"/>
      <c r="U26" s="48"/>
      <c r="V26" s="48"/>
      <c r="W26" s="17"/>
      <c r="X26" s="17"/>
      <c r="Y26" s="15"/>
      <c r="Z26" s="15"/>
      <c r="AA26" s="59" t="str">
        <f>IFERROR(INDEX(NOI_CAP!$B:$B,MATCH(Z26,NOI_CAP!$A:$A,0)),"")</f>
        <v/>
      </c>
      <c r="AB26" s="58" t="str">
        <f>IF(ISNUMBER(MATCH(AC26,LOAI_DIA_CHI!$B:$B,0)),INDEX(LOAI_DIA_CHI!$A:$A,MATCH(AC26,LOAI_DIA_CHI!$B:$B,0)),"")</f>
        <v/>
      </c>
      <c r="AC26" s="16"/>
      <c r="AD26" s="58" t="str">
        <f>IF(ISNUMBER(MATCH(AE26,QUOC_GIA!$B:$B,0)),INDEX(QUOC_GIA!$A:$A,MATCH(AE26,QUOC_GIA!$B:$B,0)),"")</f>
        <v/>
      </c>
      <c r="AE26" s="16"/>
      <c r="AF26" s="48"/>
      <c r="AG26" s="59" t="str">
        <f>IFERROR(INDEX(TINH_TP!$B:$B,MATCH(AF26,TINH_TP!$A:$A,0)),"")</f>
        <v/>
      </c>
      <c r="AH26" s="15"/>
      <c r="AI26" s="59" t="str">
        <f>IF(OR(AF26="",AH26=""),"",IF(COUNTIFS(PHUONG_XA!$A$2:$A$3323,AH26,PHUONG_XA!$C$2:$C$3323,AF26)=0,"",INDEX(PHUONG_XA!$B$2:$B$3323,SUMPRODUCT((PHUONG_XA!$A$2:$A$3323&amp;""=AH26&amp;"")*(PHUONG_XA!$C$2:$C$3323&amp;""=AF26&amp;"")*(ROW(PHUONG_XA!$A$2:$A$3323)-ROW(PHUONG_XA!$A$2)+1)))))</f>
        <v/>
      </c>
      <c r="AJ26" s="14"/>
      <c r="AK26" s="14"/>
      <c r="AL26" s="57" t="str">
        <f t="shared" si="1"/>
        <v/>
      </c>
      <c r="AM26" s="14"/>
      <c r="AN26" s="15"/>
      <c r="AO26" s="15"/>
      <c r="AP26" s="48"/>
      <c r="AQ26" s="15"/>
      <c r="AR26" s="15"/>
      <c r="AS26" s="15"/>
      <c r="AT26" s="60" t="str">
        <f>IF(ISNUMBER(MATCH(AU26,LOAI_THE!$B:$B,0)),INDEX(LOAI_THE!$A:$A,MATCH(AU26,LOAI_THE!$B:$B,0)),"")</f>
        <v/>
      </c>
      <c r="AU26" s="48"/>
      <c r="AV26" s="15"/>
      <c r="AW26" s="15"/>
      <c r="AX26" s="15"/>
      <c r="AY26" s="48"/>
    </row>
    <row r="27" spans="1:51" x14ac:dyDescent="0.3">
      <c r="A27" s="13" t="s">
        <v>4303</v>
      </c>
      <c r="B27" s="48"/>
      <c r="C27" s="48"/>
      <c r="D27" s="48"/>
      <c r="E27" s="48"/>
      <c r="F27" s="48"/>
      <c r="G27" s="58" t="str">
        <f>IF(ISNUMBER(MATCH(H27,GIOI_TINH!$B:$B,0)),INDEX(GIOI_TINH!$A:$A,MATCH(H27,GIOI_TINH!$B:$B,0)),"")</f>
        <v/>
      </c>
      <c r="H27" s="15"/>
      <c r="I27" s="15"/>
      <c r="J27" s="58" t="str">
        <f>IF(ISNUMBER(MATCH(K27,QUOC_GIA!$B:$B,0)),INDEX(QUOC_GIA!$A:$A,MATCH(K27,QUOC_GIA!$B:$B,0)),"")</f>
        <v/>
      </c>
      <c r="K27" s="50"/>
      <c r="L27" s="15"/>
      <c r="M27" s="58" t="str">
        <f>IF(ISNUMBER(MATCH(N27,LOAI_THUE!$B:$B,0)),INDEX(LOAI_THUE!$A:$A,MATCH(N27,LOAI_THUE!$B:$B,0)),"")</f>
        <v/>
      </c>
      <c r="N27" s="50"/>
      <c r="O27" s="58" t="str">
        <f>IF(ISNUMBER(MATCH(P27,CHI_TIET_LOAI_KH!$B:$B,0)),INDEX(CHI_TIET_LOAI_KH!$A:$A,MATCH(P27,CHI_TIET_LOAI_KH!$B:$B,0)),"")</f>
        <v/>
      </c>
      <c r="P27" s="50"/>
      <c r="Q27" s="58" t="str">
        <f>IF(ISNUMBER(MATCH(R27,NGHE_NGHIEP!$B:$B,0)),INDEX(NGHE_NGHIEP!$A:$A,MATCH(R27,NGHE_NGHIEP!$B:$B,0)),"")</f>
        <v/>
      </c>
      <c r="R27" s="50"/>
      <c r="S27" s="58" t="str">
        <f>IF(ISNUMBER(MATCH(T27,LOAI_ID!$B:$B,0)),INDEX(LOAI_ID!$A:$A,MATCH(T27,LOAI_ID!$B:$B,0)),"")</f>
        <v/>
      </c>
      <c r="T27" s="16"/>
      <c r="U27" s="48"/>
      <c r="V27" s="48"/>
      <c r="W27" s="17"/>
      <c r="X27" s="17"/>
      <c r="Y27" s="15"/>
      <c r="Z27" s="15"/>
      <c r="AA27" s="59" t="str">
        <f>IFERROR(INDEX(NOI_CAP!$B:$B,MATCH(Z27,NOI_CAP!$A:$A,0)),"")</f>
        <v/>
      </c>
      <c r="AB27" s="58" t="str">
        <f>IF(ISNUMBER(MATCH(AC27,LOAI_DIA_CHI!$B:$B,0)),INDEX(LOAI_DIA_CHI!$A:$A,MATCH(AC27,LOAI_DIA_CHI!$B:$B,0)),"")</f>
        <v/>
      </c>
      <c r="AC27" s="16"/>
      <c r="AD27" s="58" t="str">
        <f>IF(ISNUMBER(MATCH(AE27,QUOC_GIA!$B:$B,0)),INDEX(QUOC_GIA!$A:$A,MATCH(AE27,QUOC_GIA!$B:$B,0)),"")</f>
        <v/>
      </c>
      <c r="AE27" s="16"/>
      <c r="AF27" s="48"/>
      <c r="AG27" s="59" t="str">
        <f>IFERROR(INDEX(TINH_TP!$B:$B,MATCH(AF27,TINH_TP!$A:$A,0)),"")</f>
        <v/>
      </c>
      <c r="AH27" s="15"/>
      <c r="AI27" s="59" t="str">
        <f>IF(OR(AF27="",AH27=""),"",IF(COUNTIFS(PHUONG_XA!$A$2:$A$3323,AH27,PHUONG_XA!$C$2:$C$3323,AF27)=0,"",INDEX(PHUONG_XA!$B$2:$B$3323,SUMPRODUCT((PHUONG_XA!$A$2:$A$3323&amp;""=AH27&amp;"")*(PHUONG_XA!$C$2:$C$3323&amp;""=AF27&amp;"")*(ROW(PHUONG_XA!$A$2:$A$3323)-ROW(PHUONG_XA!$A$2)+1)))))</f>
        <v/>
      </c>
      <c r="AJ27" s="14"/>
      <c r="AK27" s="14"/>
      <c r="AL27" s="57" t="str">
        <f t="shared" si="1"/>
        <v/>
      </c>
      <c r="AM27" s="14"/>
      <c r="AN27" s="15"/>
      <c r="AO27" s="15"/>
      <c r="AP27" s="48"/>
      <c r="AQ27" s="15"/>
      <c r="AR27" s="15"/>
      <c r="AS27" s="15"/>
      <c r="AT27" s="60" t="str">
        <f>IF(ISNUMBER(MATCH(AU27,LOAI_THE!$B:$B,0)),INDEX(LOAI_THE!$A:$A,MATCH(AU27,LOAI_THE!$B:$B,0)),"")</f>
        <v/>
      </c>
      <c r="AU27" s="48"/>
      <c r="AV27" s="15"/>
      <c r="AW27" s="15"/>
      <c r="AX27" s="15"/>
      <c r="AY27" s="48"/>
    </row>
    <row r="28" spans="1:51" x14ac:dyDescent="0.3">
      <c r="A28" s="13" t="s">
        <v>4304</v>
      </c>
      <c r="B28" s="48"/>
      <c r="C28" s="48"/>
      <c r="D28" s="48"/>
      <c r="E28" s="48"/>
      <c r="F28" s="48"/>
      <c r="G28" s="58" t="str">
        <f>IF(ISNUMBER(MATCH(H28,GIOI_TINH!$B:$B,0)),INDEX(GIOI_TINH!$A:$A,MATCH(H28,GIOI_TINH!$B:$B,0)),"")</f>
        <v/>
      </c>
      <c r="H28" s="15"/>
      <c r="I28" s="15"/>
      <c r="J28" s="58" t="str">
        <f>IF(ISNUMBER(MATCH(K28,QUOC_GIA!$B:$B,0)),INDEX(QUOC_GIA!$A:$A,MATCH(K28,QUOC_GIA!$B:$B,0)),"")</f>
        <v/>
      </c>
      <c r="K28" s="50"/>
      <c r="L28" s="15"/>
      <c r="M28" s="58" t="str">
        <f>IF(ISNUMBER(MATCH(N28,LOAI_THUE!$B:$B,0)),INDEX(LOAI_THUE!$A:$A,MATCH(N28,LOAI_THUE!$B:$B,0)),"")</f>
        <v/>
      </c>
      <c r="N28" s="50"/>
      <c r="O28" s="58" t="str">
        <f>IF(ISNUMBER(MATCH(P28,CHI_TIET_LOAI_KH!$B:$B,0)),INDEX(CHI_TIET_LOAI_KH!$A:$A,MATCH(P28,CHI_TIET_LOAI_KH!$B:$B,0)),"")</f>
        <v/>
      </c>
      <c r="P28" s="50"/>
      <c r="Q28" s="58" t="str">
        <f>IF(ISNUMBER(MATCH(R28,NGHE_NGHIEP!$B:$B,0)),INDEX(NGHE_NGHIEP!$A:$A,MATCH(R28,NGHE_NGHIEP!$B:$B,0)),"")</f>
        <v/>
      </c>
      <c r="R28" s="50"/>
      <c r="S28" s="58" t="str">
        <f>IF(ISNUMBER(MATCH(T28,LOAI_ID!$B:$B,0)),INDEX(LOAI_ID!$A:$A,MATCH(T28,LOAI_ID!$B:$B,0)),"")</f>
        <v/>
      </c>
      <c r="T28" s="16"/>
      <c r="U28" s="48"/>
      <c r="V28" s="48"/>
      <c r="W28" s="17"/>
      <c r="X28" s="17"/>
      <c r="Y28" s="15"/>
      <c r="Z28" s="15"/>
      <c r="AA28" s="59" t="str">
        <f>IFERROR(INDEX(NOI_CAP!$B:$B,MATCH(Z28,NOI_CAP!$A:$A,0)),"")</f>
        <v/>
      </c>
      <c r="AB28" s="58" t="str">
        <f>IF(ISNUMBER(MATCH(AC28,LOAI_DIA_CHI!$B:$B,0)),INDEX(LOAI_DIA_CHI!$A:$A,MATCH(AC28,LOAI_DIA_CHI!$B:$B,0)),"")</f>
        <v/>
      </c>
      <c r="AC28" s="16"/>
      <c r="AD28" s="58" t="str">
        <f>IF(ISNUMBER(MATCH(AE28,QUOC_GIA!$B:$B,0)),INDEX(QUOC_GIA!$A:$A,MATCH(AE28,QUOC_GIA!$B:$B,0)),"")</f>
        <v/>
      </c>
      <c r="AE28" s="16"/>
      <c r="AF28" s="48"/>
      <c r="AG28" s="59" t="str">
        <f>IFERROR(INDEX(TINH_TP!$B:$B,MATCH(AF28,TINH_TP!$A:$A,0)),"")</f>
        <v/>
      </c>
      <c r="AH28" s="15"/>
      <c r="AI28" s="59" t="str">
        <f>IF(OR(AF28="",AH28=""),"",IF(COUNTIFS(PHUONG_XA!$A$2:$A$3323,AH28,PHUONG_XA!$C$2:$C$3323,AF28)=0,"",INDEX(PHUONG_XA!$B$2:$B$3323,SUMPRODUCT((PHUONG_XA!$A$2:$A$3323&amp;""=AH28&amp;"")*(PHUONG_XA!$C$2:$C$3323&amp;""=AF28&amp;"")*(ROW(PHUONG_XA!$A$2:$A$3323)-ROW(PHUONG_XA!$A$2)+1)))))</f>
        <v/>
      </c>
      <c r="AJ28" s="14"/>
      <c r="AK28" s="14"/>
      <c r="AL28" s="57" t="str">
        <f t="shared" si="1"/>
        <v/>
      </c>
      <c r="AM28" s="14"/>
      <c r="AN28" s="15"/>
      <c r="AO28" s="15"/>
      <c r="AP28" s="48"/>
      <c r="AQ28" s="15"/>
      <c r="AR28" s="15"/>
      <c r="AS28" s="15"/>
      <c r="AT28" s="60" t="str">
        <f>IF(ISNUMBER(MATCH(AU28,LOAI_THE!$B:$B,0)),INDEX(LOAI_THE!$A:$A,MATCH(AU28,LOAI_THE!$B:$B,0)),"")</f>
        <v/>
      </c>
      <c r="AU28" s="48"/>
      <c r="AV28" s="15"/>
      <c r="AW28" s="15"/>
      <c r="AX28" s="15"/>
      <c r="AY28" s="48"/>
    </row>
    <row r="29" spans="1:51" x14ac:dyDescent="0.3">
      <c r="A29" s="13" t="s">
        <v>4305</v>
      </c>
      <c r="B29" s="48"/>
      <c r="C29" s="48"/>
      <c r="D29" s="48"/>
      <c r="E29" s="48"/>
      <c r="F29" s="48"/>
      <c r="G29" s="58" t="str">
        <f>IF(ISNUMBER(MATCH(H29,GIOI_TINH!$B:$B,0)),INDEX(GIOI_TINH!$A:$A,MATCH(H29,GIOI_TINH!$B:$B,0)),"")</f>
        <v/>
      </c>
      <c r="H29" s="15"/>
      <c r="I29" s="15"/>
      <c r="J29" s="58" t="str">
        <f>IF(ISNUMBER(MATCH(K29,QUOC_GIA!$B:$B,0)),INDEX(QUOC_GIA!$A:$A,MATCH(K29,QUOC_GIA!$B:$B,0)),"")</f>
        <v/>
      </c>
      <c r="K29" s="50"/>
      <c r="L29" s="15"/>
      <c r="M29" s="58" t="str">
        <f>IF(ISNUMBER(MATCH(N29,LOAI_THUE!$B:$B,0)),INDEX(LOAI_THUE!$A:$A,MATCH(N29,LOAI_THUE!$B:$B,0)),"")</f>
        <v/>
      </c>
      <c r="N29" s="50"/>
      <c r="O29" s="58" t="str">
        <f>IF(ISNUMBER(MATCH(P29,CHI_TIET_LOAI_KH!$B:$B,0)),INDEX(CHI_TIET_LOAI_KH!$A:$A,MATCH(P29,CHI_TIET_LOAI_KH!$B:$B,0)),"")</f>
        <v/>
      </c>
      <c r="P29" s="50"/>
      <c r="Q29" s="58" t="str">
        <f>IF(ISNUMBER(MATCH(R29,NGHE_NGHIEP!$B:$B,0)),INDEX(NGHE_NGHIEP!$A:$A,MATCH(R29,NGHE_NGHIEP!$B:$B,0)),"")</f>
        <v/>
      </c>
      <c r="R29" s="50"/>
      <c r="S29" s="58" t="str">
        <f>IF(ISNUMBER(MATCH(T29,LOAI_ID!$B:$B,0)),INDEX(LOAI_ID!$A:$A,MATCH(T29,LOAI_ID!$B:$B,0)),"")</f>
        <v/>
      </c>
      <c r="T29" s="16"/>
      <c r="U29" s="48"/>
      <c r="V29" s="48"/>
      <c r="W29" s="17"/>
      <c r="X29" s="17"/>
      <c r="Y29" s="15"/>
      <c r="Z29" s="15"/>
      <c r="AA29" s="59" t="str">
        <f>IFERROR(INDEX(NOI_CAP!$B:$B,MATCH(Z29,NOI_CAP!$A:$A,0)),"")</f>
        <v/>
      </c>
      <c r="AB29" s="58" t="str">
        <f>IF(ISNUMBER(MATCH(AC29,LOAI_DIA_CHI!$B:$B,0)),INDEX(LOAI_DIA_CHI!$A:$A,MATCH(AC29,LOAI_DIA_CHI!$B:$B,0)),"")</f>
        <v/>
      </c>
      <c r="AC29" s="16"/>
      <c r="AD29" s="58" t="str">
        <f>IF(ISNUMBER(MATCH(AE29,QUOC_GIA!$B:$B,0)),INDEX(QUOC_GIA!$A:$A,MATCH(AE29,QUOC_GIA!$B:$B,0)),"")</f>
        <v/>
      </c>
      <c r="AE29" s="16"/>
      <c r="AF29" s="48"/>
      <c r="AG29" s="59" t="str">
        <f>IFERROR(INDEX(TINH_TP!$B:$B,MATCH(AF29,TINH_TP!$A:$A,0)),"")</f>
        <v/>
      </c>
      <c r="AH29" s="15"/>
      <c r="AI29" s="59" t="str">
        <f>IF(OR(AF29="",AH29=""),"",IF(COUNTIFS(PHUONG_XA!$A$2:$A$3323,AH29,PHUONG_XA!$C$2:$C$3323,AF29)=0,"",INDEX(PHUONG_XA!$B$2:$B$3323,SUMPRODUCT((PHUONG_XA!$A$2:$A$3323&amp;""=AH29&amp;"")*(PHUONG_XA!$C$2:$C$3323&amp;""=AF29&amp;"")*(ROW(PHUONG_XA!$A$2:$A$3323)-ROW(PHUONG_XA!$A$2)+1)))))</f>
        <v/>
      </c>
      <c r="AJ29" s="14"/>
      <c r="AK29" s="14"/>
      <c r="AL29" s="57" t="str">
        <f t="shared" si="1"/>
        <v/>
      </c>
      <c r="AM29" s="14"/>
      <c r="AN29" s="15"/>
      <c r="AO29" s="15"/>
      <c r="AP29" s="48"/>
      <c r="AQ29" s="15"/>
      <c r="AR29" s="15"/>
      <c r="AS29" s="15"/>
      <c r="AT29" s="60" t="str">
        <f>IF(ISNUMBER(MATCH(AU29,LOAI_THE!$B:$B,0)),INDEX(LOAI_THE!$A:$A,MATCH(AU29,LOAI_THE!$B:$B,0)),"")</f>
        <v/>
      </c>
      <c r="AU29" s="48"/>
      <c r="AV29" s="15"/>
      <c r="AW29" s="15"/>
      <c r="AX29" s="15"/>
      <c r="AY29" s="48"/>
    </row>
    <row r="30" spans="1:51" x14ac:dyDescent="0.3">
      <c r="A30" s="13" t="s">
        <v>4306</v>
      </c>
      <c r="B30" s="48"/>
      <c r="C30" s="48"/>
      <c r="D30" s="48"/>
      <c r="E30" s="48"/>
      <c r="F30" s="48"/>
      <c r="G30" s="58" t="str">
        <f>IF(ISNUMBER(MATCH(H30,GIOI_TINH!$B:$B,0)),INDEX(GIOI_TINH!$A:$A,MATCH(H30,GIOI_TINH!$B:$B,0)),"")</f>
        <v/>
      </c>
      <c r="H30" s="15"/>
      <c r="I30" s="15"/>
      <c r="J30" s="58" t="str">
        <f>IF(ISNUMBER(MATCH(K30,QUOC_GIA!$B:$B,0)),INDEX(QUOC_GIA!$A:$A,MATCH(K30,QUOC_GIA!$B:$B,0)),"")</f>
        <v/>
      </c>
      <c r="K30" s="50"/>
      <c r="L30" s="15"/>
      <c r="M30" s="58" t="str">
        <f>IF(ISNUMBER(MATCH(N30,LOAI_THUE!$B:$B,0)),INDEX(LOAI_THUE!$A:$A,MATCH(N30,LOAI_THUE!$B:$B,0)),"")</f>
        <v/>
      </c>
      <c r="N30" s="50"/>
      <c r="O30" s="58" t="str">
        <f>IF(ISNUMBER(MATCH(P30,CHI_TIET_LOAI_KH!$B:$B,0)),INDEX(CHI_TIET_LOAI_KH!$A:$A,MATCH(P30,CHI_TIET_LOAI_KH!$B:$B,0)),"")</f>
        <v/>
      </c>
      <c r="P30" s="50"/>
      <c r="Q30" s="58" t="str">
        <f>IF(ISNUMBER(MATCH(R30,NGHE_NGHIEP!$B:$B,0)),INDEX(NGHE_NGHIEP!$A:$A,MATCH(R30,NGHE_NGHIEP!$B:$B,0)),"")</f>
        <v/>
      </c>
      <c r="R30" s="50"/>
      <c r="S30" s="58" t="str">
        <f>IF(ISNUMBER(MATCH(T30,LOAI_ID!$B:$B,0)),INDEX(LOAI_ID!$A:$A,MATCH(T30,LOAI_ID!$B:$B,0)),"")</f>
        <v/>
      </c>
      <c r="T30" s="16"/>
      <c r="U30" s="48"/>
      <c r="V30" s="48"/>
      <c r="W30" s="17"/>
      <c r="X30" s="17"/>
      <c r="Y30" s="15"/>
      <c r="Z30" s="15"/>
      <c r="AA30" s="59" t="str">
        <f>IFERROR(INDEX(NOI_CAP!$B:$B,MATCH(Z30,NOI_CAP!$A:$A,0)),"")</f>
        <v/>
      </c>
      <c r="AB30" s="58" t="str">
        <f>IF(ISNUMBER(MATCH(AC30,LOAI_DIA_CHI!$B:$B,0)),INDEX(LOAI_DIA_CHI!$A:$A,MATCH(AC30,LOAI_DIA_CHI!$B:$B,0)),"")</f>
        <v/>
      </c>
      <c r="AC30" s="16"/>
      <c r="AD30" s="58" t="str">
        <f>IF(ISNUMBER(MATCH(AE30,QUOC_GIA!$B:$B,0)),INDEX(QUOC_GIA!$A:$A,MATCH(AE30,QUOC_GIA!$B:$B,0)),"")</f>
        <v/>
      </c>
      <c r="AE30" s="16"/>
      <c r="AF30" s="48"/>
      <c r="AG30" s="59" t="str">
        <f>IFERROR(INDEX(TINH_TP!$B:$B,MATCH(AF30,TINH_TP!$A:$A,0)),"")</f>
        <v/>
      </c>
      <c r="AH30" s="15"/>
      <c r="AI30" s="59" t="str">
        <f>IF(OR(AF30="",AH30=""),"",IF(COUNTIFS(PHUONG_XA!$A$2:$A$3323,AH30,PHUONG_XA!$C$2:$C$3323,AF30)=0,"",INDEX(PHUONG_XA!$B$2:$B$3323,SUMPRODUCT((PHUONG_XA!$A$2:$A$3323&amp;""=AH30&amp;"")*(PHUONG_XA!$C$2:$C$3323&amp;""=AF30&amp;"")*(ROW(PHUONG_XA!$A$2:$A$3323)-ROW(PHUONG_XA!$A$2)+1)))))</f>
        <v/>
      </c>
      <c r="AJ30" s="14"/>
      <c r="AK30" s="14"/>
      <c r="AL30" s="57" t="str">
        <f t="shared" si="1"/>
        <v/>
      </c>
      <c r="AM30" s="14"/>
      <c r="AN30" s="15"/>
      <c r="AO30" s="15"/>
      <c r="AP30" s="48"/>
      <c r="AQ30" s="15"/>
      <c r="AR30" s="15"/>
      <c r="AS30" s="15"/>
      <c r="AT30" s="60" t="str">
        <f>IF(ISNUMBER(MATCH(AU30,LOAI_THE!$B:$B,0)),INDEX(LOAI_THE!$A:$A,MATCH(AU30,LOAI_THE!$B:$B,0)),"")</f>
        <v/>
      </c>
      <c r="AU30" s="48"/>
      <c r="AV30" s="15"/>
      <c r="AW30" s="15"/>
      <c r="AX30" s="15"/>
      <c r="AY30" s="48"/>
    </row>
    <row r="31" spans="1:51" x14ac:dyDescent="0.3">
      <c r="A31" s="13" t="s">
        <v>4307</v>
      </c>
      <c r="B31" s="48"/>
      <c r="C31" s="48"/>
      <c r="D31" s="48"/>
      <c r="E31" s="48"/>
      <c r="F31" s="48"/>
      <c r="G31" s="58" t="str">
        <f>IF(ISNUMBER(MATCH(H31,GIOI_TINH!$B:$B,0)),INDEX(GIOI_TINH!$A:$A,MATCH(H31,GIOI_TINH!$B:$B,0)),"")</f>
        <v/>
      </c>
      <c r="H31" s="15"/>
      <c r="I31" s="15"/>
      <c r="J31" s="58" t="str">
        <f>IF(ISNUMBER(MATCH(K31,QUOC_GIA!$B:$B,0)),INDEX(QUOC_GIA!$A:$A,MATCH(K31,QUOC_GIA!$B:$B,0)),"")</f>
        <v/>
      </c>
      <c r="K31" s="50"/>
      <c r="L31" s="15"/>
      <c r="M31" s="58" t="str">
        <f>IF(ISNUMBER(MATCH(N31,LOAI_THUE!$B:$B,0)),INDEX(LOAI_THUE!$A:$A,MATCH(N31,LOAI_THUE!$B:$B,0)),"")</f>
        <v/>
      </c>
      <c r="N31" s="50"/>
      <c r="O31" s="58" t="str">
        <f>IF(ISNUMBER(MATCH(P31,CHI_TIET_LOAI_KH!$B:$B,0)),INDEX(CHI_TIET_LOAI_KH!$A:$A,MATCH(P31,CHI_TIET_LOAI_KH!$B:$B,0)),"")</f>
        <v/>
      </c>
      <c r="P31" s="50"/>
      <c r="Q31" s="58" t="str">
        <f>IF(ISNUMBER(MATCH(R31,NGHE_NGHIEP!$B:$B,0)),INDEX(NGHE_NGHIEP!$A:$A,MATCH(R31,NGHE_NGHIEP!$B:$B,0)),"")</f>
        <v/>
      </c>
      <c r="R31" s="50"/>
      <c r="S31" s="58" t="str">
        <f>IF(ISNUMBER(MATCH(T31,LOAI_ID!$B:$B,0)),INDEX(LOAI_ID!$A:$A,MATCH(T31,LOAI_ID!$B:$B,0)),"")</f>
        <v/>
      </c>
      <c r="T31" s="16"/>
      <c r="U31" s="48"/>
      <c r="V31" s="48"/>
      <c r="W31" s="17"/>
      <c r="X31" s="17"/>
      <c r="Y31" s="15"/>
      <c r="Z31" s="15"/>
      <c r="AA31" s="59" t="str">
        <f>IFERROR(INDEX(NOI_CAP!$B:$B,MATCH(Z31,NOI_CAP!$A:$A,0)),"")</f>
        <v/>
      </c>
      <c r="AB31" s="58" t="str">
        <f>IF(ISNUMBER(MATCH(AC31,LOAI_DIA_CHI!$B:$B,0)),INDEX(LOAI_DIA_CHI!$A:$A,MATCH(AC31,LOAI_DIA_CHI!$B:$B,0)),"")</f>
        <v/>
      </c>
      <c r="AC31" s="16"/>
      <c r="AD31" s="58" t="str">
        <f>IF(ISNUMBER(MATCH(AE31,QUOC_GIA!$B:$B,0)),INDEX(QUOC_GIA!$A:$A,MATCH(AE31,QUOC_GIA!$B:$B,0)),"")</f>
        <v/>
      </c>
      <c r="AE31" s="16"/>
      <c r="AF31" s="48"/>
      <c r="AG31" s="59" t="str">
        <f>IFERROR(INDEX(TINH_TP!$B:$B,MATCH(AF31,TINH_TP!$A:$A,0)),"")</f>
        <v/>
      </c>
      <c r="AH31" s="15"/>
      <c r="AI31" s="59" t="str">
        <f>IF(OR(AF31="",AH31=""),"",IF(COUNTIFS(PHUONG_XA!$A$2:$A$3323,AH31,PHUONG_XA!$C$2:$C$3323,AF31)=0,"",INDEX(PHUONG_XA!$B$2:$B$3323,SUMPRODUCT((PHUONG_XA!$A$2:$A$3323&amp;""=AH31&amp;"")*(PHUONG_XA!$C$2:$C$3323&amp;""=AF31&amp;"")*(ROW(PHUONG_XA!$A$2:$A$3323)-ROW(PHUONG_XA!$A$2)+1)))))</f>
        <v/>
      </c>
      <c r="AJ31" s="14"/>
      <c r="AK31" s="14"/>
      <c r="AL31" s="57" t="str">
        <f t="shared" si="1"/>
        <v/>
      </c>
      <c r="AM31" s="14"/>
      <c r="AN31" s="15"/>
      <c r="AO31" s="15"/>
      <c r="AP31" s="48"/>
      <c r="AQ31" s="15"/>
      <c r="AR31" s="15"/>
      <c r="AS31" s="15"/>
      <c r="AT31" s="60" t="str">
        <f>IF(ISNUMBER(MATCH(AU31,LOAI_THE!$B:$B,0)),INDEX(LOAI_THE!$A:$A,MATCH(AU31,LOAI_THE!$B:$B,0)),"")</f>
        <v/>
      </c>
      <c r="AU31" s="48"/>
      <c r="AV31" s="15"/>
      <c r="AW31" s="15"/>
      <c r="AX31" s="15"/>
      <c r="AY31" s="48"/>
    </row>
    <row r="32" spans="1:51" x14ac:dyDescent="0.3">
      <c r="A32" s="13" t="s">
        <v>4308</v>
      </c>
      <c r="B32" s="48"/>
      <c r="C32" s="48"/>
      <c r="D32" s="48"/>
      <c r="E32" s="48"/>
      <c r="F32" s="48"/>
      <c r="G32" s="58" t="str">
        <f>IF(ISNUMBER(MATCH(H32,GIOI_TINH!$B:$B,0)),INDEX(GIOI_TINH!$A:$A,MATCH(H32,GIOI_TINH!$B:$B,0)),"")</f>
        <v/>
      </c>
      <c r="H32" s="15"/>
      <c r="I32" s="15"/>
      <c r="J32" s="58" t="str">
        <f>IF(ISNUMBER(MATCH(K32,QUOC_GIA!$B:$B,0)),INDEX(QUOC_GIA!$A:$A,MATCH(K32,QUOC_GIA!$B:$B,0)),"")</f>
        <v/>
      </c>
      <c r="K32" s="50"/>
      <c r="L32" s="15"/>
      <c r="M32" s="58" t="str">
        <f>IF(ISNUMBER(MATCH(N32,LOAI_THUE!$B:$B,0)),INDEX(LOAI_THUE!$A:$A,MATCH(N32,LOAI_THUE!$B:$B,0)),"")</f>
        <v/>
      </c>
      <c r="N32" s="50"/>
      <c r="O32" s="58" t="str">
        <f>IF(ISNUMBER(MATCH(P32,CHI_TIET_LOAI_KH!$B:$B,0)),INDEX(CHI_TIET_LOAI_KH!$A:$A,MATCH(P32,CHI_TIET_LOAI_KH!$B:$B,0)),"")</f>
        <v/>
      </c>
      <c r="P32" s="50"/>
      <c r="Q32" s="58" t="str">
        <f>IF(ISNUMBER(MATCH(R32,NGHE_NGHIEP!$B:$B,0)),INDEX(NGHE_NGHIEP!$A:$A,MATCH(R32,NGHE_NGHIEP!$B:$B,0)),"")</f>
        <v/>
      </c>
      <c r="R32" s="50"/>
      <c r="S32" s="58" t="str">
        <f>IF(ISNUMBER(MATCH(T32,LOAI_ID!$B:$B,0)),INDEX(LOAI_ID!$A:$A,MATCH(T32,LOAI_ID!$B:$B,0)),"")</f>
        <v/>
      </c>
      <c r="T32" s="16"/>
      <c r="U32" s="48"/>
      <c r="V32" s="48"/>
      <c r="W32" s="17"/>
      <c r="X32" s="17"/>
      <c r="Y32" s="15"/>
      <c r="Z32" s="15"/>
      <c r="AA32" s="59" t="str">
        <f>IFERROR(INDEX(NOI_CAP!$B:$B,MATCH(Z32,NOI_CAP!$A:$A,0)),"")</f>
        <v/>
      </c>
      <c r="AB32" s="58" t="str">
        <f>IF(ISNUMBER(MATCH(AC32,LOAI_DIA_CHI!$B:$B,0)),INDEX(LOAI_DIA_CHI!$A:$A,MATCH(AC32,LOAI_DIA_CHI!$B:$B,0)),"")</f>
        <v/>
      </c>
      <c r="AC32" s="16"/>
      <c r="AD32" s="58" t="str">
        <f>IF(ISNUMBER(MATCH(AE32,QUOC_GIA!$B:$B,0)),INDEX(QUOC_GIA!$A:$A,MATCH(AE32,QUOC_GIA!$B:$B,0)),"")</f>
        <v/>
      </c>
      <c r="AE32" s="16"/>
      <c r="AF32" s="48"/>
      <c r="AG32" s="59" t="str">
        <f>IFERROR(INDEX(TINH_TP!$B:$B,MATCH(AF32,TINH_TP!$A:$A,0)),"")</f>
        <v/>
      </c>
      <c r="AH32" s="15"/>
      <c r="AI32" s="59" t="str">
        <f>IF(OR(AF32="",AH32=""),"",IF(COUNTIFS(PHUONG_XA!$A$2:$A$3323,AH32,PHUONG_XA!$C$2:$C$3323,AF32)=0,"",INDEX(PHUONG_XA!$B$2:$B$3323,SUMPRODUCT((PHUONG_XA!$A$2:$A$3323&amp;""=AH32&amp;"")*(PHUONG_XA!$C$2:$C$3323&amp;""=AF32&amp;"")*(ROW(PHUONG_XA!$A$2:$A$3323)-ROW(PHUONG_XA!$A$2)+1)))))</f>
        <v/>
      </c>
      <c r="AJ32" s="14"/>
      <c r="AK32" s="14"/>
      <c r="AL32" s="57" t="str">
        <f t="shared" si="1"/>
        <v/>
      </c>
      <c r="AM32" s="14"/>
      <c r="AN32" s="15"/>
      <c r="AO32" s="15"/>
      <c r="AP32" s="48"/>
      <c r="AQ32" s="15"/>
      <c r="AR32" s="15"/>
      <c r="AS32" s="15"/>
      <c r="AT32" s="60" t="str">
        <f>IF(ISNUMBER(MATCH(AU32,LOAI_THE!$B:$B,0)),INDEX(LOAI_THE!$A:$A,MATCH(AU32,LOAI_THE!$B:$B,0)),"")</f>
        <v/>
      </c>
      <c r="AU32" s="48"/>
      <c r="AV32" s="15"/>
      <c r="AW32" s="15"/>
      <c r="AX32" s="15"/>
      <c r="AY32" s="48"/>
    </row>
    <row r="33" spans="1:51" x14ac:dyDescent="0.3">
      <c r="A33" s="13" t="s">
        <v>4309</v>
      </c>
      <c r="B33" s="48"/>
      <c r="C33" s="48"/>
      <c r="D33" s="48"/>
      <c r="E33" s="48"/>
      <c r="F33" s="48"/>
      <c r="G33" s="58" t="str">
        <f>IF(ISNUMBER(MATCH(H33,GIOI_TINH!$B:$B,0)),INDEX(GIOI_TINH!$A:$A,MATCH(H33,GIOI_TINH!$B:$B,0)),"")</f>
        <v/>
      </c>
      <c r="H33" s="15"/>
      <c r="I33" s="15"/>
      <c r="J33" s="58" t="str">
        <f>IF(ISNUMBER(MATCH(K33,QUOC_GIA!$B:$B,0)),INDEX(QUOC_GIA!$A:$A,MATCH(K33,QUOC_GIA!$B:$B,0)),"")</f>
        <v/>
      </c>
      <c r="K33" s="50"/>
      <c r="L33" s="15"/>
      <c r="M33" s="58" t="str">
        <f>IF(ISNUMBER(MATCH(N33,LOAI_THUE!$B:$B,0)),INDEX(LOAI_THUE!$A:$A,MATCH(N33,LOAI_THUE!$B:$B,0)),"")</f>
        <v/>
      </c>
      <c r="N33" s="50"/>
      <c r="O33" s="58" t="str">
        <f>IF(ISNUMBER(MATCH(P33,CHI_TIET_LOAI_KH!$B:$B,0)),INDEX(CHI_TIET_LOAI_KH!$A:$A,MATCH(P33,CHI_TIET_LOAI_KH!$B:$B,0)),"")</f>
        <v/>
      </c>
      <c r="P33" s="50"/>
      <c r="Q33" s="58" t="str">
        <f>IF(ISNUMBER(MATCH(R33,NGHE_NGHIEP!$B:$B,0)),INDEX(NGHE_NGHIEP!$A:$A,MATCH(R33,NGHE_NGHIEP!$B:$B,0)),"")</f>
        <v/>
      </c>
      <c r="R33" s="50"/>
      <c r="S33" s="58" t="str">
        <f>IF(ISNUMBER(MATCH(T33,LOAI_ID!$B:$B,0)),INDEX(LOAI_ID!$A:$A,MATCH(T33,LOAI_ID!$B:$B,0)),"")</f>
        <v/>
      </c>
      <c r="T33" s="16"/>
      <c r="U33" s="48"/>
      <c r="V33" s="48"/>
      <c r="W33" s="17"/>
      <c r="X33" s="17"/>
      <c r="Y33" s="15"/>
      <c r="Z33" s="15"/>
      <c r="AA33" s="59" t="str">
        <f>IFERROR(INDEX(NOI_CAP!$B:$B,MATCH(Z33,NOI_CAP!$A:$A,0)),"")</f>
        <v/>
      </c>
      <c r="AB33" s="58" t="str">
        <f>IF(ISNUMBER(MATCH(AC33,LOAI_DIA_CHI!$B:$B,0)),INDEX(LOAI_DIA_CHI!$A:$A,MATCH(AC33,LOAI_DIA_CHI!$B:$B,0)),"")</f>
        <v/>
      </c>
      <c r="AC33" s="16"/>
      <c r="AD33" s="58" t="str">
        <f>IF(ISNUMBER(MATCH(AE33,QUOC_GIA!$B:$B,0)),INDEX(QUOC_GIA!$A:$A,MATCH(AE33,QUOC_GIA!$B:$B,0)),"")</f>
        <v/>
      </c>
      <c r="AE33" s="16"/>
      <c r="AF33" s="48"/>
      <c r="AG33" s="59" t="str">
        <f>IFERROR(INDEX(TINH_TP!$B:$B,MATCH(AF33,TINH_TP!$A:$A,0)),"")</f>
        <v/>
      </c>
      <c r="AH33" s="50"/>
      <c r="AI33" s="59" t="str">
        <f>IF(OR(AF33="",AH33=""),"",IF(COUNTIFS(PHUONG_XA!$A$2:$A$3323,AH33,PHUONG_XA!$C$2:$C$3323,AF33)=0,"",INDEX(PHUONG_XA!$B$2:$B$3323,SUMPRODUCT((PHUONG_XA!$A$2:$A$3323&amp;""=AH33&amp;"")*(PHUONG_XA!$C$2:$C$3323&amp;""=AF33&amp;"")*(ROW(PHUONG_XA!$A$2:$A$3323)-ROW(PHUONG_XA!$A$2)+1)))))</f>
        <v/>
      </c>
      <c r="AJ33" s="14"/>
      <c r="AK33" s="14"/>
      <c r="AL33" s="57" t="str">
        <f t="shared" si="1"/>
        <v/>
      </c>
      <c r="AM33" s="14"/>
      <c r="AN33" s="15"/>
      <c r="AO33" s="15"/>
      <c r="AP33" s="48"/>
      <c r="AQ33" s="15"/>
      <c r="AR33" s="15"/>
      <c r="AS33" s="15"/>
      <c r="AT33" s="60" t="str">
        <f>IF(ISNUMBER(MATCH(AU33,LOAI_THE!$B:$B,0)),INDEX(LOAI_THE!$A:$A,MATCH(AU33,LOAI_THE!$B:$B,0)),"")</f>
        <v/>
      </c>
      <c r="AU33" s="48"/>
      <c r="AV33" s="15"/>
      <c r="AW33" s="15"/>
      <c r="AX33" s="15"/>
      <c r="AY33" s="48"/>
    </row>
    <row r="34" spans="1:51" x14ac:dyDescent="0.3">
      <c r="A34" s="13" t="s">
        <v>4310</v>
      </c>
      <c r="B34" s="48"/>
      <c r="C34" s="48"/>
      <c r="D34" s="48"/>
      <c r="E34" s="48"/>
      <c r="F34" s="48"/>
      <c r="G34" s="58" t="str">
        <f>IF(ISNUMBER(MATCH(H34,GIOI_TINH!$B:$B,0)),INDEX(GIOI_TINH!$A:$A,MATCH(H34,GIOI_TINH!$B:$B,0)),"")</f>
        <v/>
      </c>
      <c r="H34" s="15"/>
      <c r="I34" s="15"/>
      <c r="J34" s="58" t="str">
        <f>IF(ISNUMBER(MATCH(K34,QUOC_GIA!$B:$B,0)),INDEX(QUOC_GIA!$A:$A,MATCH(K34,QUOC_GIA!$B:$B,0)),"")</f>
        <v/>
      </c>
      <c r="K34" s="50"/>
      <c r="L34" s="15"/>
      <c r="M34" s="58" t="str">
        <f>IF(ISNUMBER(MATCH(N34,LOAI_THUE!$B:$B,0)),INDEX(LOAI_THUE!$A:$A,MATCH(N34,LOAI_THUE!$B:$B,0)),"")</f>
        <v/>
      </c>
      <c r="N34" s="50"/>
      <c r="O34" s="58" t="str">
        <f>IF(ISNUMBER(MATCH(P34,CHI_TIET_LOAI_KH!$B:$B,0)),INDEX(CHI_TIET_LOAI_KH!$A:$A,MATCH(P34,CHI_TIET_LOAI_KH!$B:$B,0)),"")</f>
        <v/>
      </c>
      <c r="P34" s="50"/>
      <c r="Q34" s="58" t="str">
        <f>IF(ISNUMBER(MATCH(R34,NGHE_NGHIEP!$B:$B,0)),INDEX(NGHE_NGHIEP!$A:$A,MATCH(R34,NGHE_NGHIEP!$B:$B,0)),"")</f>
        <v/>
      </c>
      <c r="R34" s="50"/>
      <c r="S34" s="58" t="str">
        <f>IF(ISNUMBER(MATCH(T34,LOAI_ID!$B:$B,0)),INDEX(LOAI_ID!$A:$A,MATCH(T34,LOAI_ID!$B:$B,0)),"")</f>
        <v/>
      </c>
      <c r="T34" s="16"/>
      <c r="U34" s="48"/>
      <c r="V34" s="48"/>
      <c r="W34" s="17"/>
      <c r="X34" s="17"/>
      <c r="Y34" s="15"/>
      <c r="Z34" s="15"/>
      <c r="AA34" s="59" t="str">
        <f>IFERROR(INDEX(NOI_CAP!$B:$B,MATCH(Z34,NOI_CAP!$A:$A,0)),"")</f>
        <v/>
      </c>
      <c r="AB34" s="58" t="str">
        <f>IF(ISNUMBER(MATCH(AC34,LOAI_DIA_CHI!$B:$B,0)),INDEX(LOAI_DIA_CHI!$A:$A,MATCH(AC34,LOAI_DIA_CHI!$B:$B,0)),"")</f>
        <v/>
      </c>
      <c r="AC34" s="16"/>
      <c r="AD34" s="58" t="str">
        <f>IF(ISNUMBER(MATCH(AE34,QUOC_GIA!$B:$B,0)),INDEX(QUOC_GIA!$A:$A,MATCH(AE34,QUOC_GIA!$B:$B,0)),"")</f>
        <v/>
      </c>
      <c r="AE34" s="16"/>
      <c r="AF34" s="48"/>
      <c r="AG34" s="59" t="str">
        <f>IFERROR(INDEX(TINH_TP!$B:$B,MATCH(AF34,TINH_TP!$A:$A,0)),"")</f>
        <v/>
      </c>
      <c r="AH34" s="50"/>
      <c r="AI34" s="59" t="str">
        <f>IF(OR(AF34="",AH34=""),"",IF(COUNTIFS(PHUONG_XA!$A$2:$A$3323,AH34,PHUONG_XA!$C$2:$C$3323,AF34)=0,"",INDEX(PHUONG_XA!$B$2:$B$3323,SUMPRODUCT((PHUONG_XA!$A$2:$A$3323&amp;""=AH34&amp;"")*(PHUONG_XA!$C$2:$C$3323&amp;""=AF34&amp;"")*(ROW(PHUONG_XA!$A$2:$A$3323)-ROW(PHUONG_XA!$A$2)+1)))))</f>
        <v/>
      </c>
      <c r="AJ34" s="14"/>
      <c r="AK34" s="14"/>
      <c r="AL34" s="57" t="str">
        <f t="shared" si="1"/>
        <v/>
      </c>
      <c r="AM34" s="14"/>
      <c r="AN34" s="15"/>
      <c r="AO34" s="15"/>
      <c r="AP34" s="48"/>
      <c r="AQ34" s="15"/>
      <c r="AR34" s="15"/>
      <c r="AS34" s="15"/>
      <c r="AT34" s="60" t="str">
        <f>IF(ISNUMBER(MATCH(AU34,LOAI_THE!$B:$B,0)),INDEX(LOAI_THE!$A:$A,MATCH(AU34,LOAI_THE!$B:$B,0)),"")</f>
        <v/>
      </c>
      <c r="AU34" s="48"/>
      <c r="AV34" s="15"/>
      <c r="AW34" s="15"/>
      <c r="AX34" s="15"/>
      <c r="AY34" s="48"/>
    </row>
    <row r="35" spans="1:51" x14ac:dyDescent="0.3">
      <c r="A35" s="13" t="s">
        <v>4311</v>
      </c>
      <c r="B35" s="48"/>
      <c r="C35" s="48"/>
      <c r="D35" s="48"/>
      <c r="E35" s="48"/>
      <c r="F35" s="48"/>
      <c r="G35" s="58" t="str">
        <f>IF(ISNUMBER(MATCH(H35,GIOI_TINH!$B:$B,0)),INDEX(GIOI_TINH!$A:$A,MATCH(H35,GIOI_TINH!$B:$B,0)),"")</f>
        <v/>
      </c>
      <c r="H35" s="15"/>
      <c r="I35" s="15"/>
      <c r="J35" s="58" t="str">
        <f>IF(ISNUMBER(MATCH(K35,QUOC_GIA!$B:$B,0)),INDEX(QUOC_GIA!$A:$A,MATCH(K35,QUOC_GIA!$B:$B,0)),"")</f>
        <v/>
      </c>
      <c r="K35" s="50"/>
      <c r="L35" s="15"/>
      <c r="M35" s="58" t="str">
        <f>IF(ISNUMBER(MATCH(N35,LOAI_THUE!$B:$B,0)),INDEX(LOAI_THUE!$A:$A,MATCH(N35,LOAI_THUE!$B:$B,0)),"")</f>
        <v/>
      </c>
      <c r="N35" s="50"/>
      <c r="O35" s="58" t="str">
        <f>IF(ISNUMBER(MATCH(P35,CHI_TIET_LOAI_KH!$B:$B,0)),INDEX(CHI_TIET_LOAI_KH!$A:$A,MATCH(P35,CHI_TIET_LOAI_KH!$B:$B,0)),"")</f>
        <v/>
      </c>
      <c r="P35" s="50"/>
      <c r="Q35" s="58" t="str">
        <f>IF(ISNUMBER(MATCH(R35,NGHE_NGHIEP!$B:$B,0)),INDEX(NGHE_NGHIEP!$A:$A,MATCH(R35,NGHE_NGHIEP!$B:$B,0)),"")</f>
        <v/>
      </c>
      <c r="R35" s="50"/>
      <c r="S35" s="58" t="str">
        <f>IF(ISNUMBER(MATCH(T35,LOAI_ID!$B:$B,0)),INDEX(LOAI_ID!$A:$A,MATCH(T35,LOAI_ID!$B:$B,0)),"")</f>
        <v/>
      </c>
      <c r="T35" s="16"/>
      <c r="U35" s="48"/>
      <c r="V35" s="48"/>
      <c r="W35" s="17"/>
      <c r="X35" s="17"/>
      <c r="Y35" s="15"/>
      <c r="Z35" s="15"/>
      <c r="AA35" s="59" t="str">
        <f>IFERROR(INDEX(NOI_CAP!$B:$B,MATCH(Z35,NOI_CAP!$A:$A,0)),"")</f>
        <v/>
      </c>
      <c r="AB35" s="58" t="str">
        <f>IF(ISNUMBER(MATCH(AC35,LOAI_DIA_CHI!$B:$B,0)),INDEX(LOAI_DIA_CHI!$A:$A,MATCH(AC35,LOAI_DIA_CHI!$B:$B,0)),"")</f>
        <v/>
      </c>
      <c r="AC35" s="16"/>
      <c r="AD35" s="58" t="str">
        <f>IF(ISNUMBER(MATCH(AE35,QUOC_GIA!$B:$B,0)),INDEX(QUOC_GIA!$A:$A,MATCH(AE35,QUOC_GIA!$B:$B,0)),"")</f>
        <v/>
      </c>
      <c r="AE35" s="16"/>
      <c r="AF35" s="48"/>
      <c r="AG35" s="59" t="str">
        <f>IFERROR(INDEX(TINH_TP!$B:$B,MATCH(AF35,TINH_TP!$A:$A,0)),"")</f>
        <v/>
      </c>
      <c r="AH35" s="50"/>
      <c r="AI35" s="59" t="str">
        <f>IF(OR(AF35="",AH35=""),"",IF(COUNTIFS(PHUONG_XA!$A$2:$A$3323,AH35,PHUONG_XA!$C$2:$C$3323,AF35)=0,"",INDEX(PHUONG_XA!$B$2:$B$3323,SUMPRODUCT((PHUONG_XA!$A$2:$A$3323&amp;""=AH35&amp;"")*(PHUONG_XA!$C$2:$C$3323&amp;""=AF35&amp;"")*(ROW(PHUONG_XA!$A$2:$A$3323)-ROW(PHUONG_XA!$A$2)+1)))))</f>
        <v/>
      </c>
      <c r="AJ35" s="14"/>
      <c r="AK35" s="14"/>
      <c r="AL35" s="57" t="str">
        <f t="shared" si="1"/>
        <v/>
      </c>
      <c r="AM35" s="14"/>
      <c r="AN35" s="15"/>
      <c r="AO35" s="15"/>
      <c r="AP35" s="48"/>
      <c r="AQ35" s="15"/>
      <c r="AR35" s="15"/>
      <c r="AS35" s="15"/>
      <c r="AT35" s="60" t="str">
        <f>IF(ISNUMBER(MATCH(AU35,LOAI_THE!$B:$B,0)),INDEX(LOAI_THE!$A:$A,MATCH(AU35,LOAI_THE!$B:$B,0)),"")</f>
        <v/>
      </c>
      <c r="AU35" s="48"/>
      <c r="AV35" s="15"/>
      <c r="AW35" s="15"/>
      <c r="AX35" s="15"/>
      <c r="AY35" s="48"/>
    </row>
    <row r="36" spans="1:51" x14ac:dyDescent="0.3">
      <c r="A36" s="13" t="s">
        <v>4312</v>
      </c>
      <c r="B36" s="48"/>
      <c r="C36" s="48"/>
      <c r="D36" s="48"/>
      <c r="E36" s="48"/>
      <c r="F36" s="48"/>
      <c r="G36" s="58" t="str">
        <f>IF(ISNUMBER(MATCH(H36,GIOI_TINH!$B:$B,0)),INDEX(GIOI_TINH!$A:$A,MATCH(H36,GIOI_TINH!$B:$B,0)),"")</f>
        <v/>
      </c>
      <c r="H36" s="15"/>
      <c r="I36" s="15"/>
      <c r="J36" s="58" t="str">
        <f>IF(ISNUMBER(MATCH(K36,QUOC_GIA!$B:$B,0)),INDEX(QUOC_GIA!$A:$A,MATCH(K36,QUOC_GIA!$B:$B,0)),"")</f>
        <v/>
      </c>
      <c r="K36" s="50"/>
      <c r="L36" s="15"/>
      <c r="M36" s="58" t="str">
        <f>IF(ISNUMBER(MATCH(N36,LOAI_THUE!$B:$B,0)),INDEX(LOAI_THUE!$A:$A,MATCH(N36,LOAI_THUE!$B:$B,0)),"")</f>
        <v/>
      </c>
      <c r="N36" s="50"/>
      <c r="O36" s="58" t="str">
        <f>IF(ISNUMBER(MATCH(P36,CHI_TIET_LOAI_KH!$B:$B,0)),INDEX(CHI_TIET_LOAI_KH!$A:$A,MATCH(P36,CHI_TIET_LOAI_KH!$B:$B,0)),"")</f>
        <v/>
      </c>
      <c r="P36" s="50"/>
      <c r="Q36" s="58" t="str">
        <f>IF(ISNUMBER(MATCH(R36,NGHE_NGHIEP!$B:$B,0)),INDEX(NGHE_NGHIEP!$A:$A,MATCH(R36,NGHE_NGHIEP!$B:$B,0)),"")</f>
        <v/>
      </c>
      <c r="R36" s="50"/>
      <c r="S36" s="58" t="str">
        <f>IF(ISNUMBER(MATCH(T36,LOAI_ID!$B:$B,0)),INDEX(LOAI_ID!$A:$A,MATCH(T36,LOAI_ID!$B:$B,0)),"")</f>
        <v/>
      </c>
      <c r="T36" s="16"/>
      <c r="U36" s="48"/>
      <c r="V36" s="48"/>
      <c r="W36" s="17"/>
      <c r="X36" s="17"/>
      <c r="Y36" s="15"/>
      <c r="Z36" s="15"/>
      <c r="AA36" s="59" t="str">
        <f>IFERROR(INDEX(NOI_CAP!$B:$B,MATCH(Z36,NOI_CAP!$A:$A,0)),"")</f>
        <v/>
      </c>
      <c r="AB36" s="58" t="str">
        <f>IF(ISNUMBER(MATCH(AC36,LOAI_DIA_CHI!$B:$B,0)),INDEX(LOAI_DIA_CHI!$A:$A,MATCH(AC36,LOAI_DIA_CHI!$B:$B,0)),"")</f>
        <v/>
      </c>
      <c r="AC36" s="16"/>
      <c r="AD36" s="58" t="str">
        <f>IF(ISNUMBER(MATCH(AE36,QUOC_GIA!$B:$B,0)),INDEX(QUOC_GIA!$A:$A,MATCH(AE36,QUOC_GIA!$B:$B,0)),"")</f>
        <v/>
      </c>
      <c r="AE36" s="16"/>
      <c r="AF36" s="48"/>
      <c r="AG36" s="59" t="str">
        <f>IFERROR(INDEX(TINH_TP!$B:$B,MATCH(AF36,TINH_TP!$A:$A,0)),"")</f>
        <v/>
      </c>
      <c r="AH36" s="50"/>
      <c r="AI36" s="59" t="str">
        <f>IF(OR(AF36="",AH36=""),"",IF(COUNTIFS(PHUONG_XA!$A$2:$A$3323,AH36,PHUONG_XA!$C$2:$C$3323,AF36)=0,"",INDEX(PHUONG_XA!$B$2:$B$3323,SUMPRODUCT((PHUONG_XA!$A$2:$A$3323&amp;""=AH36&amp;"")*(PHUONG_XA!$C$2:$C$3323&amp;""=AF36&amp;"")*(ROW(PHUONG_XA!$A$2:$A$3323)-ROW(PHUONG_XA!$A$2)+1)))))</f>
        <v/>
      </c>
      <c r="AJ36" s="14"/>
      <c r="AK36" s="14"/>
      <c r="AL36" s="57" t="str">
        <f t="shared" si="1"/>
        <v/>
      </c>
      <c r="AM36" s="14"/>
      <c r="AN36" s="15"/>
      <c r="AO36" s="15"/>
      <c r="AP36" s="48"/>
      <c r="AQ36" s="15"/>
      <c r="AR36" s="15"/>
      <c r="AS36" s="15"/>
      <c r="AT36" s="60" t="str">
        <f>IF(ISNUMBER(MATCH(AU36,LOAI_THE!$B:$B,0)),INDEX(LOAI_THE!$A:$A,MATCH(AU36,LOAI_THE!$B:$B,0)),"")</f>
        <v/>
      </c>
      <c r="AU36" s="48"/>
      <c r="AV36" s="15"/>
      <c r="AW36" s="15"/>
      <c r="AX36" s="15"/>
      <c r="AY36" s="48"/>
    </row>
    <row r="37" spans="1:51" x14ac:dyDescent="0.3">
      <c r="A37" s="13" t="s">
        <v>4313</v>
      </c>
      <c r="B37" s="48"/>
      <c r="C37" s="48"/>
      <c r="D37" s="48"/>
      <c r="E37" s="48"/>
      <c r="F37" s="48"/>
      <c r="G37" s="58" t="str">
        <f>IF(ISNUMBER(MATCH(H37,GIOI_TINH!$B:$B,0)),INDEX(GIOI_TINH!$A:$A,MATCH(H37,GIOI_TINH!$B:$B,0)),"")</f>
        <v/>
      </c>
      <c r="H37" s="15"/>
      <c r="I37" s="15"/>
      <c r="J37" s="58" t="str">
        <f>IF(ISNUMBER(MATCH(K37,QUOC_GIA!$B:$B,0)),INDEX(QUOC_GIA!$A:$A,MATCH(K37,QUOC_GIA!$B:$B,0)),"")</f>
        <v/>
      </c>
      <c r="K37" s="50"/>
      <c r="L37" s="15"/>
      <c r="M37" s="58" t="str">
        <f>IF(ISNUMBER(MATCH(N37,LOAI_THUE!$B:$B,0)),INDEX(LOAI_THUE!$A:$A,MATCH(N37,LOAI_THUE!$B:$B,0)),"")</f>
        <v/>
      </c>
      <c r="N37" s="50"/>
      <c r="O37" s="58" t="str">
        <f>IF(ISNUMBER(MATCH(P37,CHI_TIET_LOAI_KH!$B:$B,0)),INDEX(CHI_TIET_LOAI_KH!$A:$A,MATCH(P37,CHI_TIET_LOAI_KH!$B:$B,0)),"")</f>
        <v/>
      </c>
      <c r="P37" s="50"/>
      <c r="Q37" s="58" t="str">
        <f>IF(ISNUMBER(MATCH(R37,NGHE_NGHIEP!$B:$B,0)),INDEX(NGHE_NGHIEP!$A:$A,MATCH(R37,NGHE_NGHIEP!$B:$B,0)),"")</f>
        <v/>
      </c>
      <c r="R37" s="50"/>
      <c r="S37" s="58" t="str">
        <f>IF(ISNUMBER(MATCH(T37,LOAI_ID!$B:$B,0)),INDEX(LOAI_ID!$A:$A,MATCH(T37,LOAI_ID!$B:$B,0)),"")</f>
        <v/>
      </c>
      <c r="T37" s="16"/>
      <c r="U37" s="48"/>
      <c r="V37" s="48"/>
      <c r="W37" s="17"/>
      <c r="X37" s="17"/>
      <c r="Y37" s="15"/>
      <c r="Z37" s="15"/>
      <c r="AA37" s="59" t="str">
        <f>IFERROR(INDEX(NOI_CAP!$B:$B,MATCH(Z37,NOI_CAP!$A:$A,0)),"")</f>
        <v/>
      </c>
      <c r="AB37" s="58" t="str">
        <f>IF(ISNUMBER(MATCH(AC37,LOAI_DIA_CHI!$B:$B,0)),INDEX(LOAI_DIA_CHI!$A:$A,MATCH(AC37,LOAI_DIA_CHI!$B:$B,0)),"")</f>
        <v/>
      </c>
      <c r="AC37" s="16"/>
      <c r="AD37" s="58" t="str">
        <f>IF(ISNUMBER(MATCH(AE37,QUOC_GIA!$B:$B,0)),INDEX(QUOC_GIA!$A:$A,MATCH(AE37,QUOC_GIA!$B:$B,0)),"")</f>
        <v/>
      </c>
      <c r="AE37" s="16"/>
      <c r="AF37" s="48"/>
      <c r="AG37" s="59" t="str">
        <f>IFERROR(INDEX(TINH_TP!$B:$B,MATCH(AF37,TINH_TP!$A:$A,0)),"")</f>
        <v/>
      </c>
      <c r="AH37" s="50"/>
      <c r="AI37" s="59" t="str">
        <f>IF(OR(AF37="",AH37=""),"",IF(COUNTIFS(PHUONG_XA!$A$2:$A$3323,AH37,PHUONG_XA!$C$2:$C$3323,AF37)=0,"",INDEX(PHUONG_XA!$B$2:$B$3323,SUMPRODUCT((PHUONG_XA!$A$2:$A$3323&amp;""=AH37&amp;"")*(PHUONG_XA!$C$2:$C$3323&amp;""=AF37&amp;"")*(ROW(PHUONG_XA!$A$2:$A$3323)-ROW(PHUONG_XA!$A$2)+1)))))</f>
        <v/>
      </c>
      <c r="AJ37" s="14"/>
      <c r="AK37" s="14"/>
      <c r="AL37" s="57" t="str">
        <f t="shared" si="1"/>
        <v/>
      </c>
      <c r="AM37" s="14"/>
      <c r="AN37" s="15"/>
      <c r="AO37" s="15"/>
      <c r="AP37" s="48"/>
      <c r="AQ37" s="15"/>
      <c r="AR37" s="15"/>
      <c r="AS37" s="15"/>
      <c r="AT37" s="60" t="str">
        <f>IF(ISNUMBER(MATCH(AU37,LOAI_THE!$B:$B,0)),INDEX(LOAI_THE!$A:$A,MATCH(AU37,LOAI_THE!$B:$B,0)),"")</f>
        <v/>
      </c>
      <c r="AU37" s="48"/>
      <c r="AV37" s="15"/>
      <c r="AW37" s="15"/>
      <c r="AX37" s="15"/>
      <c r="AY37" s="48"/>
    </row>
    <row r="38" spans="1:51" x14ac:dyDescent="0.3">
      <c r="A38" s="13" t="s">
        <v>4314</v>
      </c>
      <c r="B38" s="48"/>
      <c r="C38" s="48"/>
      <c r="D38" s="48"/>
      <c r="E38" s="48"/>
      <c r="F38" s="48"/>
      <c r="G38" s="58" t="str">
        <f>IF(ISNUMBER(MATCH(H38,GIOI_TINH!$B:$B,0)),INDEX(GIOI_TINH!$A:$A,MATCH(H38,GIOI_TINH!$B:$B,0)),"")</f>
        <v/>
      </c>
      <c r="H38" s="15"/>
      <c r="I38" s="15"/>
      <c r="J38" s="58" t="str">
        <f>IF(ISNUMBER(MATCH(K38,QUOC_GIA!$B:$B,0)),INDEX(QUOC_GIA!$A:$A,MATCH(K38,QUOC_GIA!$B:$B,0)),"")</f>
        <v/>
      </c>
      <c r="K38" s="50"/>
      <c r="L38" s="15"/>
      <c r="M38" s="58" t="str">
        <f>IF(ISNUMBER(MATCH(N38,LOAI_THUE!$B:$B,0)),INDEX(LOAI_THUE!$A:$A,MATCH(N38,LOAI_THUE!$B:$B,0)),"")</f>
        <v/>
      </c>
      <c r="N38" s="50"/>
      <c r="O38" s="58" t="str">
        <f>IF(ISNUMBER(MATCH(P38,CHI_TIET_LOAI_KH!$B:$B,0)),INDEX(CHI_TIET_LOAI_KH!$A:$A,MATCH(P38,CHI_TIET_LOAI_KH!$B:$B,0)),"")</f>
        <v/>
      </c>
      <c r="P38" s="50"/>
      <c r="Q38" s="58" t="str">
        <f>IF(ISNUMBER(MATCH(R38,NGHE_NGHIEP!$B:$B,0)),INDEX(NGHE_NGHIEP!$A:$A,MATCH(R38,NGHE_NGHIEP!$B:$B,0)),"")</f>
        <v/>
      </c>
      <c r="R38" s="50"/>
      <c r="S38" s="58" t="str">
        <f>IF(ISNUMBER(MATCH(T38,LOAI_ID!$B:$B,0)),INDEX(LOAI_ID!$A:$A,MATCH(T38,LOAI_ID!$B:$B,0)),"")</f>
        <v/>
      </c>
      <c r="T38" s="16"/>
      <c r="U38" s="48"/>
      <c r="V38" s="48"/>
      <c r="W38" s="17"/>
      <c r="X38" s="17"/>
      <c r="Y38" s="15"/>
      <c r="Z38" s="15"/>
      <c r="AA38" s="59" t="str">
        <f>IFERROR(INDEX(NOI_CAP!$B:$B,MATCH(Z38,NOI_CAP!$A:$A,0)),"")</f>
        <v/>
      </c>
      <c r="AB38" s="58" t="str">
        <f>IF(ISNUMBER(MATCH(AC38,LOAI_DIA_CHI!$B:$B,0)),INDEX(LOAI_DIA_CHI!$A:$A,MATCH(AC38,LOAI_DIA_CHI!$B:$B,0)),"")</f>
        <v/>
      </c>
      <c r="AC38" s="16"/>
      <c r="AD38" s="58" t="str">
        <f>IF(ISNUMBER(MATCH(AE38,QUOC_GIA!$B:$B,0)),INDEX(QUOC_GIA!$A:$A,MATCH(AE38,QUOC_GIA!$B:$B,0)),"")</f>
        <v/>
      </c>
      <c r="AE38" s="16"/>
      <c r="AF38" s="48"/>
      <c r="AG38" s="59" t="str">
        <f>IFERROR(INDEX(TINH_TP!$B:$B,MATCH(AF38,TINH_TP!$A:$A,0)),"")</f>
        <v/>
      </c>
      <c r="AH38" s="50"/>
      <c r="AI38" s="59" t="str">
        <f>IF(OR(AF38="",AH38=""),"",IF(COUNTIFS(PHUONG_XA!$A$2:$A$3323,AH38,PHUONG_XA!$C$2:$C$3323,AF38)=0,"",INDEX(PHUONG_XA!$B$2:$B$3323,SUMPRODUCT((PHUONG_XA!$A$2:$A$3323&amp;""=AH38&amp;"")*(PHUONG_XA!$C$2:$C$3323&amp;""=AF38&amp;"")*(ROW(PHUONG_XA!$A$2:$A$3323)-ROW(PHUONG_XA!$A$2)+1)))))</f>
        <v/>
      </c>
      <c r="AJ38" s="14"/>
      <c r="AK38" s="14"/>
      <c r="AL38" s="57" t="str">
        <f t="shared" si="1"/>
        <v/>
      </c>
      <c r="AM38" s="14"/>
      <c r="AN38" s="15"/>
      <c r="AO38" s="15"/>
      <c r="AP38" s="48"/>
      <c r="AQ38" s="15"/>
      <c r="AR38" s="15"/>
      <c r="AS38" s="15"/>
      <c r="AT38" s="60" t="str">
        <f>IF(ISNUMBER(MATCH(AU38,LOAI_THE!$B:$B,0)),INDEX(LOAI_THE!$A:$A,MATCH(AU38,LOAI_THE!$B:$B,0)),"")</f>
        <v/>
      </c>
      <c r="AU38" s="48"/>
      <c r="AV38" s="15"/>
      <c r="AW38" s="15"/>
      <c r="AX38" s="15"/>
      <c r="AY38" s="48"/>
    </row>
    <row r="39" spans="1:51" x14ac:dyDescent="0.3">
      <c r="A39" s="13" t="s">
        <v>4315</v>
      </c>
      <c r="B39" s="48"/>
      <c r="C39" s="48"/>
      <c r="D39" s="48"/>
      <c r="E39" s="48"/>
      <c r="F39" s="48"/>
      <c r="G39" s="58" t="str">
        <f>IF(ISNUMBER(MATCH(H39,GIOI_TINH!$B:$B,0)),INDEX(GIOI_TINH!$A:$A,MATCH(H39,GIOI_TINH!$B:$B,0)),"")</f>
        <v/>
      </c>
      <c r="H39" s="15"/>
      <c r="I39" s="15"/>
      <c r="J39" s="58" t="str">
        <f>IF(ISNUMBER(MATCH(K39,QUOC_GIA!$B:$B,0)),INDEX(QUOC_GIA!$A:$A,MATCH(K39,QUOC_GIA!$B:$B,0)),"")</f>
        <v/>
      </c>
      <c r="K39" s="50"/>
      <c r="L39" s="15"/>
      <c r="M39" s="58" t="str">
        <f>IF(ISNUMBER(MATCH(N39,LOAI_THUE!$B:$B,0)),INDEX(LOAI_THUE!$A:$A,MATCH(N39,LOAI_THUE!$B:$B,0)),"")</f>
        <v/>
      </c>
      <c r="N39" s="50"/>
      <c r="O39" s="58" t="str">
        <f>IF(ISNUMBER(MATCH(P39,CHI_TIET_LOAI_KH!$B:$B,0)),INDEX(CHI_TIET_LOAI_KH!$A:$A,MATCH(P39,CHI_TIET_LOAI_KH!$B:$B,0)),"")</f>
        <v/>
      </c>
      <c r="P39" s="50"/>
      <c r="Q39" s="58" t="str">
        <f>IF(ISNUMBER(MATCH(R39,NGHE_NGHIEP!$B:$B,0)),INDEX(NGHE_NGHIEP!$A:$A,MATCH(R39,NGHE_NGHIEP!$B:$B,0)),"")</f>
        <v/>
      </c>
      <c r="R39" s="50"/>
      <c r="S39" s="58" t="str">
        <f>IF(ISNUMBER(MATCH(T39,LOAI_ID!$B:$B,0)),INDEX(LOAI_ID!$A:$A,MATCH(T39,LOAI_ID!$B:$B,0)),"")</f>
        <v/>
      </c>
      <c r="T39" s="16"/>
      <c r="U39" s="48"/>
      <c r="V39" s="48"/>
      <c r="W39" s="17"/>
      <c r="X39" s="17"/>
      <c r="Y39" s="15"/>
      <c r="Z39" s="15"/>
      <c r="AA39" s="59" t="str">
        <f>IFERROR(INDEX(NOI_CAP!$B:$B,MATCH(Z39,NOI_CAP!$A:$A,0)),"")</f>
        <v/>
      </c>
      <c r="AB39" s="58" t="str">
        <f>IF(ISNUMBER(MATCH(AC39,LOAI_DIA_CHI!$B:$B,0)),INDEX(LOAI_DIA_CHI!$A:$A,MATCH(AC39,LOAI_DIA_CHI!$B:$B,0)),"")</f>
        <v/>
      </c>
      <c r="AC39" s="16"/>
      <c r="AD39" s="58" t="str">
        <f>IF(ISNUMBER(MATCH(AE39,QUOC_GIA!$B:$B,0)),INDEX(QUOC_GIA!$A:$A,MATCH(AE39,QUOC_GIA!$B:$B,0)),"")</f>
        <v/>
      </c>
      <c r="AE39" s="16"/>
      <c r="AF39" s="48"/>
      <c r="AG39" s="59" t="str">
        <f>IFERROR(INDEX(TINH_TP!$B:$B,MATCH(AF39,TINH_TP!$A:$A,0)),"")</f>
        <v/>
      </c>
      <c r="AH39" s="50"/>
      <c r="AI39" s="59" t="str">
        <f>IF(OR(AF39="",AH39=""),"",IF(COUNTIFS(PHUONG_XA!$A$2:$A$3323,AH39,PHUONG_XA!$C$2:$C$3323,AF39)=0,"",INDEX(PHUONG_XA!$B$2:$B$3323,SUMPRODUCT((PHUONG_XA!$A$2:$A$3323&amp;""=AH39&amp;"")*(PHUONG_XA!$C$2:$C$3323&amp;""=AF39&amp;"")*(ROW(PHUONG_XA!$A$2:$A$3323)-ROW(PHUONG_XA!$A$2)+1)))))</f>
        <v/>
      </c>
      <c r="AJ39" s="14"/>
      <c r="AK39" s="14"/>
      <c r="AL39" s="57" t="str">
        <f t="shared" si="1"/>
        <v/>
      </c>
      <c r="AM39" s="14"/>
      <c r="AN39" s="15"/>
      <c r="AO39" s="15"/>
      <c r="AP39" s="48"/>
      <c r="AQ39" s="15"/>
      <c r="AR39" s="15"/>
      <c r="AS39" s="15"/>
      <c r="AT39" s="60" t="str">
        <f>IF(ISNUMBER(MATCH(AU39,LOAI_THE!$B:$B,0)),INDEX(LOAI_THE!$A:$A,MATCH(AU39,LOAI_THE!$B:$B,0)),"")</f>
        <v/>
      </c>
      <c r="AU39" s="48"/>
      <c r="AV39" s="15"/>
      <c r="AW39" s="15"/>
      <c r="AX39" s="15"/>
      <c r="AY39" s="48"/>
    </row>
    <row r="40" spans="1:51" x14ac:dyDescent="0.3">
      <c r="A40" s="13" t="s">
        <v>4316</v>
      </c>
      <c r="B40" s="48"/>
      <c r="C40" s="48"/>
      <c r="D40" s="48"/>
      <c r="E40" s="48"/>
      <c r="F40" s="48"/>
      <c r="G40" s="58" t="str">
        <f>IF(ISNUMBER(MATCH(H40,GIOI_TINH!$B:$B,0)),INDEX(GIOI_TINH!$A:$A,MATCH(H40,GIOI_TINH!$B:$B,0)),"")</f>
        <v/>
      </c>
      <c r="H40" s="15"/>
      <c r="I40" s="15"/>
      <c r="J40" s="58" t="str">
        <f>IF(ISNUMBER(MATCH(K40,QUOC_GIA!$B:$B,0)),INDEX(QUOC_GIA!$A:$A,MATCH(K40,QUOC_GIA!$B:$B,0)),"")</f>
        <v/>
      </c>
      <c r="K40" s="50"/>
      <c r="L40" s="15"/>
      <c r="M40" s="58" t="str">
        <f>IF(ISNUMBER(MATCH(N40,LOAI_THUE!$B:$B,0)),INDEX(LOAI_THUE!$A:$A,MATCH(N40,LOAI_THUE!$B:$B,0)),"")</f>
        <v/>
      </c>
      <c r="N40" s="50"/>
      <c r="O40" s="58" t="str">
        <f>IF(ISNUMBER(MATCH(P40,CHI_TIET_LOAI_KH!$B:$B,0)),INDEX(CHI_TIET_LOAI_KH!$A:$A,MATCH(P40,CHI_TIET_LOAI_KH!$B:$B,0)),"")</f>
        <v/>
      </c>
      <c r="P40" s="50"/>
      <c r="Q40" s="58" t="str">
        <f>IF(ISNUMBER(MATCH(R40,NGHE_NGHIEP!$B:$B,0)),INDEX(NGHE_NGHIEP!$A:$A,MATCH(R40,NGHE_NGHIEP!$B:$B,0)),"")</f>
        <v/>
      </c>
      <c r="R40" s="50"/>
      <c r="S40" s="58" t="str">
        <f>IF(ISNUMBER(MATCH(T40,LOAI_ID!$B:$B,0)),INDEX(LOAI_ID!$A:$A,MATCH(T40,LOAI_ID!$B:$B,0)),"")</f>
        <v/>
      </c>
      <c r="T40" s="16"/>
      <c r="U40" s="48"/>
      <c r="V40" s="48"/>
      <c r="W40" s="17"/>
      <c r="X40" s="17"/>
      <c r="Y40" s="15"/>
      <c r="Z40" s="15"/>
      <c r="AA40" s="59" t="str">
        <f>IFERROR(INDEX(NOI_CAP!$B:$B,MATCH(Z40,NOI_CAP!$A:$A,0)),"")</f>
        <v/>
      </c>
      <c r="AB40" s="58" t="str">
        <f>IF(ISNUMBER(MATCH(AC40,LOAI_DIA_CHI!$B:$B,0)),INDEX(LOAI_DIA_CHI!$A:$A,MATCH(AC40,LOAI_DIA_CHI!$B:$B,0)),"")</f>
        <v/>
      </c>
      <c r="AC40" s="16"/>
      <c r="AD40" s="58" t="str">
        <f>IF(ISNUMBER(MATCH(AE40,QUOC_GIA!$B:$B,0)),INDEX(QUOC_GIA!$A:$A,MATCH(AE40,QUOC_GIA!$B:$B,0)),"")</f>
        <v/>
      </c>
      <c r="AE40" s="16"/>
      <c r="AF40" s="48"/>
      <c r="AG40" s="59" t="str">
        <f>IFERROR(INDEX(TINH_TP!$B:$B,MATCH(AF40,TINH_TP!$A:$A,0)),"")</f>
        <v/>
      </c>
      <c r="AH40" s="50"/>
      <c r="AI40" s="59" t="str">
        <f>IF(OR(AF40="",AH40=""),"",IF(COUNTIFS(PHUONG_XA!$A$2:$A$3323,AH40,PHUONG_XA!$C$2:$C$3323,AF40)=0,"",INDEX(PHUONG_XA!$B$2:$B$3323,SUMPRODUCT((PHUONG_XA!$A$2:$A$3323&amp;""=AH40&amp;"")*(PHUONG_XA!$C$2:$C$3323&amp;""=AF40&amp;"")*(ROW(PHUONG_XA!$A$2:$A$3323)-ROW(PHUONG_XA!$A$2)+1)))))</f>
        <v/>
      </c>
      <c r="AJ40" s="14"/>
      <c r="AK40" s="14"/>
      <c r="AL40" s="57" t="str">
        <f t="shared" si="1"/>
        <v/>
      </c>
      <c r="AM40" s="14"/>
      <c r="AN40" s="15"/>
      <c r="AO40" s="15"/>
      <c r="AP40" s="48"/>
      <c r="AQ40" s="15"/>
      <c r="AR40" s="15"/>
      <c r="AS40" s="15"/>
      <c r="AT40" s="60" t="str">
        <f>IF(ISNUMBER(MATCH(AU40,LOAI_THE!$B:$B,0)),INDEX(LOAI_THE!$A:$A,MATCH(AU40,LOAI_THE!$B:$B,0)),"")</f>
        <v/>
      </c>
      <c r="AU40" s="48"/>
      <c r="AV40" s="15"/>
      <c r="AW40" s="15"/>
      <c r="AX40" s="15"/>
      <c r="AY40" s="48"/>
    </row>
    <row r="41" spans="1:51" x14ac:dyDescent="0.3">
      <c r="A41" s="13" t="s">
        <v>4317</v>
      </c>
      <c r="B41" s="48"/>
      <c r="C41" s="48"/>
      <c r="D41" s="48"/>
      <c r="E41" s="48"/>
      <c r="F41" s="48"/>
      <c r="G41" s="58" t="str">
        <f>IF(ISNUMBER(MATCH(H41,GIOI_TINH!$B:$B,0)),INDEX(GIOI_TINH!$A:$A,MATCH(H41,GIOI_TINH!$B:$B,0)),"")</f>
        <v/>
      </c>
      <c r="H41" s="15"/>
      <c r="I41" s="15"/>
      <c r="J41" s="58" t="str">
        <f>IF(ISNUMBER(MATCH(K41,QUOC_GIA!$B:$B,0)),INDEX(QUOC_GIA!$A:$A,MATCH(K41,QUOC_GIA!$B:$B,0)),"")</f>
        <v/>
      </c>
      <c r="K41" s="50"/>
      <c r="L41" s="15"/>
      <c r="M41" s="58" t="str">
        <f>IF(ISNUMBER(MATCH(N41,LOAI_THUE!$B:$B,0)),INDEX(LOAI_THUE!$A:$A,MATCH(N41,LOAI_THUE!$B:$B,0)),"")</f>
        <v/>
      </c>
      <c r="N41" s="50"/>
      <c r="O41" s="58" t="str">
        <f>IF(ISNUMBER(MATCH(P41,CHI_TIET_LOAI_KH!$B:$B,0)),INDEX(CHI_TIET_LOAI_KH!$A:$A,MATCH(P41,CHI_TIET_LOAI_KH!$B:$B,0)),"")</f>
        <v/>
      </c>
      <c r="P41" s="50"/>
      <c r="Q41" s="58" t="str">
        <f>IF(ISNUMBER(MATCH(R41,NGHE_NGHIEP!$B:$B,0)),INDEX(NGHE_NGHIEP!$A:$A,MATCH(R41,NGHE_NGHIEP!$B:$B,0)),"")</f>
        <v/>
      </c>
      <c r="R41" s="50"/>
      <c r="S41" s="58" t="str">
        <f>IF(ISNUMBER(MATCH(T41,LOAI_ID!$B:$B,0)),INDEX(LOAI_ID!$A:$A,MATCH(T41,LOAI_ID!$B:$B,0)),"")</f>
        <v/>
      </c>
      <c r="T41" s="16"/>
      <c r="U41" s="48"/>
      <c r="V41" s="48"/>
      <c r="W41" s="17"/>
      <c r="X41" s="17"/>
      <c r="Y41" s="15"/>
      <c r="Z41" s="15"/>
      <c r="AA41" s="59" t="str">
        <f>IFERROR(INDEX(NOI_CAP!$B:$B,MATCH(Z41,NOI_CAP!$A:$A,0)),"")</f>
        <v/>
      </c>
      <c r="AB41" s="58" t="str">
        <f>IF(ISNUMBER(MATCH(AC41,LOAI_DIA_CHI!$B:$B,0)),INDEX(LOAI_DIA_CHI!$A:$A,MATCH(AC41,LOAI_DIA_CHI!$B:$B,0)),"")</f>
        <v/>
      </c>
      <c r="AC41" s="16"/>
      <c r="AD41" s="58" t="str">
        <f>IF(ISNUMBER(MATCH(AE41,QUOC_GIA!$B:$B,0)),INDEX(QUOC_GIA!$A:$A,MATCH(AE41,QUOC_GIA!$B:$B,0)),"")</f>
        <v/>
      </c>
      <c r="AE41" s="16"/>
      <c r="AF41" s="48"/>
      <c r="AG41" s="59" t="str">
        <f>IFERROR(INDEX(TINH_TP!$B:$B,MATCH(AF41,TINH_TP!$A:$A,0)),"")</f>
        <v/>
      </c>
      <c r="AH41" s="50"/>
      <c r="AI41" s="59" t="str">
        <f>IF(OR(AF41="",AH41=""),"",IF(COUNTIFS(PHUONG_XA!$A$2:$A$3323,AH41,PHUONG_XA!$C$2:$C$3323,AF41)=0,"",INDEX(PHUONG_XA!$B$2:$B$3323,SUMPRODUCT((PHUONG_XA!$A$2:$A$3323&amp;""=AH41&amp;"")*(PHUONG_XA!$C$2:$C$3323&amp;""=AF41&amp;"")*(ROW(PHUONG_XA!$A$2:$A$3323)-ROW(PHUONG_XA!$A$2)+1)))))</f>
        <v/>
      </c>
      <c r="AJ41" s="14"/>
      <c r="AK41" s="14"/>
      <c r="AL41" s="57" t="str">
        <f t="shared" si="1"/>
        <v/>
      </c>
      <c r="AM41" s="14"/>
      <c r="AN41" s="15"/>
      <c r="AO41" s="15"/>
      <c r="AP41" s="48"/>
      <c r="AQ41" s="15"/>
      <c r="AR41" s="15"/>
      <c r="AS41" s="15"/>
      <c r="AT41" s="60" t="str">
        <f>IF(ISNUMBER(MATCH(AU41,LOAI_THE!$B:$B,0)),INDEX(LOAI_THE!$A:$A,MATCH(AU41,LOAI_THE!$B:$B,0)),"")</f>
        <v/>
      </c>
      <c r="AU41" s="48"/>
      <c r="AV41" s="15"/>
      <c r="AW41" s="15"/>
      <c r="AX41" s="15"/>
      <c r="AY41" s="48"/>
    </row>
    <row r="42" spans="1:51" x14ac:dyDescent="0.3">
      <c r="A42" s="13" t="s">
        <v>4318</v>
      </c>
      <c r="B42" s="48"/>
      <c r="C42" s="48"/>
      <c r="D42" s="48"/>
      <c r="E42" s="48"/>
      <c r="F42" s="48"/>
      <c r="G42" s="58" t="str">
        <f>IF(ISNUMBER(MATCH(H42,GIOI_TINH!$B:$B,0)),INDEX(GIOI_TINH!$A:$A,MATCH(H42,GIOI_TINH!$B:$B,0)),"")</f>
        <v/>
      </c>
      <c r="H42" s="15"/>
      <c r="I42" s="15"/>
      <c r="J42" s="58" t="str">
        <f>IF(ISNUMBER(MATCH(K42,QUOC_GIA!$B:$B,0)),INDEX(QUOC_GIA!$A:$A,MATCH(K42,QUOC_GIA!$B:$B,0)),"")</f>
        <v/>
      </c>
      <c r="K42" s="50"/>
      <c r="L42" s="15"/>
      <c r="M42" s="58" t="str">
        <f>IF(ISNUMBER(MATCH(N42,LOAI_THUE!$B:$B,0)),INDEX(LOAI_THUE!$A:$A,MATCH(N42,LOAI_THUE!$B:$B,0)),"")</f>
        <v/>
      </c>
      <c r="N42" s="50"/>
      <c r="O42" s="58" t="str">
        <f>IF(ISNUMBER(MATCH(P42,CHI_TIET_LOAI_KH!$B:$B,0)),INDEX(CHI_TIET_LOAI_KH!$A:$A,MATCH(P42,CHI_TIET_LOAI_KH!$B:$B,0)),"")</f>
        <v/>
      </c>
      <c r="P42" s="50"/>
      <c r="Q42" s="58" t="str">
        <f>IF(ISNUMBER(MATCH(R42,NGHE_NGHIEP!$B:$B,0)),INDEX(NGHE_NGHIEP!$A:$A,MATCH(R42,NGHE_NGHIEP!$B:$B,0)),"")</f>
        <v/>
      </c>
      <c r="R42" s="50"/>
      <c r="S42" s="58" t="str">
        <f>IF(ISNUMBER(MATCH(T42,LOAI_ID!$B:$B,0)),INDEX(LOAI_ID!$A:$A,MATCH(T42,LOAI_ID!$B:$B,0)),"")</f>
        <v/>
      </c>
      <c r="T42" s="16"/>
      <c r="U42" s="48"/>
      <c r="V42" s="48"/>
      <c r="W42" s="17"/>
      <c r="X42" s="17"/>
      <c r="Y42" s="15"/>
      <c r="Z42" s="15"/>
      <c r="AA42" s="59" t="str">
        <f>IFERROR(INDEX(NOI_CAP!$B:$B,MATCH(Z42,NOI_CAP!$A:$A,0)),"")</f>
        <v/>
      </c>
      <c r="AB42" s="58" t="str">
        <f>IF(ISNUMBER(MATCH(AC42,LOAI_DIA_CHI!$B:$B,0)),INDEX(LOAI_DIA_CHI!$A:$A,MATCH(AC42,LOAI_DIA_CHI!$B:$B,0)),"")</f>
        <v/>
      </c>
      <c r="AC42" s="16"/>
      <c r="AD42" s="58" t="str">
        <f>IF(ISNUMBER(MATCH(AE42,QUOC_GIA!$B:$B,0)),INDEX(QUOC_GIA!$A:$A,MATCH(AE42,QUOC_GIA!$B:$B,0)),"")</f>
        <v/>
      </c>
      <c r="AE42" s="16"/>
      <c r="AF42" s="48"/>
      <c r="AG42" s="59" t="str">
        <f>IFERROR(INDEX(TINH_TP!$B:$B,MATCH(AF42,TINH_TP!$A:$A,0)),"")</f>
        <v/>
      </c>
      <c r="AH42" s="50"/>
      <c r="AI42" s="59" t="str">
        <f>IF(OR(AF42="",AH42=""),"",IF(COUNTIFS(PHUONG_XA!$A$2:$A$3323,AH42,PHUONG_XA!$C$2:$C$3323,AF42)=0,"",INDEX(PHUONG_XA!$B$2:$B$3323,SUMPRODUCT((PHUONG_XA!$A$2:$A$3323&amp;""=AH42&amp;"")*(PHUONG_XA!$C$2:$C$3323&amp;""=AF42&amp;"")*(ROW(PHUONG_XA!$A$2:$A$3323)-ROW(PHUONG_XA!$A$2)+1)))))</f>
        <v/>
      </c>
      <c r="AJ42" s="14"/>
      <c r="AK42" s="14"/>
      <c r="AL42" s="57" t="str">
        <f t="shared" si="1"/>
        <v/>
      </c>
      <c r="AM42" s="14"/>
      <c r="AN42" s="15"/>
      <c r="AO42" s="15"/>
      <c r="AP42" s="48"/>
      <c r="AQ42" s="15"/>
      <c r="AR42" s="15"/>
      <c r="AS42" s="15"/>
      <c r="AT42" s="60" t="str">
        <f>IF(ISNUMBER(MATCH(AU42,LOAI_THE!$B:$B,0)),INDEX(LOAI_THE!$A:$A,MATCH(AU42,LOAI_THE!$B:$B,0)),"")</f>
        <v/>
      </c>
      <c r="AU42" s="48"/>
      <c r="AV42" s="15"/>
      <c r="AW42" s="15"/>
      <c r="AX42" s="15"/>
      <c r="AY42" s="48"/>
    </row>
    <row r="43" spans="1:51" x14ac:dyDescent="0.3">
      <c r="A43" s="13" t="s">
        <v>4319</v>
      </c>
      <c r="B43" s="48"/>
      <c r="C43" s="48"/>
      <c r="D43" s="48"/>
      <c r="E43" s="48"/>
      <c r="F43" s="48"/>
      <c r="G43" s="58" t="str">
        <f>IF(ISNUMBER(MATCH(H43,GIOI_TINH!$B:$B,0)),INDEX(GIOI_TINH!$A:$A,MATCH(H43,GIOI_TINH!$B:$B,0)),"")</f>
        <v/>
      </c>
      <c r="H43" s="15"/>
      <c r="I43" s="15"/>
      <c r="J43" s="58" t="str">
        <f>IF(ISNUMBER(MATCH(K43,QUOC_GIA!$B:$B,0)),INDEX(QUOC_GIA!$A:$A,MATCH(K43,QUOC_GIA!$B:$B,0)),"")</f>
        <v/>
      </c>
      <c r="K43" s="50"/>
      <c r="L43" s="15"/>
      <c r="M43" s="58" t="str">
        <f>IF(ISNUMBER(MATCH(N43,LOAI_THUE!$B:$B,0)),INDEX(LOAI_THUE!$A:$A,MATCH(N43,LOAI_THUE!$B:$B,0)),"")</f>
        <v/>
      </c>
      <c r="N43" s="50"/>
      <c r="O43" s="58" t="str">
        <f>IF(ISNUMBER(MATCH(P43,CHI_TIET_LOAI_KH!$B:$B,0)),INDEX(CHI_TIET_LOAI_KH!$A:$A,MATCH(P43,CHI_TIET_LOAI_KH!$B:$B,0)),"")</f>
        <v/>
      </c>
      <c r="P43" s="50"/>
      <c r="Q43" s="58" t="str">
        <f>IF(ISNUMBER(MATCH(R43,NGHE_NGHIEP!$B:$B,0)),INDEX(NGHE_NGHIEP!$A:$A,MATCH(R43,NGHE_NGHIEP!$B:$B,0)),"")</f>
        <v/>
      </c>
      <c r="R43" s="50"/>
      <c r="S43" s="58" t="str">
        <f>IF(ISNUMBER(MATCH(T43,LOAI_ID!$B:$B,0)),INDEX(LOAI_ID!$A:$A,MATCH(T43,LOAI_ID!$B:$B,0)),"")</f>
        <v/>
      </c>
      <c r="T43" s="16"/>
      <c r="U43" s="48"/>
      <c r="V43" s="48"/>
      <c r="W43" s="17"/>
      <c r="X43" s="17"/>
      <c r="Y43" s="15"/>
      <c r="Z43" s="15"/>
      <c r="AA43" s="59" t="str">
        <f>IFERROR(INDEX(NOI_CAP!$B:$B,MATCH(Z43,NOI_CAP!$A:$A,0)),"")</f>
        <v/>
      </c>
      <c r="AB43" s="58" t="str">
        <f>IF(ISNUMBER(MATCH(AC43,LOAI_DIA_CHI!$B:$B,0)),INDEX(LOAI_DIA_CHI!$A:$A,MATCH(AC43,LOAI_DIA_CHI!$B:$B,0)),"")</f>
        <v/>
      </c>
      <c r="AC43" s="16"/>
      <c r="AD43" s="58" t="str">
        <f>IF(ISNUMBER(MATCH(AE43,QUOC_GIA!$B:$B,0)),INDEX(QUOC_GIA!$A:$A,MATCH(AE43,QUOC_GIA!$B:$B,0)),"")</f>
        <v/>
      </c>
      <c r="AE43" s="16"/>
      <c r="AF43" s="48"/>
      <c r="AG43" s="59" t="str">
        <f>IFERROR(INDEX(TINH_TP!$B:$B,MATCH(AF43,TINH_TP!$A:$A,0)),"")</f>
        <v/>
      </c>
      <c r="AH43" s="50"/>
      <c r="AI43" s="59" t="str">
        <f>IF(OR(AF43="",AH43=""),"",IF(COUNTIFS(PHUONG_XA!$A$2:$A$3323,AH43,PHUONG_XA!$C$2:$C$3323,AF43)=0,"",INDEX(PHUONG_XA!$B$2:$B$3323,SUMPRODUCT((PHUONG_XA!$A$2:$A$3323&amp;""=AH43&amp;"")*(PHUONG_XA!$C$2:$C$3323&amp;""=AF43&amp;"")*(ROW(PHUONG_XA!$A$2:$A$3323)-ROW(PHUONG_XA!$A$2)+1)))))</f>
        <v/>
      </c>
      <c r="AJ43" s="14"/>
      <c r="AK43" s="14"/>
      <c r="AL43" s="57" t="str">
        <f t="shared" si="1"/>
        <v/>
      </c>
      <c r="AM43" s="14"/>
      <c r="AN43" s="15"/>
      <c r="AO43" s="15"/>
      <c r="AP43" s="48"/>
      <c r="AQ43" s="15"/>
      <c r="AR43" s="15"/>
      <c r="AS43" s="15"/>
      <c r="AT43" s="60" t="str">
        <f>IF(ISNUMBER(MATCH(AU43,LOAI_THE!$B:$B,0)),INDEX(LOAI_THE!$A:$A,MATCH(AU43,LOAI_THE!$B:$B,0)),"")</f>
        <v/>
      </c>
      <c r="AU43" s="48"/>
      <c r="AV43" s="15"/>
      <c r="AW43" s="15"/>
      <c r="AX43" s="15"/>
      <c r="AY43" s="48"/>
    </row>
    <row r="44" spans="1:51" x14ac:dyDescent="0.3">
      <c r="A44" s="13" t="s">
        <v>4320</v>
      </c>
      <c r="B44" s="48"/>
      <c r="C44" s="48"/>
      <c r="D44" s="48"/>
      <c r="E44" s="48"/>
      <c r="F44" s="48"/>
      <c r="G44" s="58" t="str">
        <f>IF(ISNUMBER(MATCH(H44,GIOI_TINH!$B:$B,0)),INDEX(GIOI_TINH!$A:$A,MATCH(H44,GIOI_TINH!$B:$B,0)),"")</f>
        <v/>
      </c>
      <c r="H44" s="15"/>
      <c r="I44" s="15"/>
      <c r="J44" s="58" t="str">
        <f>IF(ISNUMBER(MATCH(K44,QUOC_GIA!$B:$B,0)),INDEX(QUOC_GIA!$A:$A,MATCH(K44,QUOC_GIA!$B:$B,0)),"")</f>
        <v/>
      </c>
      <c r="K44" s="50"/>
      <c r="L44" s="15"/>
      <c r="M44" s="58" t="str">
        <f>IF(ISNUMBER(MATCH(N44,LOAI_THUE!$B:$B,0)),INDEX(LOAI_THUE!$A:$A,MATCH(N44,LOAI_THUE!$B:$B,0)),"")</f>
        <v/>
      </c>
      <c r="N44" s="50"/>
      <c r="O44" s="58" t="str">
        <f>IF(ISNUMBER(MATCH(P44,CHI_TIET_LOAI_KH!$B:$B,0)),INDEX(CHI_TIET_LOAI_KH!$A:$A,MATCH(P44,CHI_TIET_LOAI_KH!$B:$B,0)),"")</f>
        <v/>
      </c>
      <c r="P44" s="50"/>
      <c r="Q44" s="58" t="str">
        <f>IF(ISNUMBER(MATCH(R44,NGHE_NGHIEP!$B:$B,0)),INDEX(NGHE_NGHIEP!$A:$A,MATCH(R44,NGHE_NGHIEP!$B:$B,0)),"")</f>
        <v/>
      </c>
      <c r="R44" s="50"/>
      <c r="S44" s="58" t="str">
        <f>IF(ISNUMBER(MATCH(T44,LOAI_ID!$B:$B,0)),INDEX(LOAI_ID!$A:$A,MATCH(T44,LOAI_ID!$B:$B,0)),"")</f>
        <v/>
      </c>
      <c r="T44" s="16"/>
      <c r="U44" s="48"/>
      <c r="V44" s="48"/>
      <c r="W44" s="17"/>
      <c r="X44" s="17"/>
      <c r="Y44" s="15"/>
      <c r="Z44" s="15"/>
      <c r="AA44" s="59" t="str">
        <f>IFERROR(INDEX(NOI_CAP!$B:$B,MATCH(Z44,NOI_CAP!$A:$A,0)),"")</f>
        <v/>
      </c>
      <c r="AB44" s="58" t="str">
        <f>IF(ISNUMBER(MATCH(AC44,LOAI_DIA_CHI!$B:$B,0)),INDEX(LOAI_DIA_CHI!$A:$A,MATCH(AC44,LOAI_DIA_CHI!$B:$B,0)),"")</f>
        <v/>
      </c>
      <c r="AC44" s="16"/>
      <c r="AD44" s="58" t="str">
        <f>IF(ISNUMBER(MATCH(AE44,QUOC_GIA!$B:$B,0)),INDEX(QUOC_GIA!$A:$A,MATCH(AE44,QUOC_GIA!$B:$B,0)),"")</f>
        <v/>
      </c>
      <c r="AE44" s="16"/>
      <c r="AF44" s="48"/>
      <c r="AG44" s="59" t="str">
        <f>IFERROR(INDEX(TINH_TP!$B:$B,MATCH(AF44,TINH_TP!$A:$A,0)),"")</f>
        <v/>
      </c>
      <c r="AH44" s="50"/>
      <c r="AI44" s="59" t="str">
        <f>IF(OR(AF44="",AH44=""),"",IF(COUNTIFS(PHUONG_XA!$A$2:$A$3323,AH44,PHUONG_XA!$C$2:$C$3323,AF44)=0,"",INDEX(PHUONG_XA!$B$2:$B$3323,SUMPRODUCT((PHUONG_XA!$A$2:$A$3323&amp;""=AH44&amp;"")*(PHUONG_XA!$C$2:$C$3323&amp;""=AF44&amp;"")*(ROW(PHUONG_XA!$A$2:$A$3323)-ROW(PHUONG_XA!$A$2)+1)))))</f>
        <v/>
      </c>
      <c r="AJ44" s="14"/>
      <c r="AK44" s="14"/>
      <c r="AL44" s="57" t="str">
        <f t="shared" si="1"/>
        <v/>
      </c>
      <c r="AM44" s="14"/>
      <c r="AN44" s="15"/>
      <c r="AO44" s="15"/>
      <c r="AP44" s="48"/>
      <c r="AQ44" s="15"/>
      <c r="AR44" s="15"/>
      <c r="AS44" s="15"/>
      <c r="AT44" s="60" t="str">
        <f>IF(ISNUMBER(MATCH(AU44,LOAI_THE!$B:$B,0)),INDEX(LOAI_THE!$A:$A,MATCH(AU44,LOAI_THE!$B:$B,0)),"")</f>
        <v/>
      </c>
      <c r="AU44" s="48"/>
      <c r="AV44" s="15"/>
      <c r="AW44" s="15"/>
      <c r="AX44" s="15"/>
      <c r="AY44" s="48"/>
    </row>
    <row r="45" spans="1:51" x14ac:dyDescent="0.3">
      <c r="A45" s="13" t="s">
        <v>4321</v>
      </c>
      <c r="B45" s="48"/>
      <c r="C45" s="48"/>
      <c r="D45" s="48"/>
      <c r="E45" s="48"/>
      <c r="F45" s="48"/>
      <c r="G45" s="58" t="str">
        <f>IF(ISNUMBER(MATCH(H45,GIOI_TINH!$B:$B,0)),INDEX(GIOI_TINH!$A:$A,MATCH(H45,GIOI_TINH!$B:$B,0)),"")</f>
        <v/>
      </c>
      <c r="H45" s="15"/>
      <c r="I45" s="15"/>
      <c r="J45" s="58" t="str">
        <f>IF(ISNUMBER(MATCH(K45,QUOC_GIA!$B:$B,0)),INDEX(QUOC_GIA!$A:$A,MATCH(K45,QUOC_GIA!$B:$B,0)),"")</f>
        <v/>
      </c>
      <c r="K45" s="50"/>
      <c r="L45" s="15"/>
      <c r="M45" s="58" t="str">
        <f>IF(ISNUMBER(MATCH(N45,LOAI_THUE!$B:$B,0)),INDEX(LOAI_THUE!$A:$A,MATCH(N45,LOAI_THUE!$B:$B,0)),"")</f>
        <v/>
      </c>
      <c r="N45" s="50"/>
      <c r="O45" s="58" t="str">
        <f>IF(ISNUMBER(MATCH(P45,CHI_TIET_LOAI_KH!$B:$B,0)),INDEX(CHI_TIET_LOAI_KH!$A:$A,MATCH(P45,CHI_TIET_LOAI_KH!$B:$B,0)),"")</f>
        <v/>
      </c>
      <c r="P45" s="50"/>
      <c r="Q45" s="58" t="str">
        <f>IF(ISNUMBER(MATCH(R45,NGHE_NGHIEP!$B:$B,0)),INDEX(NGHE_NGHIEP!$A:$A,MATCH(R45,NGHE_NGHIEP!$B:$B,0)),"")</f>
        <v/>
      </c>
      <c r="R45" s="50"/>
      <c r="S45" s="58" t="str">
        <f>IF(ISNUMBER(MATCH(T45,LOAI_ID!$B:$B,0)),INDEX(LOAI_ID!$A:$A,MATCH(T45,LOAI_ID!$B:$B,0)),"")</f>
        <v/>
      </c>
      <c r="T45" s="16"/>
      <c r="U45" s="48"/>
      <c r="V45" s="48"/>
      <c r="W45" s="17"/>
      <c r="X45" s="17"/>
      <c r="Y45" s="15"/>
      <c r="Z45" s="15"/>
      <c r="AA45" s="59" t="str">
        <f>IFERROR(INDEX(NOI_CAP!$B:$B,MATCH(Z45,NOI_CAP!$A:$A,0)),"")</f>
        <v/>
      </c>
      <c r="AB45" s="58" t="str">
        <f>IF(ISNUMBER(MATCH(AC45,LOAI_DIA_CHI!$B:$B,0)),INDEX(LOAI_DIA_CHI!$A:$A,MATCH(AC45,LOAI_DIA_CHI!$B:$B,0)),"")</f>
        <v/>
      </c>
      <c r="AC45" s="16"/>
      <c r="AD45" s="58" t="str">
        <f>IF(ISNUMBER(MATCH(AE45,QUOC_GIA!$B:$B,0)),INDEX(QUOC_GIA!$A:$A,MATCH(AE45,QUOC_GIA!$B:$B,0)),"")</f>
        <v/>
      </c>
      <c r="AE45" s="16"/>
      <c r="AF45" s="48"/>
      <c r="AG45" s="59" t="str">
        <f>IFERROR(INDEX(TINH_TP!$B:$B,MATCH(AF45,TINH_TP!$A:$A,0)),"")</f>
        <v/>
      </c>
      <c r="AH45" s="50"/>
      <c r="AI45" s="59" t="str">
        <f>IF(OR(AF45="",AH45=""),"",IF(COUNTIFS(PHUONG_XA!$A$2:$A$3323,AH45,PHUONG_XA!$C$2:$C$3323,AF45)=0,"",INDEX(PHUONG_XA!$B$2:$B$3323,SUMPRODUCT((PHUONG_XA!$A$2:$A$3323&amp;""=AH45&amp;"")*(PHUONG_XA!$C$2:$C$3323&amp;""=AF45&amp;"")*(ROW(PHUONG_XA!$A$2:$A$3323)-ROW(PHUONG_XA!$A$2)+1)))))</f>
        <v/>
      </c>
      <c r="AJ45" s="14"/>
      <c r="AK45" s="14"/>
      <c r="AL45" s="57" t="str">
        <f t="shared" si="1"/>
        <v/>
      </c>
      <c r="AM45" s="14"/>
      <c r="AN45" s="15"/>
      <c r="AO45" s="15"/>
      <c r="AP45" s="48"/>
      <c r="AQ45" s="15"/>
      <c r="AR45" s="15"/>
      <c r="AS45" s="15"/>
      <c r="AT45" s="60" t="str">
        <f>IF(ISNUMBER(MATCH(AU45,LOAI_THE!$B:$B,0)),INDEX(LOAI_THE!$A:$A,MATCH(AU45,LOAI_THE!$B:$B,0)),"")</f>
        <v/>
      </c>
      <c r="AU45" s="48"/>
      <c r="AV45" s="15"/>
      <c r="AW45" s="15"/>
      <c r="AX45" s="15"/>
      <c r="AY45" s="48"/>
    </row>
    <row r="46" spans="1:51" x14ac:dyDescent="0.3">
      <c r="A46" s="13" t="s">
        <v>4322</v>
      </c>
      <c r="B46" s="48"/>
      <c r="C46" s="48"/>
      <c r="D46" s="48"/>
      <c r="E46" s="48"/>
      <c r="F46" s="48"/>
      <c r="G46" s="58" t="str">
        <f>IF(ISNUMBER(MATCH(H46,GIOI_TINH!$B:$B,0)),INDEX(GIOI_TINH!$A:$A,MATCH(H46,GIOI_TINH!$B:$B,0)),"")</f>
        <v/>
      </c>
      <c r="H46" s="15"/>
      <c r="I46" s="15"/>
      <c r="J46" s="58" t="str">
        <f>IF(ISNUMBER(MATCH(K46,QUOC_GIA!$B:$B,0)),INDEX(QUOC_GIA!$A:$A,MATCH(K46,QUOC_GIA!$B:$B,0)),"")</f>
        <v/>
      </c>
      <c r="K46" s="50"/>
      <c r="L46" s="15"/>
      <c r="M46" s="58" t="str">
        <f>IF(ISNUMBER(MATCH(N46,LOAI_THUE!$B:$B,0)),INDEX(LOAI_THUE!$A:$A,MATCH(N46,LOAI_THUE!$B:$B,0)),"")</f>
        <v/>
      </c>
      <c r="N46" s="50"/>
      <c r="O46" s="58" t="str">
        <f>IF(ISNUMBER(MATCH(P46,CHI_TIET_LOAI_KH!$B:$B,0)),INDEX(CHI_TIET_LOAI_KH!$A:$A,MATCH(P46,CHI_TIET_LOAI_KH!$B:$B,0)),"")</f>
        <v/>
      </c>
      <c r="P46" s="50"/>
      <c r="Q46" s="58" t="str">
        <f>IF(ISNUMBER(MATCH(R46,NGHE_NGHIEP!$B:$B,0)),INDEX(NGHE_NGHIEP!$A:$A,MATCH(R46,NGHE_NGHIEP!$B:$B,0)),"")</f>
        <v/>
      </c>
      <c r="R46" s="50"/>
      <c r="S46" s="58" t="str">
        <f>IF(ISNUMBER(MATCH(T46,LOAI_ID!$B:$B,0)),INDEX(LOAI_ID!$A:$A,MATCH(T46,LOAI_ID!$B:$B,0)),"")</f>
        <v/>
      </c>
      <c r="T46" s="16"/>
      <c r="U46" s="48"/>
      <c r="V46" s="48"/>
      <c r="W46" s="17"/>
      <c r="X46" s="17"/>
      <c r="Y46" s="15"/>
      <c r="Z46" s="15"/>
      <c r="AA46" s="59" t="str">
        <f>IFERROR(INDEX(NOI_CAP!$B:$B,MATCH(Z46,NOI_CAP!$A:$A,0)),"")</f>
        <v/>
      </c>
      <c r="AB46" s="58" t="str">
        <f>IF(ISNUMBER(MATCH(AC46,LOAI_DIA_CHI!$B:$B,0)),INDEX(LOAI_DIA_CHI!$A:$A,MATCH(AC46,LOAI_DIA_CHI!$B:$B,0)),"")</f>
        <v/>
      </c>
      <c r="AC46" s="16"/>
      <c r="AD46" s="58" t="str">
        <f>IF(ISNUMBER(MATCH(AE46,QUOC_GIA!$B:$B,0)),INDEX(QUOC_GIA!$A:$A,MATCH(AE46,QUOC_GIA!$B:$B,0)),"")</f>
        <v/>
      </c>
      <c r="AE46" s="16"/>
      <c r="AF46" s="48"/>
      <c r="AG46" s="59" t="str">
        <f>IFERROR(INDEX(TINH_TP!$B:$B,MATCH(AF46,TINH_TP!$A:$A,0)),"")</f>
        <v/>
      </c>
      <c r="AH46" s="50"/>
      <c r="AI46" s="59" t="str">
        <f>IF(OR(AF46="",AH46=""),"",IF(COUNTIFS(PHUONG_XA!$A$2:$A$3323,AH46,PHUONG_XA!$C$2:$C$3323,AF46)=0,"",INDEX(PHUONG_XA!$B$2:$B$3323,SUMPRODUCT((PHUONG_XA!$A$2:$A$3323&amp;""=AH46&amp;"")*(PHUONG_XA!$C$2:$C$3323&amp;""=AF46&amp;"")*(ROW(PHUONG_XA!$A$2:$A$3323)-ROW(PHUONG_XA!$A$2)+1)))))</f>
        <v/>
      </c>
      <c r="AJ46" s="14"/>
      <c r="AK46" s="14"/>
      <c r="AL46" s="57" t="str">
        <f t="shared" si="1"/>
        <v/>
      </c>
      <c r="AM46" s="14"/>
      <c r="AN46" s="15"/>
      <c r="AO46" s="15"/>
      <c r="AP46" s="48"/>
      <c r="AQ46" s="15"/>
      <c r="AR46" s="15"/>
      <c r="AS46" s="15"/>
      <c r="AT46" s="60" t="str">
        <f>IF(ISNUMBER(MATCH(AU46,LOAI_THE!$B:$B,0)),INDEX(LOAI_THE!$A:$A,MATCH(AU46,LOAI_THE!$B:$B,0)),"")</f>
        <v/>
      </c>
      <c r="AU46" s="48"/>
      <c r="AV46" s="15"/>
      <c r="AW46" s="15"/>
      <c r="AX46" s="15"/>
      <c r="AY46" s="48"/>
    </row>
    <row r="47" spans="1:51" x14ac:dyDescent="0.3">
      <c r="A47" s="13" t="s">
        <v>4323</v>
      </c>
      <c r="B47" s="48"/>
      <c r="C47" s="48"/>
      <c r="D47" s="48"/>
      <c r="E47" s="48"/>
      <c r="F47" s="48"/>
      <c r="G47" s="58" t="str">
        <f>IF(ISNUMBER(MATCH(H47,GIOI_TINH!$B:$B,0)),INDEX(GIOI_TINH!$A:$A,MATCH(H47,GIOI_TINH!$B:$B,0)),"")</f>
        <v/>
      </c>
      <c r="H47" s="15"/>
      <c r="I47" s="15"/>
      <c r="J47" s="58" t="str">
        <f>IF(ISNUMBER(MATCH(K47,QUOC_GIA!$B:$B,0)),INDEX(QUOC_GIA!$A:$A,MATCH(K47,QUOC_GIA!$B:$B,0)),"")</f>
        <v/>
      </c>
      <c r="K47" s="50"/>
      <c r="L47" s="15"/>
      <c r="M47" s="58" t="str">
        <f>IF(ISNUMBER(MATCH(N47,LOAI_THUE!$B:$B,0)),INDEX(LOAI_THUE!$A:$A,MATCH(N47,LOAI_THUE!$B:$B,0)),"")</f>
        <v/>
      </c>
      <c r="N47" s="50"/>
      <c r="O47" s="58" t="str">
        <f>IF(ISNUMBER(MATCH(P47,CHI_TIET_LOAI_KH!$B:$B,0)),INDEX(CHI_TIET_LOAI_KH!$A:$A,MATCH(P47,CHI_TIET_LOAI_KH!$B:$B,0)),"")</f>
        <v/>
      </c>
      <c r="P47" s="50"/>
      <c r="Q47" s="58" t="str">
        <f>IF(ISNUMBER(MATCH(R47,NGHE_NGHIEP!$B:$B,0)),INDEX(NGHE_NGHIEP!$A:$A,MATCH(R47,NGHE_NGHIEP!$B:$B,0)),"")</f>
        <v/>
      </c>
      <c r="R47" s="50"/>
      <c r="S47" s="58" t="str">
        <f>IF(ISNUMBER(MATCH(T47,LOAI_ID!$B:$B,0)),INDEX(LOAI_ID!$A:$A,MATCH(T47,LOAI_ID!$B:$B,0)),"")</f>
        <v/>
      </c>
      <c r="T47" s="16"/>
      <c r="U47" s="48"/>
      <c r="V47" s="48"/>
      <c r="W47" s="17"/>
      <c r="X47" s="17"/>
      <c r="Y47" s="15"/>
      <c r="Z47" s="15"/>
      <c r="AA47" s="59" t="str">
        <f>IFERROR(INDEX(NOI_CAP!$B:$B,MATCH(Z47,NOI_CAP!$A:$A,0)),"")</f>
        <v/>
      </c>
      <c r="AB47" s="58" t="str">
        <f>IF(ISNUMBER(MATCH(AC47,LOAI_DIA_CHI!$B:$B,0)),INDEX(LOAI_DIA_CHI!$A:$A,MATCH(AC47,LOAI_DIA_CHI!$B:$B,0)),"")</f>
        <v/>
      </c>
      <c r="AC47" s="16"/>
      <c r="AD47" s="58" t="str">
        <f>IF(ISNUMBER(MATCH(AE47,QUOC_GIA!$B:$B,0)),INDEX(QUOC_GIA!$A:$A,MATCH(AE47,QUOC_GIA!$B:$B,0)),"")</f>
        <v/>
      </c>
      <c r="AE47" s="16"/>
      <c r="AF47" s="48"/>
      <c r="AG47" s="59" t="str">
        <f>IFERROR(INDEX(TINH_TP!$B:$B,MATCH(AF47,TINH_TP!$A:$A,0)),"")</f>
        <v/>
      </c>
      <c r="AH47" s="50"/>
      <c r="AI47" s="59" t="str">
        <f>IF(OR(AF47="",AH47=""),"",IF(COUNTIFS(PHUONG_XA!$A$2:$A$3323,AH47,PHUONG_XA!$C$2:$C$3323,AF47)=0,"",INDEX(PHUONG_XA!$B$2:$B$3323,SUMPRODUCT((PHUONG_XA!$A$2:$A$3323&amp;""=AH47&amp;"")*(PHUONG_XA!$C$2:$C$3323&amp;""=AF47&amp;"")*(ROW(PHUONG_XA!$A$2:$A$3323)-ROW(PHUONG_XA!$A$2)+1)))))</f>
        <v/>
      </c>
      <c r="AJ47" s="14"/>
      <c r="AK47" s="14"/>
      <c r="AL47" s="57" t="str">
        <f t="shared" si="1"/>
        <v/>
      </c>
      <c r="AM47" s="14"/>
      <c r="AN47" s="15"/>
      <c r="AO47" s="15"/>
      <c r="AP47" s="48"/>
      <c r="AQ47" s="15"/>
      <c r="AR47" s="15"/>
      <c r="AS47" s="15"/>
      <c r="AT47" s="60" t="str">
        <f>IF(ISNUMBER(MATCH(AU47,LOAI_THE!$B:$B,0)),INDEX(LOAI_THE!$A:$A,MATCH(AU47,LOAI_THE!$B:$B,0)),"")</f>
        <v/>
      </c>
      <c r="AU47" s="48"/>
      <c r="AV47" s="15"/>
      <c r="AW47" s="15"/>
      <c r="AX47" s="15"/>
      <c r="AY47" s="48"/>
    </row>
    <row r="48" spans="1:51" x14ac:dyDescent="0.3">
      <c r="A48" s="13" t="s">
        <v>4324</v>
      </c>
      <c r="B48" s="48"/>
      <c r="C48" s="48"/>
      <c r="D48" s="48"/>
      <c r="E48" s="48"/>
      <c r="F48" s="48"/>
      <c r="G48" s="58" t="str">
        <f>IF(ISNUMBER(MATCH(H48,GIOI_TINH!$B:$B,0)),INDEX(GIOI_TINH!$A:$A,MATCH(H48,GIOI_TINH!$B:$B,0)),"")</f>
        <v/>
      </c>
      <c r="H48" s="15"/>
      <c r="I48" s="15"/>
      <c r="J48" s="58" t="str">
        <f>IF(ISNUMBER(MATCH(K48,QUOC_GIA!$B:$B,0)),INDEX(QUOC_GIA!$A:$A,MATCH(K48,QUOC_GIA!$B:$B,0)),"")</f>
        <v/>
      </c>
      <c r="K48" s="50"/>
      <c r="L48" s="15"/>
      <c r="M48" s="58" t="str">
        <f>IF(ISNUMBER(MATCH(N48,LOAI_THUE!$B:$B,0)),INDEX(LOAI_THUE!$A:$A,MATCH(N48,LOAI_THUE!$B:$B,0)),"")</f>
        <v/>
      </c>
      <c r="N48" s="50"/>
      <c r="O48" s="58" t="str">
        <f>IF(ISNUMBER(MATCH(P48,CHI_TIET_LOAI_KH!$B:$B,0)),INDEX(CHI_TIET_LOAI_KH!$A:$A,MATCH(P48,CHI_TIET_LOAI_KH!$B:$B,0)),"")</f>
        <v/>
      </c>
      <c r="P48" s="50"/>
      <c r="Q48" s="58" t="str">
        <f>IF(ISNUMBER(MATCH(R48,NGHE_NGHIEP!$B:$B,0)),INDEX(NGHE_NGHIEP!$A:$A,MATCH(R48,NGHE_NGHIEP!$B:$B,0)),"")</f>
        <v/>
      </c>
      <c r="R48" s="50"/>
      <c r="S48" s="58" t="str">
        <f>IF(ISNUMBER(MATCH(T48,LOAI_ID!$B:$B,0)),INDEX(LOAI_ID!$A:$A,MATCH(T48,LOAI_ID!$B:$B,0)),"")</f>
        <v/>
      </c>
      <c r="T48" s="16"/>
      <c r="U48" s="48"/>
      <c r="V48" s="48"/>
      <c r="W48" s="17"/>
      <c r="X48" s="17"/>
      <c r="Y48" s="15"/>
      <c r="Z48" s="15"/>
      <c r="AA48" s="59" t="str">
        <f>IFERROR(INDEX(NOI_CAP!$B:$B,MATCH(Z48,NOI_CAP!$A:$A,0)),"")</f>
        <v/>
      </c>
      <c r="AB48" s="58" t="str">
        <f>IF(ISNUMBER(MATCH(AC48,LOAI_DIA_CHI!$B:$B,0)),INDEX(LOAI_DIA_CHI!$A:$A,MATCH(AC48,LOAI_DIA_CHI!$B:$B,0)),"")</f>
        <v/>
      </c>
      <c r="AC48" s="16"/>
      <c r="AD48" s="58" t="str">
        <f>IF(ISNUMBER(MATCH(AE48,QUOC_GIA!$B:$B,0)),INDEX(QUOC_GIA!$A:$A,MATCH(AE48,QUOC_GIA!$B:$B,0)),"")</f>
        <v/>
      </c>
      <c r="AE48" s="16"/>
      <c r="AF48" s="48"/>
      <c r="AG48" s="59" t="str">
        <f>IFERROR(INDEX(TINH_TP!$B:$B,MATCH(AF48,TINH_TP!$A:$A,0)),"")</f>
        <v/>
      </c>
      <c r="AH48" s="50"/>
      <c r="AI48" s="59" t="str">
        <f>IF(OR(AF48="",AH48=""),"",IF(COUNTIFS(PHUONG_XA!$A$2:$A$3323,AH48,PHUONG_XA!$C$2:$C$3323,AF48)=0,"",INDEX(PHUONG_XA!$B$2:$B$3323,SUMPRODUCT((PHUONG_XA!$A$2:$A$3323&amp;""=AH48&amp;"")*(PHUONG_XA!$C$2:$C$3323&amp;""=AF48&amp;"")*(ROW(PHUONG_XA!$A$2:$A$3323)-ROW(PHUONG_XA!$A$2)+1)))))</f>
        <v/>
      </c>
      <c r="AJ48" s="14"/>
      <c r="AK48" s="14"/>
      <c r="AL48" s="57" t="str">
        <f t="shared" si="1"/>
        <v/>
      </c>
      <c r="AM48" s="14"/>
      <c r="AN48" s="15"/>
      <c r="AO48" s="15"/>
      <c r="AP48" s="48"/>
      <c r="AQ48" s="15"/>
      <c r="AR48" s="15"/>
      <c r="AS48" s="15"/>
      <c r="AT48" s="60" t="str">
        <f>IF(ISNUMBER(MATCH(AU48,LOAI_THE!$B:$B,0)),INDEX(LOAI_THE!$A:$A,MATCH(AU48,LOAI_THE!$B:$B,0)),"")</f>
        <v/>
      </c>
      <c r="AU48" s="48"/>
      <c r="AV48" s="15"/>
      <c r="AW48" s="15"/>
      <c r="AX48" s="15"/>
      <c r="AY48" s="48"/>
    </row>
    <row r="49" spans="1:51" x14ac:dyDescent="0.3">
      <c r="A49" s="13" t="s">
        <v>4325</v>
      </c>
      <c r="B49" s="48"/>
      <c r="C49" s="48"/>
      <c r="D49" s="48"/>
      <c r="E49" s="48"/>
      <c r="F49" s="48"/>
      <c r="G49" s="58" t="str">
        <f>IF(ISNUMBER(MATCH(H49,GIOI_TINH!$B:$B,0)),INDEX(GIOI_TINH!$A:$A,MATCH(H49,GIOI_TINH!$B:$B,0)),"")</f>
        <v/>
      </c>
      <c r="H49" s="15"/>
      <c r="I49" s="15"/>
      <c r="J49" s="58" t="str">
        <f>IF(ISNUMBER(MATCH(K49,QUOC_GIA!$B:$B,0)),INDEX(QUOC_GIA!$A:$A,MATCH(K49,QUOC_GIA!$B:$B,0)),"")</f>
        <v/>
      </c>
      <c r="K49" s="50"/>
      <c r="L49" s="15"/>
      <c r="M49" s="58" t="str">
        <f>IF(ISNUMBER(MATCH(N49,LOAI_THUE!$B:$B,0)),INDEX(LOAI_THUE!$A:$A,MATCH(N49,LOAI_THUE!$B:$B,0)),"")</f>
        <v/>
      </c>
      <c r="N49" s="50"/>
      <c r="O49" s="58" t="str">
        <f>IF(ISNUMBER(MATCH(P49,CHI_TIET_LOAI_KH!$B:$B,0)),INDEX(CHI_TIET_LOAI_KH!$A:$A,MATCH(P49,CHI_TIET_LOAI_KH!$B:$B,0)),"")</f>
        <v/>
      </c>
      <c r="P49" s="50"/>
      <c r="Q49" s="58" t="str">
        <f>IF(ISNUMBER(MATCH(R49,NGHE_NGHIEP!$B:$B,0)),INDEX(NGHE_NGHIEP!$A:$A,MATCH(R49,NGHE_NGHIEP!$B:$B,0)),"")</f>
        <v/>
      </c>
      <c r="R49" s="50"/>
      <c r="S49" s="58" t="str">
        <f>IF(ISNUMBER(MATCH(T49,LOAI_ID!$B:$B,0)),INDEX(LOAI_ID!$A:$A,MATCH(T49,LOAI_ID!$B:$B,0)),"")</f>
        <v/>
      </c>
      <c r="T49" s="16"/>
      <c r="U49" s="48"/>
      <c r="V49" s="48"/>
      <c r="W49" s="17"/>
      <c r="X49" s="17"/>
      <c r="Y49" s="15"/>
      <c r="Z49" s="15"/>
      <c r="AA49" s="59" t="str">
        <f>IFERROR(INDEX(NOI_CAP!$B:$B,MATCH(Z49,NOI_CAP!$A:$A,0)),"")</f>
        <v/>
      </c>
      <c r="AB49" s="58" t="str">
        <f>IF(ISNUMBER(MATCH(AC49,LOAI_DIA_CHI!$B:$B,0)),INDEX(LOAI_DIA_CHI!$A:$A,MATCH(AC49,LOAI_DIA_CHI!$B:$B,0)),"")</f>
        <v/>
      </c>
      <c r="AC49" s="16"/>
      <c r="AD49" s="58" t="str">
        <f>IF(ISNUMBER(MATCH(AE49,QUOC_GIA!$B:$B,0)),INDEX(QUOC_GIA!$A:$A,MATCH(AE49,QUOC_GIA!$B:$B,0)),"")</f>
        <v/>
      </c>
      <c r="AE49" s="16"/>
      <c r="AF49" s="48"/>
      <c r="AG49" s="59" t="str">
        <f>IFERROR(INDEX(TINH_TP!$B:$B,MATCH(AF49,TINH_TP!$A:$A,0)),"")</f>
        <v/>
      </c>
      <c r="AH49" s="50"/>
      <c r="AI49" s="59" t="str">
        <f>IF(OR(AF49="",AH49=""),"",IF(COUNTIFS(PHUONG_XA!$A$2:$A$3323,AH49,PHUONG_XA!$C$2:$C$3323,AF49)=0,"",INDEX(PHUONG_XA!$B$2:$B$3323,SUMPRODUCT((PHUONG_XA!$A$2:$A$3323&amp;""=AH49&amp;"")*(PHUONG_XA!$C$2:$C$3323&amp;""=AF49&amp;"")*(ROW(PHUONG_XA!$A$2:$A$3323)-ROW(PHUONG_XA!$A$2)+1)))))</f>
        <v/>
      </c>
      <c r="AJ49" s="14"/>
      <c r="AK49" s="14"/>
      <c r="AL49" s="57" t="str">
        <f t="shared" si="1"/>
        <v/>
      </c>
      <c r="AM49" s="14"/>
      <c r="AN49" s="15"/>
      <c r="AO49" s="15"/>
      <c r="AP49" s="48"/>
      <c r="AQ49" s="15"/>
      <c r="AR49" s="15"/>
      <c r="AS49" s="15"/>
      <c r="AT49" s="60" t="str">
        <f>IF(ISNUMBER(MATCH(AU49,LOAI_THE!$B:$B,0)),INDEX(LOAI_THE!$A:$A,MATCH(AU49,LOAI_THE!$B:$B,0)),"")</f>
        <v/>
      </c>
      <c r="AU49" s="48"/>
      <c r="AV49" s="15"/>
      <c r="AW49" s="15"/>
      <c r="AX49" s="15"/>
      <c r="AY49" s="48"/>
    </row>
    <row r="50" spans="1:51" x14ac:dyDescent="0.3">
      <c r="A50" s="13" t="s">
        <v>4326</v>
      </c>
      <c r="B50" s="48"/>
      <c r="C50" s="48"/>
      <c r="D50" s="48"/>
      <c r="E50" s="48"/>
      <c r="F50" s="48"/>
      <c r="G50" s="58" t="str">
        <f>IF(ISNUMBER(MATCH(H50,GIOI_TINH!$B:$B,0)),INDEX(GIOI_TINH!$A:$A,MATCH(H50,GIOI_TINH!$B:$B,0)),"")</f>
        <v/>
      </c>
      <c r="H50" s="15"/>
      <c r="I50" s="15"/>
      <c r="J50" s="58" t="str">
        <f>IF(ISNUMBER(MATCH(K50,QUOC_GIA!$B:$B,0)),INDEX(QUOC_GIA!$A:$A,MATCH(K50,QUOC_GIA!$B:$B,0)),"")</f>
        <v/>
      </c>
      <c r="K50" s="50"/>
      <c r="L50" s="15"/>
      <c r="M50" s="58" t="str">
        <f>IF(ISNUMBER(MATCH(N50,LOAI_THUE!$B:$B,0)),INDEX(LOAI_THUE!$A:$A,MATCH(N50,LOAI_THUE!$B:$B,0)),"")</f>
        <v/>
      </c>
      <c r="N50" s="50"/>
      <c r="O50" s="58" t="str">
        <f>IF(ISNUMBER(MATCH(P50,CHI_TIET_LOAI_KH!$B:$B,0)),INDEX(CHI_TIET_LOAI_KH!$A:$A,MATCH(P50,CHI_TIET_LOAI_KH!$B:$B,0)),"")</f>
        <v/>
      </c>
      <c r="P50" s="50"/>
      <c r="Q50" s="58" t="str">
        <f>IF(ISNUMBER(MATCH(R50,NGHE_NGHIEP!$B:$B,0)),INDEX(NGHE_NGHIEP!$A:$A,MATCH(R50,NGHE_NGHIEP!$B:$B,0)),"")</f>
        <v/>
      </c>
      <c r="R50" s="50"/>
      <c r="S50" s="58" t="str">
        <f>IF(ISNUMBER(MATCH(T50,LOAI_ID!$B:$B,0)),INDEX(LOAI_ID!$A:$A,MATCH(T50,LOAI_ID!$B:$B,0)),"")</f>
        <v/>
      </c>
      <c r="T50" s="16"/>
      <c r="U50" s="48"/>
      <c r="V50" s="48"/>
      <c r="W50" s="17"/>
      <c r="X50" s="17"/>
      <c r="Y50" s="15"/>
      <c r="Z50" s="15"/>
      <c r="AA50" s="59" t="str">
        <f>IFERROR(INDEX(NOI_CAP!$B:$B,MATCH(Z50,NOI_CAP!$A:$A,0)),"")</f>
        <v/>
      </c>
      <c r="AB50" s="58" t="str">
        <f>IF(ISNUMBER(MATCH(AC50,LOAI_DIA_CHI!$B:$B,0)),INDEX(LOAI_DIA_CHI!$A:$A,MATCH(AC50,LOAI_DIA_CHI!$B:$B,0)),"")</f>
        <v/>
      </c>
      <c r="AC50" s="16"/>
      <c r="AD50" s="58" t="str">
        <f>IF(ISNUMBER(MATCH(AE50,QUOC_GIA!$B:$B,0)),INDEX(QUOC_GIA!$A:$A,MATCH(AE50,QUOC_GIA!$B:$B,0)),"")</f>
        <v/>
      </c>
      <c r="AE50" s="16"/>
      <c r="AF50" s="48"/>
      <c r="AG50" s="59" t="str">
        <f>IFERROR(INDEX(TINH_TP!$B:$B,MATCH(AF50,TINH_TP!$A:$A,0)),"")</f>
        <v/>
      </c>
      <c r="AH50" s="50"/>
      <c r="AI50" s="59" t="str">
        <f>IF(OR(AF50="",AH50=""),"",IF(COUNTIFS(PHUONG_XA!$A$2:$A$3323,AH50,PHUONG_XA!$C$2:$C$3323,AF50)=0,"",INDEX(PHUONG_XA!$B$2:$B$3323,SUMPRODUCT((PHUONG_XA!$A$2:$A$3323&amp;""=AH50&amp;"")*(PHUONG_XA!$C$2:$C$3323&amp;""=AF50&amp;"")*(ROW(PHUONG_XA!$A$2:$A$3323)-ROW(PHUONG_XA!$A$2)+1)))))</f>
        <v/>
      </c>
      <c r="AJ50" s="14"/>
      <c r="AK50" s="14"/>
      <c r="AL50" s="57" t="str">
        <f t="shared" si="1"/>
        <v/>
      </c>
      <c r="AM50" s="14"/>
      <c r="AN50" s="15"/>
      <c r="AO50" s="15"/>
      <c r="AP50" s="48"/>
      <c r="AQ50" s="15"/>
      <c r="AR50" s="15"/>
      <c r="AS50" s="15"/>
      <c r="AT50" s="60" t="str">
        <f>IF(ISNUMBER(MATCH(AU50,LOAI_THE!$B:$B,0)),INDEX(LOAI_THE!$A:$A,MATCH(AU50,LOAI_THE!$B:$B,0)),"")</f>
        <v/>
      </c>
      <c r="AU50" s="48"/>
      <c r="AV50" s="15"/>
      <c r="AW50" s="15"/>
      <c r="AX50" s="15"/>
      <c r="AY50" s="48"/>
    </row>
    <row r="51" spans="1:51" x14ac:dyDescent="0.3">
      <c r="A51" s="13" t="s">
        <v>4327</v>
      </c>
      <c r="B51" s="48"/>
      <c r="C51" s="48"/>
      <c r="D51" s="48"/>
      <c r="E51" s="48"/>
      <c r="F51" s="48"/>
      <c r="G51" s="58" t="str">
        <f>IF(ISNUMBER(MATCH(H51,GIOI_TINH!$B:$B,0)),INDEX(GIOI_TINH!$A:$A,MATCH(H51,GIOI_TINH!$B:$B,0)),"")</f>
        <v/>
      </c>
      <c r="H51" s="15"/>
      <c r="I51" s="15"/>
      <c r="J51" s="58" t="str">
        <f>IF(ISNUMBER(MATCH(K51,QUOC_GIA!$B:$B,0)),INDEX(QUOC_GIA!$A:$A,MATCH(K51,QUOC_GIA!$B:$B,0)),"")</f>
        <v/>
      </c>
      <c r="K51" s="50"/>
      <c r="L51" s="15"/>
      <c r="M51" s="58" t="str">
        <f>IF(ISNUMBER(MATCH(N51,LOAI_THUE!$B:$B,0)),INDEX(LOAI_THUE!$A:$A,MATCH(N51,LOAI_THUE!$B:$B,0)),"")</f>
        <v/>
      </c>
      <c r="N51" s="50"/>
      <c r="O51" s="58" t="str">
        <f>IF(ISNUMBER(MATCH(P51,CHI_TIET_LOAI_KH!$B:$B,0)),INDEX(CHI_TIET_LOAI_KH!$A:$A,MATCH(P51,CHI_TIET_LOAI_KH!$B:$B,0)),"")</f>
        <v/>
      </c>
      <c r="P51" s="50"/>
      <c r="Q51" s="58" t="str">
        <f>IF(ISNUMBER(MATCH(R51,NGHE_NGHIEP!$B:$B,0)),INDEX(NGHE_NGHIEP!$A:$A,MATCH(R51,NGHE_NGHIEP!$B:$B,0)),"")</f>
        <v/>
      </c>
      <c r="R51" s="50"/>
      <c r="S51" s="58" t="str">
        <f>IF(ISNUMBER(MATCH(T51,LOAI_ID!$B:$B,0)),INDEX(LOAI_ID!$A:$A,MATCH(T51,LOAI_ID!$B:$B,0)),"")</f>
        <v/>
      </c>
      <c r="T51" s="16"/>
      <c r="U51" s="48"/>
      <c r="V51" s="48"/>
      <c r="W51" s="17"/>
      <c r="X51" s="17"/>
      <c r="Y51" s="15"/>
      <c r="Z51" s="15"/>
      <c r="AA51" s="59" t="str">
        <f>IFERROR(INDEX(NOI_CAP!$B:$B,MATCH(Z51,NOI_CAP!$A:$A,0)),"")</f>
        <v/>
      </c>
      <c r="AB51" s="58" t="str">
        <f>IF(ISNUMBER(MATCH(AC51,LOAI_DIA_CHI!$B:$B,0)),INDEX(LOAI_DIA_CHI!$A:$A,MATCH(AC51,LOAI_DIA_CHI!$B:$B,0)),"")</f>
        <v/>
      </c>
      <c r="AC51" s="16"/>
      <c r="AD51" s="58" t="str">
        <f>IF(ISNUMBER(MATCH(AE51,QUOC_GIA!$B:$B,0)),INDEX(QUOC_GIA!$A:$A,MATCH(AE51,QUOC_GIA!$B:$B,0)),"")</f>
        <v/>
      </c>
      <c r="AE51" s="16"/>
      <c r="AF51" s="48"/>
      <c r="AG51" s="59" t="str">
        <f>IFERROR(INDEX(TINH_TP!$B:$B,MATCH(AF51,TINH_TP!$A:$A,0)),"")</f>
        <v/>
      </c>
      <c r="AH51" s="50"/>
      <c r="AI51" s="59" t="str">
        <f>IF(OR(AF51="",AH51=""),"",IF(COUNTIFS(PHUONG_XA!$A$2:$A$3323,AH51,PHUONG_XA!$C$2:$C$3323,AF51)=0,"",INDEX(PHUONG_XA!$B$2:$B$3323,SUMPRODUCT((PHUONG_XA!$A$2:$A$3323&amp;""=AH51&amp;"")*(PHUONG_XA!$C$2:$C$3323&amp;""=AF51&amp;"")*(ROW(PHUONG_XA!$A$2:$A$3323)-ROW(PHUONG_XA!$A$2)+1)))))</f>
        <v/>
      </c>
      <c r="AJ51" s="14"/>
      <c r="AK51" s="14"/>
      <c r="AL51" s="57" t="str">
        <f t="shared" si="1"/>
        <v/>
      </c>
      <c r="AM51" s="14"/>
      <c r="AN51" s="15"/>
      <c r="AO51" s="15"/>
      <c r="AP51" s="48"/>
      <c r="AQ51" s="15"/>
      <c r="AR51" s="15"/>
      <c r="AS51" s="15"/>
      <c r="AT51" s="60" t="str">
        <f>IF(ISNUMBER(MATCH(AU51,LOAI_THE!$B:$B,0)),INDEX(LOAI_THE!$A:$A,MATCH(AU51,LOAI_THE!$B:$B,0)),"")</f>
        <v/>
      </c>
      <c r="AU51" s="48"/>
      <c r="AV51" s="15"/>
      <c r="AW51" s="15"/>
      <c r="AX51" s="15"/>
      <c r="AY51" s="48"/>
    </row>
    <row r="52" spans="1:51" x14ac:dyDescent="0.3">
      <c r="A52" s="13" t="s">
        <v>4328</v>
      </c>
      <c r="B52" s="48"/>
      <c r="C52" s="48"/>
      <c r="D52" s="48"/>
      <c r="E52" s="48"/>
      <c r="F52" s="48"/>
      <c r="G52" s="58" t="str">
        <f>IF(ISNUMBER(MATCH(H52,GIOI_TINH!$B:$B,0)),INDEX(GIOI_TINH!$A:$A,MATCH(H52,GIOI_TINH!$B:$B,0)),"")</f>
        <v/>
      </c>
      <c r="H52" s="15"/>
      <c r="I52" s="15"/>
      <c r="J52" s="58" t="str">
        <f>IF(ISNUMBER(MATCH(K52,QUOC_GIA!$B:$B,0)),INDEX(QUOC_GIA!$A:$A,MATCH(K52,QUOC_GIA!$B:$B,0)),"")</f>
        <v/>
      </c>
      <c r="K52" s="50"/>
      <c r="L52" s="15"/>
      <c r="M52" s="58" t="str">
        <f>IF(ISNUMBER(MATCH(N52,LOAI_THUE!$B:$B,0)),INDEX(LOAI_THUE!$A:$A,MATCH(N52,LOAI_THUE!$B:$B,0)),"")</f>
        <v/>
      </c>
      <c r="N52" s="50"/>
      <c r="O52" s="58" t="str">
        <f>IF(ISNUMBER(MATCH(P52,CHI_TIET_LOAI_KH!$B:$B,0)),INDEX(CHI_TIET_LOAI_KH!$A:$A,MATCH(P52,CHI_TIET_LOAI_KH!$B:$B,0)),"")</f>
        <v/>
      </c>
      <c r="P52" s="50"/>
      <c r="Q52" s="58" t="str">
        <f>IF(ISNUMBER(MATCH(R52,NGHE_NGHIEP!$B:$B,0)),INDEX(NGHE_NGHIEP!$A:$A,MATCH(R52,NGHE_NGHIEP!$B:$B,0)),"")</f>
        <v/>
      </c>
      <c r="R52" s="50"/>
      <c r="S52" s="58" t="str">
        <f>IF(ISNUMBER(MATCH(T52,LOAI_ID!$B:$B,0)),INDEX(LOAI_ID!$A:$A,MATCH(T52,LOAI_ID!$B:$B,0)),"")</f>
        <v/>
      </c>
      <c r="T52" s="16"/>
      <c r="U52" s="48"/>
      <c r="V52" s="48"/>
      <c r="W52" s="17"/>
      <c r="X52" s="17"/>
      <c r="Y52" s="15"/>
      <c r="Z52" s="15"/>
      <c r="AA52" s="59" t="str">
        <f>IFERROR(INDEX(NOI_CAP!$B:$B,MATCH(Z52,NOI_CAP!$A:$A,0)),"")</f>
        <v/>
      </c>
      <c r="AB52" s="58" t="str">
        <f>IF(ISNUMBER(MATCH(AC52,LOAI_DIA_CHI!$B:$B,0)),INDEX(LOAI_DIA_CHI!$A:$A,MATCH(AC52,LOAI_DIA_CHI!$B:$B,0)),"")</f>
        <v/>
      </c>
      <c r="AC52" s="16"/>
      <c r="AD52" s="58" t="str">
        <f>IF(ISNUMBER(MATCH(AE52,QUOC_GIA!$B:$B,0)),INDEX(QUOC_GIA!$A:$A,MATCH(AE52,QUOC_GIA!$B:$B,0)),"")</f>
        <v/>
      </c>
      <c r="AE52" s="16"/>
      <c r="AF52" s="48"/>
      <c r="AG52" s="59" t="str">
        <f>IFERROR(INDEX(TINH_TP!$B:$B,MATCH(AF52,TINH_TP!$A:$A,0)),"")</f>
        <v/>
      </c>
      <c r="AH52" s="50"/>
      <c r="AI52" s="59" t="str">
        <f>IF(OR(AF52="",AH52=""),"",IF(COUNTIFS(PHUONG_XA!$A$2:$A$3323,AH52,PHUONG_XA!$C$2:$C$3323,AF52)=0,"",INDEX(PHUONG_XA!$B$2:$B$3323,SUMPRODUCT((PHUONG_XA!$A$2:$A$3323&amp;""=AH52&amp;"")*(PHUONG_XA!$C$2:$C$3323&amp;""=AF52&amp;"")*(ROW(PHUONG_XA!$A$2:$A$3323)-ROW(PHUONG_XA!$A$2)+1)))))</f>
        <v/>
      </c>
      <c r="AJ52" s="14"/>
      <c r="AK52" s="14"/>
      <c r="AL52" s="57" t="str">
        <f t="shared" si="1"/>
        <v/>
      </c>
      <c r="AM52" s="14"/>
      <c r="AN52" s="15"/>
      <c r="AO52" s="15"/>
      <c r="AP52" s="48"/>
      <c r="AQ52" s="15"/>
      <c r="AR52" s="15"/>
      <c r="AS52" s="15"/>
      <c r="AT52" s="60" t="str">
        <f>IF(ISNUMBER(MATCH(AU52,LOAI_THE!$B:$B,0)),INDEX(LOAI_THE!$A:$A,MATCH(AU52,LOAI_THE!$B:$B,0)),"")</f>
        <v/>
      </c>
      <c r="AU52" s="48"/>
      <c r="AV52" s="15"/>
      <c r="AW52" s="15"/>
      <c r="AX52" s="15"/>
      <c r="AY52" s="48"/>
    </row>
    <row r="53" spans="1:51" x14ac:dyDescent="0.3">
      <c r="A53" s="13" t="s">
        <v>4329</v>
      </c>
      <c r="B53" s="48"/>
      <c r="C53" s="48"/>
      <c r="D53" s="48"/>
      <c r="E53" s="48"/>
      <c r="F53" s="48"/>
      <c r="G53" s="58" t="str">
        <f>IF(ISNUMBER(MATCH(H53,GIOI_TINH!$B:$B,0)),INDEX(GIOI_TINH!$A:$A,MATCH(H53,GIOI_TINH!$B:$B,0)),"")</f>
        <v/>
      </c>
      <c r="H53" s="15"/>
      <c r="I53" s="15"/>
      <c r="J53" s="58" t="str">
        <f>IF(ISNUMBER(MATCH(K53,QUOC_GIA!$B:$B,0)),INDEX(QUOC_GIA!$A:$A,MATCH(K53,QUOC_GIA!$B:$B,0)),"")</f>
        <v/>
      </c>
      <c r="K53" s="50"/>
      <c r="L53" s="15"/>
      <c r="M53" s="58" t="str">
        <f>IF(ISNUMBER(MATCH(N53,LOAI_THUE!$B:$B,0)),INDEX(LOAI_THUE!$A:$A,MATCH(N53,LOAI_THUE!$B:$B,0)),"")</f>
        <v/>
      </c>
      <c r="N53" s="50"/>
      <c r="O53" s="58" t="str">
        <f>IF(ISNUMBER(MATCH(P53,CHI_TIET_LOAI_KH!$B:$B,0)),INDEX(CHI_TIET_LOAI_KH!$A:$A,MATCH(P53,CHI_TIET_LOAI_KH!$B:$B,0)),"")</f>
        <v/>
      </c>
      <c r="P53" s="50"/>
      <c r="Q53" s="58" t="str">
        <f>IF(ISNUMBER(MATCH(R53,NGHE_NGHIEP!$B:$B,0)),INDEX(NGHE_NGHIEP!$A:$A,MATCH(R53,NGHE_NGHIEP!$B:$B,0)),"")</f>
        <v/>
      </c>
      <c r="R53" s="50"/>
      <c r="S53" s="58" t="str">
        <f>IF(ISNUMBER(MATCH(T53,LOAI_ID!$B:$B,0)),INDEX(LOAI_ID!$A:$A,MATCH(T53,LOAI_ID!$B:$B,0)),"")</f>
        <v/>
      </c>
      <c r="T53" s="16"/>
      <c r="U53" s="48"/>
      <c r="V53" s="48"/>
      <c r="W53" s="17"/>
      <c r="X53" s="17"/>
      <c r="Y53" s="15"/>
      <c r="Z53" s="15"/>
      <c r="AA53" s="59" t="str">
        <f>IFERROR(INDEX(NOI_CAP!$B:$B,MATCH(Z53,NOI_CAP!$A:$A,0)),"")</f>
        <v/>
      </c>
      <c r="AB53" s="58" t="str">
        <f>IF(ISNUMBER(MATCH(AC53,LOAI_DIA_CHI!$B:$B,0)),INDEX(LOAI_DIA_CHI!$A:$A,MATCH(AC53,LOAI_DIA_CHI!$B:$B,0)),"")</f>
        <v/>
      </c>
      <c r="AC53" s="16"/>
      <c r="AD53" s="58" t="str">
        <f>IF(ISNUMBER(MATCH(AE53,QUOC_GIA!$B:$B,0)),INDEX(QUOC_GIA!$A:$A,MATCH(AE53,QUOC_GIA!$B:$B,0)),"")</f>
        <v/>
      </c>
      <c r="AE53" s="16"/>
      <c r="AF53" s="48"/>
      <c r="AG53" s="59" t="str">
        <f>IFERROR(INDEX(TINH_TP!$B:$B,MATCH(AF53,TINH_TP!$A:$A,0)),"")</f>
        <v/>
      </c>
      <c r="AH53" s="50"/>
      <c r="AI53" s="59" t="str">
        <f>IF(OR(AF53="",AH53=""),"",IF(COUNTIFS(PHUONG_XA!$A$2:$A$3323,AH53,PHUONG_XA!$C$2:$C$3323,AF53)=0,"",INDEX(PHUONG_XA!$B$2:$B$3323,SUMPRODUCT((PHUONG_XA!$A$2:$A$3323&amp;""=AH53&amp;"")*(PHUONG_XA!$C$2:$C$3323&amp;""=AF53&amp;"")*(ROW(PHUONG_XA!$A$2:$A$3323)-ROW(PHUONG_XA!$A$2)+1)))))</f>
        <v/>
      </c>
      <c r="AJ53" s="14"/>
      <c r="AK53" s="14"/>
      <c r="AL53" s="57" t="str">
        <f t="shared" si="1"/>
        <v/>
      </c>
      <c r="AM53" s="14"/>
      <c r="AN53" s="15"/>
      <c r="AO53" s="15"/>
      <c r="AP53" s="48"/>
      <c r="AQ53" s="15"/>
      <c r="AR53" s="15"/>
      <c r="AS53" s="15"/>
      <c r="AT53" s="60" t="str">
        <f>IF(ISNUMBER(MATCH(AU53,LOAI_THE!$B:$B,0)),INDEX(LOAI_THE!$A:$A,MATCH(AU53,LOAI_THE!$B:$B,0)),"")</f>
        <v/>
      </c>
      <c r="AU53" s="48"/>
      <c r="AV53" s="15"/>
      <c r="AW53" s="15"/>
      <c r="AX53" s="15"/>
      <c r="AY53" s="48"/>
    </row>
    <row r="54" spans="1:51" x14ac:dyDescent="0.3">
      <c r="A54" s="13" t="s">
        <v>4330</v>
      </c>
      <c r="B54" s="48"/>
      <c r="C54" s="48"/>
      <c r="D54" s="48"/>
      <c r="E54" s="48"/>
      <c r="F54" s="48"/>
      <c r="G54" s="58" t="str">
        <f>IF(ISNUMBER(MATCH(H54,GIOI_TINH!$B:$B,0)),INDEX(GIOI_TINH!$A:$A,MATCH(H54,GIOI_TINH!$B:$B,0)),"")</f>
        <v/>
      </c>
      <c r="H54" s="15"/>
      <c r="I54" s="15"/>
      <c r="J54" s="58" t="str">
        <f>IF(ISNUMBER(MATCH(K54,QUOC_GIA!$B:$B,0)),INDEX(QUOC_GIA!$A:$A,MATCH(K54,QUOC_GIA!$B:$B,0)),"")</f>
        <v/>
      </c>
      <c r="K54" s="50"/>
      <c r="L54" s="15"/>
      <c r="M54" s="58" t="str">
        <f>IF(ISNUMBER(MATCH(N54,LOAI_THUE!$B:$B,0)),INDEX(LOAI_THUE!$A:$A,MATCH(N54,LOAI_THUE!$B:$B,0)),"")</f>
        <v/>
      </c>
      <c r="N54" s="50"/>
      <c r="O54" s="58" t="str">
        <f>IF(ISNUMBER(MATCH(P54,CHI_TIET_LOAI_KH!$B:$B,0)),INDEX(CHI_TIET_LOAI_KH!$A:$A,MATCH(P54,CHI_TIET_LOAI_KH!$B:$B,0)),"")</f>
        <v/>
      </c>
      <c r="P54" s="50"/>
      <c r="Q54" s="58" t="str">
        <f>IF(ISNUMBER(MATCH(R54,NGHE_NGHIEP!$B:$B,0)),INDEX(NGHE_NGHIEP!$A:$A,MATCH(R54,NGHE_NGHIEP!$B:$B,0)),"")</f>
        <v/>
      </c>
      <c r="R54" s="50"/>
      <c r="S54" s="58" t="str">
        <f>IF(ISNUMBER(MATCH(T54,LOAI_ID!$B:$B,0)),INDEX(LOAI_ID!$A:$A,MATCH(T54,LOAI_ID!$B:$B,0)),"")</f>
        <v/>
      </c>
      <c r="T54" s="16"/>
      <c r="U54" s="48"/>
      <c r="V54" s="48"/>
      <c r="W54" s="17"/>
      <c r="X54" s="17"/>
      <c r="Y54" s="15"/>
      <c r="Z54" s="15"/>
      <c r="AA54" s="59" t="str">
        <f>IFERROR(INDEX(NOI_CAP!$B:$B,MATCH(Z54,NOI_CAP!$A:$A,0)),"")</f>
        <v/>
      </c>
      <c r="AB54" s="58" t="str">
        <f>IF(ISNUMBER(MATCH(AC54,LOAI_DIA_CHI!$B:$B,0)),INDEX(LOAI_DIA_CHI!$A:$A,MATCH(AC54,LOAI_DIA_CHI!$B:$B,0)),"")</f>
        <v/>
      </c>
      <c r="AC54" s="16"/>
      <c r="AD54" s="58" t="str">
        <f>IF(ISNUMBER(MATCH(AE54,QUOC_GIA!$B:$B,0)),INDEX(QUOC_GIA!$A:$A,MATCH(AE54,QUOC_GIA!$B:$B,0)),"")</f>
        <v/>
      </c>
      <c r="AE54" s="16"/>
      <c r="AF54" s="48"/>
      <c r="AG54" s="59" t="str">
        <f>IFERROR(INDEX(TINH_TP!$B:$B,MATCH(AF54,TINH_TP!$A:$A,0)),"")</f>
        <v/>
      </c>
      <c r="AH54" s="50"/>
      <c r="AI54" s="59" t="str">
        <f>IF(OR(AF54="",AH54=""),"",IF(COUNTIFS(PHUONG_XA!$A$2:$A$3323,AH54,PHUONG_XA!$C$2:$C$3323,AF54)=0,"",INDEX(PHUONG_XA!$B$2:$B$3323,SUMPRODUCT((PHUONG_XA!$A$2:$A$3323&amp;""=AH54&amp;"")*(PHUONG_XA!$C$2:$C$3323&amp;""=AF54&amp;"")*(ROW(PHUONG_XA!$A$2:$A$3323)-ROW(PHUONG_XA!$A$2)+1)))))</f>
        <v/>
      </c>
      <c r="AJ54" s="14"/>
      <c r="AK54" s="14"/>
      <c r="AL54" s="57" t="str">
        <f t="shared" si="1"/>
        <v/>
      </c>
      <c r="AM54" s="14"/>
      <c r="AN54" s="15"/>
      <c r="AO54" s="15"/>
      <c r="AP54" s="48"/>
      <c r="AQ54" s="15"/>
      <c r="AR54" s="15"/>
      <c r="AS54" s="15"/>
      <c r="AT54" s="60" t="str">
        <f>IF(ISNUMBER(MATCH(AU54,LOAI_THE!$B:$B,0)),INDEX(LOAI_THE!$A:$A,MATCH(AU54,LOAI_THE!$B:$B,0)),"")</f>
        <v/>
      </c>
      <c r="AU54" s="48"/>
      <c r="AV54" s="15"/>
      <c r="AW54" s="15"/>
      <c r="AX54" s="15"/>
      <c r="AY54" s="48"/>
    </row>
    <row r="55" spans="1:51" x14ac:dyDescent="0.3">
      <c r="A55" s="13" t="s">
        <v>4331</v>
      </c>
      <c r="B55" s="48"/>
      <c r="C55" s="48"/>
      <c r="D55" s="48"/>
      <c r="E55" s="48"/>
      <c r="F55" s="48"/>
      <c r="G55" s="58" t="str">
        <f>IF(ISNUMBER(MATCH(H55,GIOI_TINH!$B:$B,0)),INDEX(GIOI_TINH!$A:$A,MATCH(H55,GIOI_TINH!$B:$B,0)),"")</f>
        <v/>
      </c>
      <c r="H55" s="15"/>
      <c r="I55" s="15"/>
      <c r="J55" s="58" t="str">
        <f>IF(ISNUMBER(MATCH(K55,QUOC_GIA!$B:$B,0)),INDEX(QUOC_GIA!$A:$A,MATCH(K55,QUOC_GIA!$B:$B,0)),"")</f>
        <v/>
      </c>
      <c r="K55" s="50"/>
      <c r="L55" s="15"/>
      <c r="M55" s="58" t="str">
        <f>IF(ISNUMBER(MATCH(N55,LOAI_THUE!$B:$B,0)),INDEX(LOAI_THUE!$A:$A,MATCH(N55,LOAI_THUE!$B:$B,0)),"")</f>
        <v/>
      </c>
      <c r="N55" s="50"/>
      <c r="O55" s="58" t="str">
        <f>IF(ISNUMBER(MATCH(P55,CHI_TIET_LOAI_KH!$B:$B,0)),INDEX(CHI_TIET_LOAI_KH!$A:$A,MATCH(P55,CHI_TIET_LOAI_KH!$B:$B,0)),"")</f>
        <v/>
      </c>
      <c r="P55" s="50"/>
      <c r="Q55" s="58" t="str">
        <f>IF(ISNUMBER(MATCH(R55,NGHE_NGHIEP!$B:$B,0)),INDEX(NGHE_NGHIEP!$A:$A,MATCH(R55,NGHE_NGHIEP!$B:$B,0)),"")</f>
        <v/>
      </c>
      <c r="R55" s="50"/>
      <c r="S55" s="58" t="str">
        <f>IF(ISNUMBER(MATCH(T55,LOAI_ID!$B:$B,0)),INDEX(LOAI_ID!$A:$A,MATCH(T55,LOAI_ID!$B:$B,0)),"")</f>
        <v/>
      </c>
      <c r="T55" s="16"/>
      <c r="U55" s="48"/>
      <c r="V55" s="48"/>
      <c r="W55" s="17"/>
      <c r="X55" s="17"/>
      <c r="Y55" s="15"/>
      <c r="Z55" s="15"/>
      <c r="AA55" s="59" t="str">
        <f>IFERROR(INDEX(NOI_CAP!$B:$B,MATCH(Z55,NOI_CAP!$A:$A,0)),"")</f>
        <v/>
      </c>
      <c r="AB55" s="58" t="str">
        <f>IF(ISNUMBER(MATCH(AC55,LOAI_DIA_CHI!$B:$B,0)),INDEX(LOAI_DIA_CHI!$A:$A,MATCH(AC55,LOAI_DIA_CHI!$B:$B,0)),"")</f>
        <v/>
      </c>
      <c r="AC55" s="16"/>
      <c r="AD55" s="58" t="str">
        <f>IF(ISNUMBER(MATCH(AE55,QUOC_GIA!$B:$B,0)),INDEX(QUOC_GIA!$A:$A,MATCH(AE55,QUOC_GIA!$B:$B,0)),"")</f>
        <v/>
      </c>
      <c r="AE55" s="16"/>
      <c r="AF55" s="48"/>
      <c r="AG55" s="59" t="str">
        <f>IFERROR(INDEX(TINH_TP!$B:$B,MATCH(AF55,TINH_TP!$A:$A,0)),"")</f>
        <v/>
      </c>
      <c r="AH55" s="50"/>
      <c r="AI55" s="59" t="str">
        <f>IF(OR(AF55="",AH55=""),"",IF(COUNTIFS(PHUONG_XA!$A$2:$A$3323,AH55,PHUONG_XA!$C$2:$C$3323,AF55)=0,"",INDEX(PHUONG_XA!$B$2:$B$3323,SUMPRODUCT((PHUONG_XA!$A$2:$A$3323&amp;""=AH55&amp;"")*(PHUONG_XA!$C$2:$C$3323&amp;""=AF55&amp;"")*(ROW(PHUONG_XA!$A$2:$A$3323)-ROW(PHUONG_XA!$A$2)+1)))))</f>
        <v/>
      </c>
      <c r="AJ55" s="14"/>
      <c r="AK55" s="14"/>
      <c r="AL55" s="57" t="str">
        <f t="shared" si="1"/>
        <v/>
      </c>
      <c r="AM55" s="14"/>
      <c r="AN55" s="15"/>
      <c r="AO55" s="15"/>
      <c r="AP55" s="48"/>
      <c r="AQ55" s="15"/>
      <c r="AR55" s="15"/>
      <c r="AS55" s="15"/>
      <c r="AT55" s="60" t="str">
        <f>IF(ISNUMBER(MATCH(AU55,LOAI_THE!$B:$B,0)),INDEX(LOAI_THE!$A:$A,MATCH(AU55,LOAI_THE!$B:$B,0)),"")</f>
        <v/>
      </c>
      <c r="AU55" s="48"/>
      <c r="AV55" s="15"/>
      <c r="AW55" s="15"/>
      <c r="AX55" s="15"/>
      <c r="AY55" s="48"/>
    </row>
    <row r="56" spans="1:51" x14ac:dyDescent="0.3">
      <c r="A56" s="13" t="s">
        <v>4332</v>
      </c>
      <c r="B56" s="48"/>
      <c r="C56" s="48"/>
      <c r="D56" s="48"/>
      <c r="E56" s="48"/>
      <c r="F56" s="48"/>
      <c r="G56" s="58" t="str">
        <f>IF(ISNUMBER(MATCH(H56,GIOI_TINH!$B:$B,0)),INDEX(GIOI_TINH!$A:$A,MATCH(H56,GIOI_TINH!$B:$B,0)),"")</f>
        <v/>
      </c>
      <c r="H56" s="15"/>
      <c r="I56" s="15"/>
      <c r="J56" s="58" t="str">
        <f>IF(ISNUMBER(MATCH(K56,QUOC_GIA!$B:$B,0)),INDEX(QUOC_GIA!$A:$A,MATCH(K56,QUOC_GIA!$B:$B,0)),"")</f>
        <v/>
      </c>
      <c r="K56" s="50"/>
      <c r="L56" s="15"/>
      <c r="M56" s="58" t="str">
        <f>IF(ISNUMBER(MATCH(N56,LOAI_THUE!$B:$B,0)),INDEX(LOAI_THUE!$A:$A,MATCH(N56,LOAI_THUE!$B:$B,0)),"")</f>
        <v/>
      </c>
      <c r="N56" s="50"/>
      <c r="O56" s="58" t="str">
        <f>IF(ISNUMBER(MATCH(P56,CHI_TIET_LOAI_KH!$B:$B,0)),INDEX(CHI_TIET_LOAI_KH!$A:$A,MATCH(P56,CHI_TIET_LOAI_KH!$B:$B,0)),"")</f>
        <v/>
      </c>
      <c r="P56" s="50"/>
      <c r="Q56" s="58" t="str">
        <f>IF(ISNUMBER(MATCH(R56,NGHE_NGHIEP!$B:$B,0)),INDEX(NGHE_NGHIEP!$A:$A,MATCH(R56,NGHE_NGHIEP!$B:$B,0)),"")</f>
        <v/>
      </c>
      <c r="R56" s="50"/>
      <c r="S56" s="58" t="str">
        <f>IF(ISNUMBER(MATCH(T56,LOAI_ID!$B:$B,0)),INDEX(LOAI_ID!$A:$A,MATCH(T56,LOAI_ID!$B:$B,0)),"")</f>
        <v/>
      </c>
      <c r="T56" s="16"/>
      <c r="U56" s="48"/>
      <c r="V56" s="48"/>
      <c r="W56" s="17"/>
      <c r="X56" s="17"/>
      <c r="Y56" s="15"/>
      <c r="Z56" s="15"/>
      <c r="AA56" s="59" t="str">
        <f>IFERROR(INDEX(NOI_CAP!$B:$B,MATCH(Z56,NOI_CAP!$A:$A,0)),"")</f>
        <v/>
      </c>
      <c r="AB56" s="58" t="str">
        <f>IF(ISNUMBER(MATCH(AC56,LOAI_DIA_CHI!$B:$B,0)),INDEX(LOAI_DIA_CHI!$A:$A,MATCH(AC56,LOAI_DIA_CHI!$B:$B,0)),"")</f>
        <v/>
      </c>
      <c r="AC56" s="16"/>
      <c r="AD56" s="58" t="str">
        <f>IF(ISNUMBER(MATCH(AE56,QUOC_GIA!$B:$B,0)),INDEX(QUOC_GIA!$A:$A,MATCH(AE56,QUOC_GIA!$B:$B,0)),"")</f>
        <v/>
      </c>
      <c r="AE56" s="16"/>
      <c r="AF56" s="48"/>
      <c r="AG56" s="59" t="str">
        <f>IFERROR(INDEX(TINH_TP!$B:$B,MATCH(AF56,TINH_TP!$A:$A,0)),"")</f>
        <v/>
      </c>
      <c r="AH56" s="50"/>
      <c r="AI56" s="59" t="str">
        <f>IF(OR(AF56="",AH56=""),"",IF(COUNTIFS(PHUONG_XA!$A$2:$A$3323,AH56,PHUONG_XA!$C$2:$C$3323,AF56)=0,"",INDEX(PHUONG_XA!$B$2:$B$3323,SUMPRODUCT((PHUONG_XA!$A$2:$A$3323&amp;""=AH56&amp;"")*(PHUONG_XA!$C$2:$C$3323&amp;""=AF56&amp;"")*(ROW(PHUONG_XA!$A$2:$A$3323)-ROW(PHUONG_XA!$A$2)+1)))))</f>
        <v/>
      </c>
      <c r="AJ56" s="14"/>
      <c r="AK56" s="14"/>
      <c r="AL56" s="57" t="str">
        <f t="shared" si="1"/>
        <v/>
      </c>
      <c r="AM56" s="14"/>
      <c r="AN56" s="15"/>
      <c r="AO56" s="15"/>
      <c r="AP56" s="48"/>
      <c r="AQ56" s="15"/>
      <c r="AR56" s="15"/>
      <c r="AS56" s="15"/>
      <c r="AT56" s="60" t="str">
        <f>IF(ISNUMBER(MATCH(AU56,LOAI_THE!$B:$B,0)),INDEX(LOAI_THE!$A:$A,MATCH(AU56,LOAI_THE!$B:$B,0)),"")</f>
        <v/>
      </c>
      <c r="AU56" s="48"/>
      <c r="AV56" s="15"/>
      <c r="AW56" s="15"/>
      <c r="AX56" s="15"/>
      <c r="AY56" s="48"/>
    </row>
    <row r="57" spans="1:51" x14ac:dyDescent="0.3">
      <c r="A57" s="13" t="s">
        <v>4333</v>
      </c>
      <c r="B57" s="48"/>
      <c r="C57" s="48"/>
      <c r="D57" s="48"/>
      <c r="E57" s="48"/>
      <c r="F57" s="48"/>
      <c r="G57" s="58" t="str">
        <f>IF(ISNUMBER(MATCH(H57,GIOI_TINH!$B:$B,0)),INDEX(GIOI_TINH!$A:$A,MATCH(H57,GIOI_TINH!$B:$B,0)),"")</f>
        <v/>
      </c>
      <c r="H57" s="15"/>
      <c r="I57" s="15"/>
      <c r="J57" s="58" t="str">
        <f>IF(ISNUMBER(MATCH(K57,QUOC_GIA!$B:$B,0)),INDEX(QUOC_GIA!$A:$A,MATCH(K57,QUOC_GIA!$B:$B,0)),"")</f>
        <v/>
      </c>
      <c r="K57" s="50"/>
      <c r="L57" s="15"/>
      <c r="M57" s="58" t="str">
        <f>IF(ISNUMBER(MATCH(N57,LOAI_THUE!$B:$B,0)),INDEX(LOAI_THUE!$A:$A,MATCH(N57,LOAI_THUE!$B:$B,0)),"")</f>
        <v/>
      </c>
      <c r="N57" s="50"/>
      <c r="O57" s="58" t="str">
        <f>IF(ISNUMBER(MATCH(P57,CHI_TIET_LOAI_KH!$B:$B,0)),INDEX(CHI_TIET_LOAI_KH!$A:$A,MATCH(P57,CHI_TIET_LOAI_KH!$B:$B,0)),"")</f>
        <v/>
      </c>
      <c r="P57" s="50"/>
      <c r="Q57" s="58" t="str">
        <f>IF(ISNUMBER(MATCH(R57,NGHE_NGHIEP!$B:$B,0)),INDEX(NGHE_NGHIEP!$A:$A,MATCH(R57,NGHE_NGHIEP!$B:$B,0)),"")</f>
        <v/>
      </c>
      <c r="R57" s="50"/>
      <c r="S57" s="58" t="str">
        <f>IF(ISNUMBER(MATCH(T57,LOAI_ID!$B:$B,0)),INDEX(LOAI_ID!$A:$A,MATCH(T57,LOAI_ID!$B:$B,0)),"")</f>
        <v/>
      </c>
      <c r="T57" s="16"/>
      <c r="U57" s="48"/>
      <c r="V57" s="48"/>
      <c r="W57" s="17"/>
      <c r="X57" s="17"/>
      <c r="Y57" s="15"/>
      <c r="Z57" s="15"/>
      <c r="AA57" s="59" t="str">
        <f>IFERROR(INDEX(NOI_CAP!$B:$B,MATCH(Z57,NOI_CAP!$A:$A,0)),"")</f>
        <v/>
      </c>
      <c r="AB57" s="58" t="str">
        <f>IF(ISNUMBER(MATCH(AC57,LOAI_DIA_CHI!$B:$B,0)),INDEX(LOAI_DIA_CHI!$A:$A,MATCH(AC57,LOAI_DIA_CHI!$B:$B,0)),"")</f>
        <v/>
      </c>
      <c r="AC57" s="16"/>
      <c r="AD57" s="58" t="str">
        <f>IF(ISNUMBER(MATCH(AE57,QUOC_GIA!$B:$B,0)),INDEX(QUOC_GIA!$A:$A,MATCH(AE57,QUOC_GIA!$B:$B,0)),"")</f>
        <v/>
      </c>
      <c r="AE57" s="16"/>
      <c r="AF57" s="48"/>
      <c r="AG57" s="59" t="str">
        <f>IFERROR(INDEX(TINH_TP!$B:$B,MATCH(AF57,TINH_TP!$A:$A,0)),"")</f>
        <v/>
      </c>
      <c r="AH57" s="50"/>
      <c r="AI57" s="59" t="str">
        <f>IF(OR(AF57="",AH57=""),"",IF(COUNTIFS(PHUONG_XA!$A$2:$A$3323,AH57,PHUONG_XA!$C$2:$C$3323,AF57)=0,"",INDEX(PHUONG_XA!$B$2:$B$3323,SUMPRODUCT((PHUONG_XA!$A$2:$A$3323&amp;""=AH57&amp;"")*(PHUONG_XA!$C$2:$C$3323&amp;""=AF57&amp;"")*(ROW(PHUONG_XA!$A$2:$A$3323)-ROW(PHUONG_XA!$A$2)+1)))))</f>
        <v/>
      </c>
      <c r="AJ57" s="14"/>
      <c r="AK57" s="14"/>
      <c r="AL57" s="57" t="str">
        <f t="shared" si="1"/>
        <v/>
      </c>
      <c r="AM57" s="14"/>
      <c r="AN57" s="15"/>
      <c r="AO57" s="15"/>
      <c r="AP57" s="48"/>
      <c r="AQ57" s="15"/>
      <c r="AR57" s="15"/>
      <c r="AS57" s="15"/>
      <c r="AT57" s="60" t="str">
        <f>IF(ISNUMBER(MATCH(AU57,LOAI_THE!$B:$B,0)),INDEX(LOAI_THE!$A:$A,MATCH(AU57,LOAI_THE!$B:$B,0)),"")</f>
        <v/>
      </c>
      <c r="AU57" s="48"/>
      <c r="AV57" s="15"/>
      <c r="AW57" s="15"/>
      <c r="AX57" s="15"/>
      <c r="AY57" s="48"/>
    </row>
    <row r="58" spans="1:51" x14ac:dyDescent="0.3">
      <c r="A58" s="13" t="s">
        <v>4334</v>
      </c>
      <c r="B58" s="48"/>
      <c r="C58" s="48"/>
      <c r="D58" s="48"/>
      <c r="E58" s="48"/>
      <c r="F58" s="48"/>
      <c r="G58" s="58" t="str">
        <f>IF(ISNUMBER(MATCH(H58,GIOI_TINH!$B:$B,0)),INDEX(GIOI_TINH!$A:$A,MATCH(H58,GIOI_TINH!$B:$B,0)),"")</f>
        <v/>
      </c>
      <c r="H58" s="15"/>
      <c r="I58" s="15"/>
      <c r="J58" s="58" t="str">
        <f>IF(ISNUMBER(MATCH(K58,QUOC_GIA!$B:$B,0)),INDEX(QUOC_GIA!$A:$A,MATCH(K58,QUOC_GIA!$B:$B,0)),"")</f>
        <v/>
      </c>
      <c r="K58" s="50"/>
      <c r="L58" s="15"/>
      <c r="M58" s="58" t="str">
        <f>IF(ISNUMBER(MATCH(N58,LOAI_THUE!$B:$B,0)),INDEX(LOAI_THUE!$A:$A,MATCH(N58,LOAI_THUE!$B:$B,0)),"")</f>
        <v/>
      </c>
      <c r="N58" s="50"/>
      <c r="O58" s="58" t="str">
        <f>IF(ISNUMBER(MATCH(P58,CHI_TIET_LOAI_KH!$B:$B,0)),INDEX(CHI_TIET_LOAI_KH!$A:$A,MATCH(P58,CHI_TIET_LOAI_KH!$B:$B,0)),"")</f>
        <v/>
      </c>
      <c r="P58" s="50"/>
      <c r="Q58" s="58" t="str">
        <f>IF(ISNUMBER(MATCH(R58,NGHE_NGHIEP!$B:$B,0)),INDEX(NGHE_NGHIEP!$A:$A,MATCH(R58,NGHE_NGHIEP!$B:$B,0)),"")</f>
        <v/>
      </c>
      <c r="R58" s="50"/>
      <c r="S58" s="58" t="str">
        <f>IF(ISNUMBER(MATCH(T58,LOAI_ID!$B:$B,0)),INDEX(LOAI_ID!$A:$A,MATCH(T58,LOAI_ID!$B:$B,0)),"")</f>
        <v/>
      </c>
      <c r="T58" s="16"/>
      <c r="U58" s="48"/>
      <c r="V58" s="48"/>
      <c r="W58" s="17"/>
      <c r="X58" s="17"/>
      <c r="Y58" s="15"/>
      <c r="Z58" s="15"/>
      <c r="AA58" s="59" t="str">
        <f>IFERROR(INDEX(NOI_CAP!$B:$B,MATCH(Z58,NOI_CAP!$A:$A,0)),"")</f>
        <v/>
      </c>
      <c r="AB58" s="58" t="str">
        <f>IF(ISNUMBER(MATCH(AC58,LOAI_DIA_CHI!$B:$B,0)),INDEX(LOAI_DIA_CHI!$A:$A,MATCH(AC58,LOAI_DIA_CHI!$B:$B,0)),"")</f>
        <v/>
      </c>
      <c r="AC58" s="16"/>
      <c r="AD58" s="58" t="str">
        <f>IF(ISNUMBER(MATCH(AE58,QUOC_GIA!$B:$B,0)),INDEX(QUOC_GIA!$A:$A,MATCH(AE58,QUOC_GIA!$B:$B,0)),"")</f>
        <v/>
      </c>
      <c r="AE58" s="16"/>
      <c r="AF58" s="48"/>
      <c r="AG58" s="59" t="str">
        <f>IFERROR(INDEX(TINH_TP!$B:$B,MATCH(AF58,TINH_TP!$A:$A,0)),"")</f>
        <v/>
      </c>
      <c r="AH58" s="50"/>
      <c r="AI58" s="59" t="str">
        <f>IF(OR(AF58="",AH58=""),"",IF(COUNTIFS(PHUONG_XA!$A$2:$A$3323,AH58,PHUONG_XA!$C$2:$C$3323,AF58)=0,"",INDEX(PHUONG_XA!$B$2:$B$3323,SUMPRODUCT((PHUONG_XA!$A$2:$A$3323&amp;""=AH58&amp;"")*(PHUONG_XA!$C$2:$C$3323&amp;""=AF58&amp;"")*(ROW(PHUONG_XA!$A$2:$A$3323)-ROW(PHUONG_XA!$A$2)+1)))))</f>
        <v/>
      </c>
      <c r="AJ58" s="14"/>
      <c r="AK58" s="14"/>
      <c r="AL58" s="57" t="str">
        <f t="shared" si="1"/>
        <v/>
      </c>
      <c r="AM58" s="14"/>
      <c r="AN58" s="15"/>
      <c r="AO58" s="15"/>
      <c r="AP58" s="48"/>
      <c r="AQ58" s="15"/>
      <c r="AR58" s="15"/>
      <c r="AS58" s="15"/>
      <c r="AT58" s="60" t="str">
        <f>IF(ISNUMBER(MATCH(AU58,LOAI_THE!$B:$B,0)),INDEX(LOAI_THE!$A:$A,MATCH(AU58,LOAI_THE!$B:$B,0)),"")</f>
        <v/>
      </c>
      <c r="AU58" s="48"/>
      <c r="AV58" s="15"/>
      <c r="AW58" s="15"/>
      <c r="AX58" s="15"/>
      <c r="AY58" s="48"/>
    </row>
    <row r="59" spans="1:51" x14ac:dyDescent="0.3">
      <c r="A59" s="13" t="s">
        <v>4335</v>
      </c>
      <c r="B59" s="48"/>
      <c r="C59" s="48"/>
      <c r="D59" s="48"/>
      <c r="E59" s="48"/>
      <c r="F59" s="48"/>
      <c r="G59" s="58" t="str">
        <f>IF(ISNUMBER(MATCH(H59,GIOI_TINH!$B:$B,0)),INDEX(GIOI_TINH!$A:$A,MATCH(H59,GIOI_TINH!$B:$B,0)),"")</f>
        <v/>
      </c>
      <c r="H59" s="15"/>
      <c r="I59" s="15"/>
      <c r="J59" s="58" t="str">
        <f>IF(ISNUMBER(MATCH(K59,QUOC_GIA!$B:$B,0)),INDEX(QUOC_GIA!$A:$A,MATCH(K59,QUOC_GIA!$B:$B,0)),"")</f>
        <v/>
      </c>
      <c r="K59" s="50"/>
      <c r="L59" s="15"/>
      <c r="M59" s="58" t="str">
        <f>IF(ISNUMBER(MATCH(N59,LOAI_THUE!$B:$B,0)),INDEX(LOAI_THUE!$A:$A,MATCH(N59,LOAI_THUE!$B:$B,0)),"")</f>
        <v/>
      </c>
      <c r="N59" s="50"/>
      <c r="O59" s="58" t="str">
        <f>IF(ISNUMBER(MATCH(P59,CHI_TIET_LOAI_KH!$B:$B,0)),INDEX(CHI_TIET_LOAI_KH!$A:$A,MATCH(P59,CHI_TIET_LOAI_KH!$B:$B,0)),"")</f>
        <v/>
      </c>
      <c r="P59" s="50"/>
      <c r="Q59" s="58" t="str">
        <f>IF(ISNUMBER(MATCH(R59,NGHE_NGHIEP!$B:$B,0)),INDEX(NGHE_NGHIEP!$A:$A,MATCH(R59,NGHE_NGHIEP!$B:$B,0)),"")</f>
        <v/>
      </c>
      <c r="R59" s="50"/>
      <c r="S59" s="58" t="str">
        <f>IF(ISNUMBER(MATCH(T59,LOAI_ID!$B:$B,0)),INDEX(LOAI_ID!$A:$A,MATCH(T59,LOAI_ID!$B:$B,0)),"")</f>
        <v/>
      </c>
      <c r="T59" s="16"/>
      <c r="U59" s="48"/>
      <c r="V59" s="48"/>
      <c r="W59" s="17"/>
      <c r="X59" s="17"/>
      <c r="Y59" s="15"/>
      <c r="Z59" s="15"/>
      <c r="AA59" s="59" t="str">
        <f>IFERROR(INDEX(NOI_CAP!$B:$B,MATCH(Z59,NOI_CAP!$A:$A,0)),"")</f>
        <v/>
      </c>
      <c r="AB59" s="58" t="str">
        <f>IF(ISNUMBER(MATCH(AC59,LOAI_DIA_CHI!$B:$B,0)),INDEX(LOAI_DIA_CHI!$A:$A,MATCH(AC59,LOAI_DIA_CHI!$B:$B,0)),"")</f>
        <v/>
      </c>
      <c r="AC59" s="16"/>
      <c r="AD59" s="58" t="str">
        <f>IF(ISNUMBER(MATCH(AE59,QUOC_GIA!$B:$B,0)),INDEX(QUOC_GIA!$A:$A,MATCH(AE59,QUOC_GIA!$B:$B,0)),"")</f>
        <v/>
      </c>
      <c r="AE59" s="16"/>
      <c r="AF59" s="48"/>
      <c r="AG59" s="59" t="str">
        <f>IFERROR(INDEX(TINH_TP!$B:$B,MATCH(AF59,TINH_TP!$A:$A,0)),"")</f>
        <v/>
      </c>
      <c r="AH59" s="50"/>
      <c r="AI59" s="59" t="str">
        <f>IF(OR(AF59="",AH59=""),"",IF(COUNTIFS(PHUONG_XA!$A$2:$A$3323,AH59,PHUONG_XA!$C$2:$C$3323,AF59)=0,"",INDEX(PHUONG_XA!$B$2:$B$3323,SUMPRODUCT((PHUONG_XA!$A$2:$A$3323&amp;""=AH59&amp;"")*(PHUONG_XA!$C$2:$C$3323&amp;""=AF59&amp;"")*(ROW(PHUONG_XA!$A$2:$A$3323)-ROW(PHUONG_XA!$A$2)+1)))))</f>
        <v/>
      </c>
      <c r="AJ59" s="14"/>
      <c r="AK59" s="14"/>
      <c r="AL59" s="57" t="str">
        <f t="shared" si="1"/>
        <v/>
      </c>
      <c r="AM59" s="14"/>
      <c r="AN59" s="15"/>
      <c r="AO59" s="15"/>
      <c r="AP59" s="48"/>
      <c r="AQ59" s="15"/>
      <c r="AR59" s="15"/>
      <c r="AS59" s="15"/>
      <c r="AT59" s="60" t="str">
        <f>IF(ISNUMBER(MATCH(AU59,LOAI_THE!$B:$B,0)),INDEX(LOAI_THE!$A:$A,MATCH(AU59,LOAI_THE!$B:$B,0)),"")</f>
        <v/>
      </c>
      <c r="AU59" s="48"/>
      <c r="AV59" s="15"/>
      <c r="AW59" s="15"/>
      <c r="AX59" s="15"/>
      <c r="AY59" s="48"/>
    </row>
    <row r="60" spans="1:51" x14ac:dyDescent="0.3">
      <c r="A60" s="13" t="s">
        <v>4336</v>
      </c>
      <c r="B60" s="48"/>
      <c r="C60" s="48"/>
      <c r="D60" s="48"/>
      <c r="E60" s="48"/>
      <c r="F60" s="48"/>
      <c r="G60" s="58" t="str">
        <f>IF(ISNUMBER(MATCH(H60,GIOI_TINH!$B:$B,0)),INDEX(GIOI_TINH!$A:$A,MATCH(H60,GIOI_TINH!$B:$B,0)),"")</f>
        <v/>
      </c>
      <c r="H60" s="15"/>
      <c r="I60" s="15"/>
      <c r="J60" s="58" t="str">
        <f>IF(ISNUMBER(MATCH(K60,QUOC_GIA!$B:$B,0)),INDEX(QUOC_GIA!$A:$A,MATCH(K60,QUOC_GIA!$B:$B,0)),"")</f>
        <v/>
      </c>
      <c r="K60" s="50"/>
      <c r="L60" s="15"/>
      <c r="M60" s="58" t="str">
        <f>IF(ISNUMBER(MATCH(N60,LOAI_THUE!$B:$B,0)),INDEX(LOAI_THUE!$A:$A,MATCH(N60,LOAI_THUE!$B:$B,0)),"")</f>
        <v/>
      </c>
      <c r="N60" s="50"/>
      <c r="O60" s="58" t="str">
        <f>IF(ISNUMBER(MATCH(P60,CHI_TIET_LOAI_KH!$B:$B,0)),INDEX(CHI_TIET_LOAI_KH!$A:$A,MATCH(P60,CHI_TIET_LOAI_KH!$B:$B,0)),"")</f>
        <v/>
      </c>
      <c r="P60" s="50"/>
      <c r="Q60" s="58" t="str">
        <f>IF(ISNUMBER(MATCH(R60,NGHE_NGHIEP!$B:$B,0)),INDEX(NGHE_NGHIEP!$A:$A,MATCH(R60,NGHE_NGHIEP!$B:$B,0)),"")</f>
        <v/>
      </c>
      <c r="R60" s="50"/>
      <c r="S60" s="58" t="str">
        <f>IF(ISNUMBER(MATCH(T60,LOAI_ID!$B:$B,0)),INDEX(LOAI_ID!$A:$A,MATCH(T60,LOAI_ID!$B:$B,0)),"")</f>
        <v/>
      </c>
      <c r="T60" s="16"/>
      <c r="U60" s="48"/>
      <c r="V60" s="48"/>
      <c r="W60" s="17"/>
      <c r="X60" s="17"/>
      <c r="Y60" s="15"/>
      <c r="Z60" s="15"/>
      <c r="AA60" s="59" t="str">
        <f>IFERROR(INDEX(NOI_CAP!$B:$B,MATCH(Z60,NOI_CAP!$A:$A,0)),"")</f>
        <v/>
      </c>
      <c r="AB60" s="58" t="str">
        <f>IF(ISNUMBER(MATCH(AC60,LOAI_DIA_CHI!$B:$B,0)),INDEX(LOAI_DIA_CHI!$A:$A,MATCH(AC60,LOAI_DIA_CHI!$B:$B,0)),"")</f>
        <v/>
      </c>
      <c r="AC60" s="16"/>
      <c r="AD60" s="58" t="str">
        <f>IF(ISNUMBER(MATCH(AE60,QUOC_GIA!$B:$B,0)),INDEX(QUOC_GIA!$A:$A,MATCH(AE60,QUOC_GIA!$B:$B,0)),"")</f>
        <v/>
      </c>
      <c r="AE60" s="16"/>
      <c r="AF60" s="48"/>
      <c r="AG60" s="59" t="str">
        <f>IFERROR(INDEX(TINH_TP!$B:$B,MATCH(AF60,TINH_TP!$A:$A,0)),"")</f>
        <v/>
      </c>
      <c r="AH60" s="50"/>
      <c r="AI60" s="59" t="str">
        <f>IF(OR(AF60="",AH60=""),"",IF(COUNTIFS(PHUONG_XA!$A$2:$A$3323,AH60,PHUONG_XA!$C$2:$C$3323,AF60)=0,"",INDEX(PHUONG_XA!$B$2:$B$3323,SUMPRODUCT((PHUONG_XA!$A$2:$A$3323&amp;""=AH60&amp;"")*(PHUONG_XA!$C$2:$C$3323&amp;""=AF60&amp;"")*(ROW(PHUONG_XA!$A$2:$A$3323)-ROW(PHUONG_XA!$A$2)+1)))))</f>
        <v/>
      </c>
      <c r="AJ60" s="14"/>
      <c r="AK60" s="14"/>
      <c r="AL60" s="57" t="str">
        <f t="shared" si="1"/>
        <v/>
      </c>
      <c r="AM60" s="14"/>
      <c r="AN60" s="15"/>
      <c r="AO60" s="15"/>
      <c r="AP60" s="48"/>
      <c r="AQ60" s="15"/>
      <c r="AR60" s="15"/>
      <c r="AS60" s="15"/>
      <c r="AT60" s="60" t="str">
        <f>IF(ISNUMBER(MATCH(AU60,LOAI_THE!$B:$B,0)),INDEX(LOAI_THE!$A:$A,MATCH(AU60,LOAI_THE!$B:$B,0)),"")</f>
        <v/>
      </c>
      <c r="AU60" s="48"/>
      <c r="AV60" s="15"/>
      <c r="AW60" s="15"/>
      <c r="AX60" s="15"/>
      <c r="AY60" s="48"/>
    </row>
    <row r="61" spans="1:51" x14ac:dyDescent="0.3">
      <c r="A61" s="13" t="s">
        <v>4337</v>
      </c>
      <c r="B61" s="48"/>
      <c r="C61" s="48"/>
      <c r="D61" s="48"/>
      <c r="E61" s="48"/>
      <c r="F61" s="48"/>
      <c r="G61" s="58" t="str">
        <f>IF(ISNUMBER(MATCH(H61,GIOI_TINH!$B:$B,0)),INDEX(GIOI_TINH!$A:$A,MATCH(H61,GIOI_TINH!$B:$B,0)),"")</f>
        <v/>
      </c>
      <c r="H61" s="15"/>
      <c r="I61" s="15"/>
      <c r="J61" s="58" t="str">
        <f>IF(ISNUMBER(MATCH(K61,QUOC_GIA!$B:$B,0)),INDEX(QUOC_GIA!$A:$A,MATCH(K61,QUOC_GIA!$B:$B,0)),"")</f>
        <v/>
      </c>
      <c r="K61" s="50"/>
      <c r="L61" s="15"/>
      <c r="M61" s="58" t="str">
        <f>IF(ISNUMBER(MATCH(N61,LOAI_THUE!$B:$B,0)),INDEX(LOAI_THUE!$A:$A,MATCH(N61,LOAI_THUE!$B:$B,0)),"")</f>
        <v/>
      </c>
      <c r="N61" s="50"/>
      <c r="O61" s="58" t="str">
        <f>IF(ISNUMBER(MATCH(P61,CHI_TIET_LOAI_KH!$B:$B,0)),INDEX(CHI_TIET_LOAI_KH!$A:$A,MATCH(P61,CHI_TIET_LOAI_KH!$B:$B,0)),"")</f>
        <v/>
      </c>
      <c r="P61" s="50"/>
      <c r="Q61" s="58" t="str">
        <f>IF(ISNUMBER(MATCH(R61,NGHE_NGHIEP!$B:$B,0)),INDEX(NGHE_NGHIEP!$A:$A,MATCH(R61,NGHE_NGHIEP!$B:$B,0)),"")</f>
        <v/>
      </c>
      <c r="R61" s="50"/>
      <c r="S61" s="58" t="str">
        <f>IF(ISNUMBER(MATCH(T61,LOAI_ID!$B:$B,0)),INDEX(LOAI_ID!$A:$A,MATCH(T61,LOAI_ID!$B:$B,0)),"")</f>
        <v/>
      </c>
      <c r="T61" s="16"/>
      <c r="U61" s="48"/>
      <c r="V61" s="48"/>
      <c r="W61" s="17"/>
      <c r="X61" s="17"/>
      <c r="Y61" s="15"/>
      <c r="Z61" s="15"/>
      <c r="AA61" s="59" t="str">
        <f>IFERROR(INDEX(NOI_CAP!$B:$B,MATCH(Z61,NOI_CAP!$A:$A,0)),"")</f>
        <v/>
      </c>
      <c r="AB61" s="58" t="str">
        <f>IF(ISNUMBER(MATCH(AC61,LOAI_DIA_CHI!$B:$B,0)),INDEX(LOAI_DIA_CHI!$A:$A,MATCH(AC61,LOAI_DIA_CHI!$B:$B,0)),"")</f>
        <v/>
      </c>
      <c r="AC61" s="16"/>
      <c r="AD61" s="58" t="str">
        <f>IF(ISNUMBER(MATCH(AE61,QUOC_GIA!$B:$B,0)),INDEX(QUOC_GIA!$A:$A,MATCH(AE61,QUOC_GIA!$B:$B,0)),"")</f>
        <v/>
      </c>
      <c r="AE61" s="16"/>
      <c r="AF61" s="48"/>
      <c r="AG61" s="59" t="str">
        <f>IFERROR(INDEX(TINH_TP!$B:$B,MATCH(AF61,TINH_TP!$A:$A,0)),"")</f>
        <v/>
      </c>
      <c r="AH61" s="50"/>
      <c r="AI61" s="59" t="str">
        <f>IF(OR(AF61="",AH61=""),"",IF(COUNTIFS(PHUONG_XA!$A$2:$A$3323,AH61,PHUONG_XA!$C$2:$C$3323,AF61)=0,"",INDEX(PHUONG_XA!$B$2:$B$3323,SUMPRODUCT((PHUONG_XA!$A$2:$A$3323&amp;""=AH61&amp;"")*(PHUONG_XA!$C$2:$C$3323&amp;""=AF61&amp;"")*(ROW(PHUONG_XA!$A$2:$A$3323)-ROW(PHUONG_XA!$A$2)+1)))))</f>
        <v/>
      </c>
      <c r="AJ61" s="14"/>
      <c r="AK61" s="14"/>
      <c r="AL61" s="57" t="str">
        <f t="shared" si="1"/>
        <v/>
      </c>
      <c r="AM61" s="14"/>
      <c r="AN61" s="15"/>
      <c r="AO61" s="15"/>
      <c r="AP61" s="48"/>
      <c r="AQ61" s="15"/>
      <c r="AR61" s="15"/>
      <c r="AS61" s="15"/>
      <c r="AT61" s="60" t="str">
        <f>IF(ISNUMBER(MATCH(AU61,LOAI_THE!$B:$B,0)),INDEX(LOAI_THE!$A:$A,MATCH(AU61,LOAI_THE!$B:$B,0)),"")</f>
        <v/>
      </c>
      <c r="AU61" s="48"/>
      <c r="AV61" s="15"/>
      <c r="AW61" s="15"/>
      <c r="AX61" s="15"/>
      <c r="AY61" s="48"/>
    </row>
    <row r="62" spans="1:51" x14ac:dyDescent="0.3">
      <c r="A62" s="13" t="s">
        <v>4338</v>
      </c>
      <c r="B62" s="48"/>
      <c r="C62" s="48"/>
      <c r="D62" s="48"/>
      <c r="E62" s="48"/>
      <c r="F62" s="48"/>
      <c r="G62" s="58" t="str">
        <f>IF(ISNUMBER(MATCH(H62,GIOI_TINH!$B:$B,0)),INDEX(GIOI_TINH!$A:$A,MATCH(H62,GIOI_TINH!$B:$B,0)),"")</f>
        <v/>
      </c>
      <c r="H62" s="15"/>
      <c r="I62" s="15"/>
      <c r="J62" s="58" t="str">
        <f>IF(ISNUMBER(MATCH(K62,QUOC_GIA!$B:$B,0)),INDEX(QUOC_GIA!$A:$A,MATCH(K62,QUOC_GIA!$B:$B,0)),"")</f>
        <v/>
      </c>
      <c r="K62" s="50"/>
      <c r="L62" s="15"/>
      <c r="M62" s="58" t="str">
        <f>IF(ISNUMBER(MATCH(N62,LOAI_THUE!$B:$B,0)),INDEX(LOAI_THUE!$A:$A,MATCH(N62,LOAI_THUE!$B:$B,0)),"")</f>
        <v/>
      </c>
      <c r="N62" s="50"/>
      <c r="O62" s="58" t="str">
        <f>IF(ISNUMBER(MATCH(P62,CHI_TIET_LOAI_KH!$B:$B,0)),INDEX(CHI_TIET_LOAI_KH!$A:$A,MATCH(P62,CHI_TIET_LOAI_KH!$B:$B,0)),"")</f>
        <v/>
      </c>
      <c r="P62" s="50"/>
      <c r="Q62" s="58" t="str">
        <f>IF(ISNUMBER(MATCH(R62,NGHE_NGHIEP!$B:$B,0)),INDEX(NGHE_NGHIEP!$A:$A,MATCH(R62,NGHE_NGHIEP!$B:$B,0)),"")</f>
        <v/>
      </c>
      <c r="R62" s="50"/>
      <c r="S62" s="58" t="str">
        <f>IF(ISNUMBER(MATCH(T62,LOAI_ID!$B:$B,0)),INDEX(LOAI_ID!$A:$A,MATCH(T62,LOAI_ID!$B:$B,0)),"")</f>
        <v/>
      </c>
      <c r="T62" s="16"/>
      <c r="U62" s="48"/>
      <c r="V62" s="48"/>
      <c r="W62" s="17"/>
      <c r="X62" s="17"/>
      <c r="Y62" s="15"/>
      <c r="Z62" s="15"/>
      <c r="AA62" s="59" t="str">
        <f>IFERROR(INDEX(NOI_CAP!$B:$B,MATCH(Z62,NOI_CAP!$A:$A,0)),"")</f>
        <v/>
      </c>
      <c r="AB62" s="58" t="str">
        <f>IF(ISNUMBER(MATCH(AC62,LOAI_DIA_CHI!$B:$B,0)),INDEX(LOAI_DIA_CHI!$A:$A,MATCH(AC62,LOAI_DIA_CHI!$B:$B,0)),"")</f>
        <v/>
      </c>
      <c r="AC62" s="16"/>
      <c r="AD62" s="58" t="str">
        <f>IF(ISNUMBER(MATCH(AE62,QUOC_GIA!$B:$B,0)),INDEX(QUOC_GIA!$A:$A,MATCH(AE62,QUOC_GIA!$B:$B,0)),"")</f>
        <v/>
      </c>
      <c r="AE62" s="16"/>
      <c r="AF62" s="48"/>
      <c r="AG62" s="59" t="str">
        <f>IFERROR(INDEX(TINH_TP!$B:$B,MATCH(AF62,TINH_TP!$A:$A,0)),"")</f>
        <v/>
      </c>
      <c r="AH62" s="50"/>
      <c r="AI62" s="59" t="str">
        <f>IF(OR(AF62="",AH62=""),"",IF(COUNTIFS(PHUONG_XA!$A$2:$A$3323,AH62,PHUONG_XA!$C$2:$C$3323,AF62)=0,"",INDEX(PHUONG_XA!$B$2:$B$3323,SUMPRODUCT((PHUONG_XA!$A$2:$A$3323&amp;""=AH62&amp;"")*(PHUONG_XA!$C$2:$C$3323&amp;""=AF62&amp;"")*(ROW(PHUONG_XA!$A$2:$A$3323)-ROW(PHUONG_XA!$A$2)+1)))))</f>
        <v/>
      </c>
      <c r="AJ62" s="14"/>
      <c r="AK62" s="14"/>
      <c r="AL62" s="57" t="str">
        <f t="shared" si="1"/>
        <v/>
      </c>
      <c r="AM62" s="14"/>
      <c r="AN62" s="15"/>
      <c r="AO62" s="15"/>
      <c r="AP62" s="48"/>
      <c r="AQ62" s="15"/>
      <c r="AR62" s="15"/>
      <c r="AS62" s="15"/>
      <c r="AT62" s="60" t="str">
        <f>IF(ISNUMBER(MATCH(AU62,LOAI_THE!$B:$B,0)),INDEX(LOAI_THE!$A:$A,MATCH(AU62,LOAI_THE!$B:$B,0)),"")</f>
        <v/>
      </c>
      <c r="AU62" s="48"/>
      <c r="AV62" s="15"/>
      <c r="AW62" s="15"/>
      <c r="AX62" s="15"/>
      <c r="AY62" s="48"/>
    </row>
    <row r="63" spans="1:51" x14ac:dyDescent="0.3">
      <c r="A63" s="13" t="s">
        <v>4339</v>
      </c>
      <c r="B63" s="48"/>
      <c r="C63" s="48"/>
      <c r="D63" s="48"/>
      <c r="E63" s="48"/>
      <c r="F63" s="48"/>
      <c r="G63" s="58" t="str">
        <f>IF(ISNUMBER(MATCH(H63,GIOI_TINH!$B:$B,0)),INDEX(GIOI_TINH!$A:$A,MATCH(H63,GIOI_TINH!$B:$B,0)),"")</f>
        <v/>
      </c>
      <c r="H63" s="15"/>
      <c r="I63" s="15"/>
      <c r="J63" s="58" t="str">
        <f>IF(ISNUMBER(MATCH(K63,QUOC_GIA!$B:$B,0)),INDEX(QUOC_GIA!$A:$A,MATCH(K63,QUOC_GIA!$B:$B,0)),"")</f>
        <v/>
      </c>
      <c r="K63" s="50"/>
      <c r="L63" s="15"/>
      <c r="M63" s="58" t="str">
        <f>IF(ISNUMBER(MATCH(N63,LOAI_THUE!$B:$B,0)),INDEX(LOAI_THUE!$A:$A,MATCH(N63,LOAI_THUE!$B:$B,0)),"")</f>
        <v/>
      </c>
      <c r="N63" s="50"/>
      <c r="O63" s="58" t="str">
        <f>IF(ISNUMBER(MATCH(P63,CHI_TIET_LOAI_KH!$B:$B,0)),INDEX(CHI_TIET_LOAI_KH!$A:$A,MATCH(P63,CHI_TIET_LOAI_KH!$B:$B,0)),"")</f>
        <v/>
      </c>
      <c r="P63" s="50"/>
      <c r="Q63" s="58" t="str">
        <f>IF(ISNUMBER(MATCH(R63,NGHE_NGHIEP!$B:$B,0)),INDEX(NGHE_NGHIEP!$A:$A,MATCH(R63,NGHE_NGHIEP!$B:$B,0)),"")</f>
        <v/>
      </c>
      <c r="R63" s="50"/>
      <c r="S63" s="58" t="str">
        <f>IF(ISNUMBER(MATCH(T63,LOAI_ID!$B:$B,0)),INDEX(LOAI_ID!$A:$A,MATCH(T63,LOAI_ID!$B:$B,0)),"")</f>
        <v/>
      </c>
      <c r="T63" s="16"/>
      <c r="U63" s="48"/>
      <c r="V63" s="48"/>
      <c r="W63" s="17"/>
      <c r="X63" s="17"/>
      <c r="Y63" s="15"/>
      <c r="Z63" s="15"/>
      <c r="AA63" s="59" t="str">
        <f>IFERROR(INDEX(NOI_CAP!$B:$B,MATCH(Z63,NOI_CAP!$A:$A,0)),"")</f>
        <v/>
      </c>
      <c r="AB63" s="58" t="str">
        <f>IF(ISNUMBER(MATCH(AC63,LOAI_DIA_CHI!$B:$B,0)),INDEX(LOAI_DIA_CHI!$A:$A,MATCH(AC63,LOAI_DIA_CHI!$B:$B,0)),"")</f>
        <v/>
      </c>
      <c r="AC63" s="16"/>
      <c r="AD63" s="58" t="str">
        <f>IF(ISNUMBER(MATCH(AE63,QUOC_GIA!$B:$B,0)),INDEX(QUOC_GIA!$A:$A,MATCH(AE63,QUOC_GIA!$B:$B,0)),"")</f>
        <v/>
      </c>
      <c r="AE63" s="16"/>
      <c r="AF63" s="48"/>
      <c r="AG63" s="59" t="str">
        <f>IFERROR(INDEX(TINH_TP!$B:$B,MATCH(AF63,TINH_TP!$A:$A,0)),"")</f>
        <v/>
      </c>
      <c r="AH63" s="50"/>
      <c r="AI63" s="59" t="str">
        <f>IF(OR(AF63="",AH63=""),"",IF(COUNTIFS(PHUONG_XA!$A$2:$A$3323,AH63,PHUONG_XA!$C$2:$C$3323,AF63)=0,"",INDEX(PHUONG_XA!$B$2:$B$3323,SUMPRODUCT((PHUONG_XA!$A$2:$A$3323&amp;""=AH63&amp;"")*(PHUONG_XA!$C$2:$C$3323&amp;""=AF63&amp;"")*(ROW(PHUONG_XA!$A$2:$A$3323)-ROW(PHUONG_XA!$A$2)+1)))))</f>
        <v/>
      </c>
      <c r="AJ63" s="14"/>
      <c r="AK63" s="14"/>
      <c r="AL63" s="57" t="str">
        <f t="shared" si="1"/>
        <v/>
      </c>
      <c r="AM63" s="14"/>
      <c r="AN63" s="15"/>
      <c r="AO63" s="15"/>
      <c r="AP63" s="48"/>
      <c r="AQ63" s="15"/>
      <c r="AR63" s="15"/>
      <c r="AS63" s="15"/>
      <c r="AT63" s="60" t="str">
        <f>IF(ISNUMBER(MATCH(AU63,LOAI_THE!$B:$B,0)),INDEX(LOAI_THE!$A:$A,MATCH(AU63,LOAI_THE!$B:$B,0)),"")</f>
        <v/>
      </c>
      <c r="AU63" s="48"/>
      <c r="AV63" s="15"/>
      <c r="AW63" s="15"/>
      <c r="AX63" s="15"/>
      <c r="AY63" s="48"/>
    </row>
    <row r="64" spans="1:51" x14ac:dyDescent="0.3">
      <c r="A64" s="13" t="s">
        <v>4340</v>
      </c>
      <c r="B64" s="48"/>
      <c r="C64" s="48"/>
      <c r="D64" s="48"/>
      <c r="E64" s="48"/>
      <c r="F64" s="48"/>
      <c r="G64" s="58" t="str">
        <f>IF(ISNUMBER(MATCH(H64,GIOI_TINH!$B:$B,0)),INDEX(GIOI_TINH!$A:$A,MATCH(H64,GIOI_TINH!$B:$B,0)),"")</f>
        <v/>
      </c>
      <c r="H64" s="15"/>
      <c r="I64" s="15"/>
      <c r="J64" s="58" t="str">
        <f>IF(ISNUMBER(MATCH(K64,QUOC_GIA!$B:$B,0)),INDEX(QUOC_GIA!$A:$A,MATCH(K64,QUOC_GIA!$B:$B,0)),"")</f>
        <v/>
      </c>
      <c r="K64" s="50"/>
      <c r="L64" s="15"/>
      <c r="M64" s="58" t="str">
        <f>IF(ISNUMBER(MATCH(N64,LOAI_THUE!$B:$B,0)),INDEX(LOAI_THUE!$A:$A,MATCH(N64,LOAI_THUE!$B:$B,0)),"")</f>
        <v/>
      </c>
      <c r="N64" s="50"/>
      <c r="O64" s="58" t="str">
        <f>IF(ISNUMBER(MATCH(P64,CHI_TIET_LOAI_KH!$B:$B,0)),INDEX(CHI_TIET_LOAI_KH!$A:$A,MATCH(P64,CHI_TIET_LOAI_KH!$B:$B,0)),"")</f>
        <v/>
      </c>
      <c r="P64" s="50"/>
      <c r="Q64" s="58" t="str">
        <f>IF(ISNUMBER(MATCH(R64,NGHE_NGHIEP!$B:$B,0)),INDEX(NGHE_NGHIEP!$A:$A,MATCH(R64,NGHE_NGHIEP!$B:$B,0)),"")</f>
        <v/>
      </c>
      <c r="R64" s="50"/>
      <c r="S64" s="58" t="str">
        <f>IF(ISNUMBER(MATCH(T64,LOAI_ID!$B:$B,0)),INDEX(LOAI_ID!$A:$A,MATCH(T64,LOAI_ID!$B:$B,0)),"")</f>
        <v/>
      </c>
      <c r="T64" s="16"/>
      <c r="U64" s="48"/>
      <c r="V64" s="48"/>
      <c r="W64" s="17"/>
      <c r="X64" s="17"/>
      <c r="Y64" s="15"/>
      <c r="Z64" s="15"/>
      <c r="AA64" s="59" t="str">
        <f>IFERROR(INDEX(NOI_CAP!$B:$B,MATCH(Z64,NOI_CAP!$A:$A,0)),"")</f>
        <v/>
      </c>
      <c r="AB64" s="58" t="str">
        <f>IF(ISNUMBER(MATCH(AC64,LOAI_DIA_CHI!$B:$B,0)),INDEX(LOAI_DIA_CHI!$A:$A,MATCH(AC64,LOAI_DIA_CHI!$B:$B,0)),"")</f>
        <v/>
      </c>
      <c r="AC64" s="16"/>
      <c r="AD64" s="58" t="str">
        <f>IF(ISNUMBER(MATCH(AE64,QUOC_GIA!$B:$B,0)),INDEX(QUOC_GIA!$A:$A,MATCH(AE64,QUOC_GIA!$B:$B,0)),"")</f>
        <v/>
      </c>
      <c r="AE64" s="16"/>
      <c r="AF64" s="48"/>
      <c r="AG64" s="59" t="str">
        <f>IFERROR(INDEX(TINH_TP!$B:$B,MATCH(AF64,TINH_TP!$A:$A,0)),"")</f>
        <v/>
      </c>
      <c r="AH64" s="50"/>
      <c r="AI64" s="59" t="str">
        <f>IF(OR(AF64="",AH64=""),"",IF(COUNTIFS(PHUONG_XA!$A$2:$A$3323,AH64,PHUONG_XA!$C$2:$C$3323,AF64)=0,"",INDEX(PHUONG_XA!$B$2:$B$3323,SUMPRODUCT((PHUONG_XA!$A$2:$A$3323&amp;""=AH64&amp;"")*(PHUONG_XA!$C$2:$C$3323&amp;""=AF64&amp;"")*(ROW(PHUONG_XA!$A$2:$A$3323)-ROW(PHUONG_XA!$A$2)+1)))))</f>
        <v/>
      </c>
      <c r="AJ64" s="14"/>
      <c r="AK64" s="14"/>
      <c r="AL64" s="57" t="str">
        <f t="shared" si="1"/>
        <v/>
      </c>
      <c r="AM64" s="14"/>
      <c r="AN64" s="15"/>
      <c r="AO64" s="15"/>
      <c r="AP64" s="48"/>
      <c r="AQ64" s="15"/>
      <c r="AR64" s="15"/>
      <c r="AS64" s="15"/>
      <c r="AT64" s="60" t="str">
        <f>IF(ISNUMBER(MATCH(AU64,LOAI_THE!$B:$B,0)),INDEX(LOAI_THE!$A:$A,MATCH(AU64,LOAI_THE!$B:$B,0)),"")</f>
        <v/>
      </c>
      <c r="AU64" s="48"/>
      <c r="AV64" s="15"/>
      <c r="AW64" s="15"/>
      <c r="AX64" s="15"/>
      <c r="AY64" s="48"/>
    </row>
    <row r="65" spans="1:51" x14ac:dyDescent="0.3">
      <c r="A65" s="13" t="s">
        <v>4341</v>
      </c>
      <c r="B65" s="48"/>
      <c r="C65" s="48"/>
      <c r="D65" s="48"/>
      <c r="E65" s="48"/>
      <c r="F65" s="48"/>
      <c r="G65" s="58" t="str">
        <f>IF(ISNUMBER(MATCH(H65,GIOI_TINH!$B:$B,0)),INDEX(GIOI_TINH!$A:$A,MATCH(H65,GIOI_TINH!$B:$B,0)),"")</f>
        <v/>
      </c>
      <c r="H65" s="15"/>
      <c r="I65" s="15"/>
      <c r="J65" s="58" t="str">
        <f>IF(ISNUMBER(MATCH(K65,QUOC_GIA!$B:$B,0)),INDEX(QUOC_GIA!$A:$A,MATCH(K65,QUOC_GIA!$B:$B,0)),"")</f>
        <v/>
      </c>
      <c r="K65" s="50"/>
      <c r="L65" s="15"/>
      <c r="M65" s="58" t="str">
        <f>IF(ISNUMBER(MATCH(N65,LOAI_THUE!$B:$B,0)),INDEX(LOAI_THUE!$A:$A,MATCH(N65,LOAI_THUE!$B:$B,0)),"")</f>
        <v/>
      </c>
      <c r="N65" s="50"/>
      <c r="O65" s="58" t="str">
        <f>IF(ISNUMBER(MATCH(P65,CHI_TIET_LOAI_KH!$B:$B,0)),INDEX(CHI_TIET_LOAI_KH!$A:$A,MATCH(P65,CHI_TIET_LOAI_KH!$B:$B,0)),"")</f>
        <v/>
      </c>
      <c r="P65" s="50"/>
      <c r="Q65" s="58" t="str">
        <f>IF(ISNUMBER(MATCH(R65,NGHE_NGHIEP!$B:$B,0)),INDEX(NGHE_NGHIEP!$A:$A,MATCH(R65,NGHE_NGHIEP!$B:$B,0)),"")</f>
        <v/>
      </c>
      <c r="R65" s="50"/>
      <c r="S65" s="58" t="str">
        <f>IF(ISNUMBER(MATCH(T65,LOAI_ID!$B:$B,0)),INDEX(LOAI_ID!$A:$A,MATCH(T65,LOAI_ID!$B:$B,0)),"")</f>
        <v/>
      </c>
      <c r="T65" s="16"/>
      <c r="U65" s="48"/>
      <c r="V65" s="48"/>
      <c r="W65" s="17"/>
      <c r="X65" s="17"/>
      <c r="Y65" s="15"/>
      <c r="Z65" s="15"/>
      <c r="AA65" s="59" t="str">
        <f>IFERROR(INDEX(NOI_CAP!$B:$B,MATCH(Z65,NOI_CAP!$A:$A,0)),"")</f>
        <v/>
      </c>
      <c r="AB65" s="58" t="str">
        <f>IF(ISNUMBER(MATCH(AC65,LOAI_DIA_CHI!$B:$B,0)),INDEX(LOAI_DIA_CHI!$A:$A,MATCH(AC65,LOAI_DIA_CHI!$B:$B,0)),"")</f>
        <v/>
      </c>
      <c r="AC65" s="16"/>
      <c r="AD65" s="58" t="str">
        <f>IF(ISNUMBER(MATCH(AE65,QUOC_GIA!$B:$B,0)),INDEX(QUOC_GIA!$A:$A,MATCH(AE65,QUOC_GIA!$B:$B,0)),"")</f>
        <v/>
      </c>
      <c r="AE65" s="16"/>
      <c r="AF65" s="48"/>
      <c r="AG65" s="59" t="str">
        <f>IFERROR(INDEX(TINH_TP!$B:$B,MATCH(AF65,TINH_TP!$A:$A,0)),"")</f>
        <v/>
      </c>
      <c r="AH65" s="50"/>
      <c r="AI65" s="59" t="str">
        <f>IF(OR(AF65="",AH65=""),"",IF(COUNTIFS(PHUONG_XA!$A$2:$A$3323,AH65,PHUONG_XA!$C$2:$C$3323,AF65)=0,"",INDEX(PHUONG_XA!$B$2:$B$3323,SUMPRODUCT((PHUONG_XA!$A$2:$A$3323&amp;""=AH65&amp;"")*(PHUONG_XA!$C$2:$C$3323&amp;""=AF65&amp;"")*(ROW(PHUONG_XA!$A$2:$A$3323)-ROW(PHUONG_XA!$A$2)+1)))))</f>
        <v/>
      </c>
      <c r="AJ65" s="14"/>
      <c r="AK65" s="14"/>
      <c r="AL65" s="57" t="str">
        <f t="shared" si="1"/>
        <v/>
      </c>
      <c r="AM65" s="14"/>
      <c r="AN65" s="15"/>
      <c r="AO65" s="15"/>
      <c r="AP65" s="48"/>
      <c r="AQ65" s="15"/>
      <c r="AR65" s="15"/>
      <c r="AS65" s="15"/>
      <c r="AT65" s="60" t="str">
        <f>IF(ISNUMBER(MATCH(AU65,LOAI_THE!$B:$B,0)),INDEX(LOAI_THE!$A:$A,MATCH(AU65,LOAI_THE!$B:$B,0)),"")</f>
        <v/>
      </c>
      <c r="AU65" s="48"/>
      <c r="AV65" s="15"/>
      <c r="AW65" s="15"/>
      <c r="AX65" s="15"/>
      <c r="AY65" s="48"/>
    </row>
    <row r="66" spans="1:51" x14ac:dyDescent="0.3">
      <c r="A66" s="13" t="s">
        <v>4342</v>
      </c>
      <c r="B66" s="48"/>
      <c r="C66" s="48"/>
      <c r="D66" s="48"/>
      <c r="E66" s="48"/>
      <c r="F66" s="48"/>
      <c r="G66" s="58" t="str">
        <f>IF(ISNUMBER(MATCH(H66,GIOI_TINH!$B:$B,0)),INDEX(GIOI_TINH!$A:$A,MATCH(H66,GIOI_TINH!$B:$B,0)),"")</f>
        <v/>
      </c>
      <c r="H66" s="15"/>
      <c r="I66" s="15"/>
      <c r="J66" s="58" t="str">
        <f>IF(ISNUMBER(MATCH(K66,QUOC_GIA!$B:$B,0)),INDEX(QUOC_GIA!$A:$A,MATCH(K66,QUOC_GIA!$B:$B,0)),"")</f>
        <v/>
      </c>
      <c r="K66" s="50"/>
      <c r="L66" s="15"/>
      <c r="M66" s="58" t="str">
        <f>IF(ISNUMBER(MATCH(N66,LOAI_THUE!$B:$B,0)),INDEX(LOAI_THUE!$A:$A,MATCH(N66,LOAI_THUE!$B:$B,0)),"")</f>
        <v/>
      </c>
      <c r="N66" s="50"/>
      <c r="O66" s="58" t="str">
        <f>IF(ISNUMBER(MATCH(P66,CHI_TIET_LOAI_KH!$B:$B,0)),INDEX(CHI_TIET_LOAI_KH!$A:$A,MATCH(P66,CHI_TIET_LOAI_KH!$B:$B,0)),"")</f>
        <v/>
      </c>
      <c r="P66" s="50"/>
      <c r="Q66" s="58" t="str">
        <f>IF(ISNUMBER(MATCH(R66,NGHE_NGHIEP!$B:$B,0)),INDEX(NGHE_NGHIEP!$A:$A,MATCH(R66,NGHE_NGHIEP!$B:$B,0)),"")</f>
        <v/>
      </c>
      <c r="R66" s="50"/>
      <c r="S66" s="58" t="str">
        <f>IF(ISNUMBER(MATCH(T66,LOAI_ID!$B:$B,0)),INDEX(LOAI_ID!$A:$A,MATCH(T66,LOAI_ID!$B:$B,0)),"")</f>
        <v/>
      </c>
      <c r="T66" s="16"/>
      <c r="U66" s="48"/>
      <c r="V66" s="48"/>
      <c r="W66" s="17"/>
      <c r="X66" s="17"/>
      <c r="Y66" s="15"/>
      <c r="Z66" s="15"/>
      <c r="AA66" s="59" t="str">
        <f>IFERROR(INDEX(NOI_CAP!$B:$B,MATCH(Z66,NOI_CAP!$A:$A,0)),"")</f>
        <v/>
      </c>
      <c r="AB66" s="58" t="str">
        <f>IF(ISNUMBER(MATCH(AC66,LOAI_DIA_CHI!$B:$B,0)),INDEX(LOAI_DIA_CHI!$A:$A,MATCH(AC66,LOAI_DIA_CHI!$B:$B,0)),"")</f>
        <v/>
      </c>
      <c r="AC66" s="16"/>
      <c r="AD66" s="58" t="str">
        <f>IF(ISNUMBER(MATCH(AE66,QUOC_GIA!$B:$B,0)),INDEX(QUOC_GIA!$A:$A,MATCH(AE66,QUOC_GIA!$B:$B,0)),"")</f>
        <v/>
      </c>
      <c r="AE66" s="16"/>
      <c r="AF66" s="48"/>
      <c r="AG66" s="59" t="str">
        <f>IFERROR(INDEX(TINH_TP!$B:$B,MATCH(AF66,TINH_TP!$A:$A,0)),"")</f>
        <v/>
      </c>
      <c r="AH66" s="50"/>
      <c r="AI66" s="59" t="str">
        <f>IF(OR(AF66="",AH66=""),"",IF(COUNTIFS(PHUONG_XA!$A$2:$A$3323,AH66,PHUONG_XA!$C$2:$C$3323,AF66)=0,"",INDEX(PHUONG_XA!$B$2:$B$3323,SUMPRODUCT((PHUONG_XA!$A$2:$A$3323&amp;""=AH66&amp;"")*(PHUONG_XA!$C$2:$C$3323&amp;""=AF66&amp;"")*(ROW(PHUONG_XA!$A$2:$A$3323)-ROW(PHUONG_XA!$A$2)+1)))))</f>
        <v/>
      </c>
      <c r="AJ66" s="14"/>
      <c r="AK66" s="14"/>
      <c r="AL66" s="57" t="str">
        <f t="shared" si="1"/>
        <v/>
      </c>
      <c r="AM66" s="14"/>
      <c r="AN66" s="15"/>
      <c r="AO66" s="15"/>
      <c r="AP66" s="48"/>
      <c r="AQ66" s="15"/>
      <c r="AR66" s="15"/>
      <c r="AS66" s="15"/>
      <c r="AT66" s="60" t="str">
        <f>IF(ISNUMBER(MATCH(AU66,LOAI_THE!$B:$B,0)),INDEX(LOAI_THE!$A:$A,MATCH(AU66,LOAI_THE!$B:$B,0)),"")</f>
        <v/>
      </c>
      <c r="AU66" s="48"/>
      <c r="AV66" s="15"/>
      <c r="AW66" s="15"/>
      <c r="AX66" s="15"/>
      <c r="AY66" s="48"/>
    </row>
    <row r="67" spans="1:51" x14ac:dyDescent="0.3">
      <c r="A67" s="13" t="s">
        <v>4343</v>
      </c>
      <c r="B67" s="48"/>
      <c r="C67" s="48"/>
      <c r="D67" s="48"/>
      <c r="E67" s="48"/>
      <c r="F67" s="48"/>
      <c r="G67" s="58" t="str">
        <f>IF(ISNUMBER(MATCH(H67,GIOI_TINH!$B:$B,0)),INDEX(GIOI_TINH!$A:$A,MATCH(H67,GIOI_TINH!$B:$B,0)),"")</f>
        <v/>
      </c>
      <c r="H67" s="15"/>
      <c r="I67" s="15"/>
      <c r="J67" s="58" t="str">
        <f>IF(ISNUMBER(MATCH(K67,QUOC_GIA!$B:$B,0)),INDEX(QUOC_GIA!$A:$A,MATCH(K67,QUOC_GIA!$B:$B,0)),"")</f>
        <v/>
      </c>
      <c r="K67" s="50"/>
      <c r="L67" s="15"/>
      <c r="M67" s="58" t="str">
        <f>IF(ISNUMBER(MATCH(N67,LOAI_THUE!$B:$B,0)),INDEX(LOAI_THUE!$A:$A,MATCH(N67,LOAI_THUE!$B:$B,0)),"")</f>
        <v/>
      </c>
      <c r="N67" s="50"/>
      <c r="O67" s="58" t="str">
        <f>IF(ISNUMBER(MATCH(P67,CHI_TIET_LOAI_KH!$B:$B,0)),INDEX(CHI_TIET_LOAI_KH!$A:$A,MATCH(P67,CHI_TIET_LOAI_KH!$B:$B,0)),"")</f>
        <v/>
      </c>
      <c r="P67" s="50"/>
      <c r="Q67" s="58" t="str">
        <f>IF(ISNUMBER(MATCH(R67,NGHE_NGHIEP!$B:$B,0)),INDEX(NGHE_NGHIEP!$A:$A,MATCH(R67,NGHE_NGHIEP!$B:$B,0)),"")</f>
        <v/>
      </c>
      <c r="R67" s="50"/>
      <c r="S67" s="58" t="str">
        <f>IF(ISNUMBER(MATCH(T67,LOAI_ID!$B:$B,0)),INDEX(LOAI_ID!$A:$A,MATCH(T67,LOAI_ID!$B:$B,0)),"")</f>
        <v/>
      </c>
      <c r="T67" s="16"/>
      <c r="U67" s="48"/>
      <c r="V67" s="48"/>
      <c r="W67" s="17"/>
      <c r="X67" s="17"/>
      <c r="Y67" s="15"/>
      <c r="Z67" s="15"/>
      <c r="AA67" s="59" t="str">
        <f>IFERROR(INDEX(NOI_CAP!$B:$B,MATCH(Z67,NOI_CAP!$A:$A,0)),"")</f>
        <v/>
      </c>
      <c r="AB67" s="58" t="str">
        <f>IF(ISNUMBER(MATCH(AC67,LOAI_DIA_CHI!$B:$B,0)),INDEX(LOAI_DIA_CHI!$A:$A,MATCH(AC67,LOAI_DIA_CHI!$B:$B,0)),"")</f>
        <v/>
      </c>
      <c r="AC67" s="16"/>
      <c r="AD67" s="58" t="str">
        <f>IF(ISNUMBER(MATCH(AE67,QUOC_GIA!$B:$B,0)),INDEX(QUOC_GIA!$A:$A,MATCH(AE67,QUOC_GIA!$B:$B,0)),"")</f>
        <v/>
      </c>
      <c r="AE67" s="16"/>
      <c r="AF67" s="48"/>
      <c r="AG67" s="59" t="str">
        <f>IFERROR(INDEX(TINH_TP!$B:$B,MATCH(AF67,TINH_TP!$A:$A,0)),"")</f>
        <v/>
      </c>
      <c r="AH67" s="50"/>
      <c r="AI67" s="59" t="str">
        <f>IF(OR(AF67="",AH67=""),"",IF(COUNTIFS(PHUONG_XA!$A$2:$A$3323,AH67,PHUONG_XA!$C$2:$C$3323,AF67)=0,"",INDEX(PHUONG_XA!$B$2:$B$3323,SUMPRODUCT((PHUONG_XA!$A$2:$A$3323&amp;""=AH67&amp;"")*(PHUONG_XA!$C$2:$C$3323&amp;""=AF67&amp;"")*(ROW(PHUONG_XA!$A$2:$A$3323)-ROW(PHUONG_XA!$A$2)+1)))))</f>
        <v/>
      </c>
      <c r="AJ67" s="14"/>
      <c r="AK67" s="14"/>
      <c r="AL67" s="57" t="str">
        <f t="shared" si="1"/>
        <v/>
      </c>
      <c r="AM67" s="14"/>
      <c r="AN67" s="15"/>
      <c r="AO67" s="15"/>
      <c r="AP67" s="48"/>
      <c r="AQ67" s="15"/>
      <c r="AR67" s="15"/>
      <c r="AS67" s="15"/>
      <c r="AT67" s="60" t="str">
        <f>IF(ISNUMBER(MATCH(AU67,LOAI_THE!$B:$B,0)),INDEX(LOAI_THE!$A:$A,MATCH(AU67,LOAI_THE!$B:$B,0)),"")</f>
        <v/>
      </c>
      <c r="AU67" s="48"/>
      <c r="AV67" s="15"/>
      <c r="AW67" s="15"/>
      <c r="AX67" s="15"/>
      <c r="AY67" s="48"/>
    </row>
    <row r="68" spans="1:51" x14ac:dyDescent="0.3">
      <c r="A68" s="13" t="s">
        <v>4344</v>
      </c>
      <c r="B68" s="48"/>
      <c r="C68" s="48"/>
      <c r="D68" s="48"/>
      <c r="E68" s="48"/>
      <c r="F68" s="48"/>
      <c r="G68" s="58" t="str">
        <f>IF(ISNUMBER(MATCH(H68,GIOI_TINH!$B:$B,0)),INDEX(GIOI_TINH!$A:$A,MATCH(H68,GIOI_TINH!$B:$B,0)),"")</f>
        <v/>
      </c>
      <c r="H68" s="15"/>
      <c r="I68" s="15"/>
      <c r="J68" s="58" t="str">
        <f>IF(ISNUMBER(MATCH(K68,QUOC_GIA!$B:$B,0)),INDEX(QUOC_GIA!$A:$A,MATCH(K68,QUOC_GIA!$B:$B,0)),"")</f>
        <v/>
      </c>
      <c r="K68" s="50"/>
      <c r="L68" s="15"/>
      <c r="M68" s="58" t="str">
        <f>IF(ISNUMBER(MATCH(N68,LOAI_THUE!$B:$B,0)),INDEX(LOAI_THUE!$A:$A,MATCH(N68,LOAI_THUE!$B:$B,0)),"")</f>
        <v/>
      </c>
      <c r="N68" s="50"/>
      <c r="O68" s="58" t="str">
        <f>IF(ISNUMBER(MATCH(P68,CHI_TIET_LOAI_KH!$B:$B,0)),INDEX(CHI_TIET_LOAI_KH!$A:$A,MATCH(P68,CHI_TIET_LOAI_KH!$B:$B,0)),"")</f>
        <v/>
      </c>
      <c r="P68" s="50"/>
      <c r="Q68" s="58" t="str">
        <f>IF(ISNUMBER(MATCH(R68,NGHE_NGHIEP!$B:$B,0)),INDEX(NGHE_NGHIEP!$A:$A,MATCH(R68,NGHE_NGHIEP!$B:$B,0)),"")</f>
        <v/>
      </c>
      <c r="R68" s="50"/>
      <c r="S68" s="58" t="str">
        <f>IF(ISNUMBER(MATCH(T68,LOAI_ID!$B:$B,0)),INDEX(LOAI_ID!$A:$A,MATCH(T68,LOAI_ID!$B:$B,0)),"")</f>
        <v/>
      </c>
      <c r="T68" s="16"/>
      <c r="U68" s="48"/>
      <c r="V68" s="48"/>
      <c r="W68" s="17"/>
      <c r="X68" s="17"/>
      <c r="Y68" s="15"/>
      <c r="Z68" s="15"/>
      <c r="AA68" s="59" t="str">
        <f>IFERROR(INDEX(NOI_CAP!$B:$B,MATCH(Z68,NOI_CAP!$A:$A,0)),"")</f>
        <v/>
      </c>
      <c r="AB68" s="58" t="str">
        <f>IF(ISNUMBER(MATCH(AC68,LOAI_DIA_CHI!$B:$B,0)),INDEX(LOAI_DIA_CHI!$A:$A,MATCH(AC68,LOAI_DIA_CHI!$B:$B,0)),"")</f>
        <v/>
      </c>
      <c r="AC68" s="16"/>
      <c r="AD68" s="58" t="str">
        <f>IF(ISNUMBER(MATCH(AE68,QUOC_GIA!$B:$B,0)),INDEX(QUOC_GIA!$A:$A,MATCH(AE68,QUOC_GIA!$B:$B,0)),"")</f>
        <v/>
      </c>
      <c r="AE68" s="16"/>
      <c r="AF68" s="48"/>
      <c r="AG68" s="59" t="str">
        <f>IFERROR(INDEX(TINH_TP!$B:$B,MATCH(AF68,TINH_TP!$A:$A,0)),"")</f>
        <v/>
      </c>
      <c r="AH68" s="50"/>
      <c r="AI68" s="59" t="str">
        <f>IF(OR(AF68="",AH68=""),"",IF(COUNTIFS(PHUONG_XA!$A$2:$A$3323,AH68,PHUONG_XA!$C$2:$C$3323,AF68)=0,"",INDEX(PHUONG_XA!$B$2:$B$3323,SUMPRODUCT((PHUONG_XA!$A$2:$A$3323&amp;""=AH68&amp;"")*(PHUONG_XA!$C$2:$C$3323&amp;""=AF68&amp;"")*(ROW(PHUONG_XA!$A$2:$A$3323)-ROW(PHUONG_XA!$A$2)+1)))))</f>
        <v/>
      </c>
      <c r="AJ68" s="14"/>
      <c r="AK68" s="14"/>
      <c r="AL68" s="57" t="str">
        <f t="shared" si="1"/>
        <v/>
      </c>
      <c r="AM68" s="14"/>
      <c r="AN68" s="15"/>
      <c r="AO68" s="15"/>
      <c r="AP68" s="48"/>
      <c r="AQ68" s="15"/>
      <c r="AR68" s="15"/>
      <c r="AS68" s="15"/>
      <c r="AT68" s="60" t="str">
        <f>IF(ISNUMBER(MATCH(AU68,LOAI_THE!$B:$B,0)),INDEX(LOAI_THE!$A:$A,MATCH(AU68,LOAI_THE!$B:$B,0)),"")</f>
        <v/>
      </c>
      <c r="AU68" s="48"/>
      <c r="AV68" s="15"/>
      <c r="AW68" s="15"/>
      <c r="AX68" s="15"/>
      <c r="AY68" s="48"/>
    </row>
    <row r="69" spans="1:51" x14ac:dyDescent="0.3">
      <c r="A69" s="13" t="s">
        <v>4345</v>
      </c>
      <c r="B69" s="48"/>
      <c r="C69" s="48"/>
      <c r="D69" s="48"/>
      <c r="E69" s="48"/>
      <c r="F69" s="48"/>
      <c r="G69" s="58" t="str">
        <f>IF(ISNUMBER(MATCH(H69,GIOI_TINH!$B:$B,0)),INDEX(GIOI_TINH!$A:$A,MATCH(H69,GIOI_TINH!$B:$B,0)),"")</f>
        <v/>
      </c>
      <c r="H69" s="15"/>
      <c r="I69" s="15"/>
      <c r="J69" s="58" t="str">
        <f>IF(ISNUMBER(MATCH(K69,QUOC_GIA!$B:$B,0)),INDEX(QUOC_GIA!$A:$A,MATCH(K69,QUOC_GIA!$B:$B,0)),"")</f>
        <v/>
      </c>
      <c r="K69" s="50"/>
      <c r="L69" s="15"/>
      <c r="M69" s="58" t="str">
        <f>IF(ISNUMBER(MATCH(N69,LOAI_THUE!$B:$B,0)),INDEX(LOAI_THUE!$A:$A,MATCH(N69,LOAI_THUE!$B:$B,0)),"")</f>
        <v/>
      </c>
      <c r="N69" s="50"/>
      <c r="O69" s="58" t="str">
        <f>IF(ISNUMBER(MATCH(P69,CHI_TIET_LOAI_KH!$B:$B,0)),INDEX(CHI_TIET_LOAI_KH!$A:$A,MATCH(P69,CHI_TIET_LOAI_KH!$B:$B,0)),"")</f>
        <v/>
      </c>
      <c r="P69" s="50"/>
      <c r="Q69" s="58" t="str">
        <f>IF(ISNUMBER(MATCH(R69,NGHE_NGHIEP!$B:$B,0)),INDEX(NGHE_NGHIEP!$A:$A,MATCH(R69,NGHE_NGHIEP!$B:$B,0)),"")</f>
        <v/>
      </c>
      <c r="R69" s="50"/>
      <c r="S69" s="58" t="str">
        <f>IF(ISNUMBER(MATCH(T69,LOAI_ID!$B:$B,0)),INDEX(LOAI_ID!$A:$A,MATCH(T69,LOAI_ID!$B:$B,0)),"")</f>
        <v/>
      </c>
      <c r="T69" s="16"/>
      <c r="U69" s="48"/>
      <c r="V69" s="48"/>
      <c r="W69" s="17"/>
      <c r="X69" s="17"/>
      <c r="Y69" s="15"/>
      <c r="Z69" s="15"/>
      <c r="AA69" s="59" t="str">
        <f>IFERROR(INDEX(NOI_CAP!$B:$B,MATCH(Z69,NOI_CAP!$A:$A,0)),"")</f>
        <v/>
      </c>
      <c r="AB69" s="58" t="str">
        <f>IF(ISNUMBER(MATCH(AC69,LOAI_DIA_CHI!$B:$B,0)),INDEX(LOAI_DIA_CHI!$A:$A,MATCH(AC69,LOAI_DIA_CHI!$B:$B,0)),"")</f>
        <v/>
      </c>
      <c r="AC69" s="16"/>
      <c r="AD69" s="58" t="str">
        <f>IF(ISNUMBER(MATCH(AE69,QUOC_GIA!$B:$B,0)),INDEX(QUOC_GIA!$A:$A,MATCH(AE69,QUOC_GIA!$B:$B,0)),"")</f>
        <v/>
      </c>
      <c r="AE69" s="16"/>
      <c r="AF69" s="48"/>
      <c r="AG69" s="59" t="str">
        <f>IFERROR(INDEX(TINH_TP!$B:$B,MATCH(AF69,TINH_TP!$A:$A,0)),"")</f>
        <v/>
      </c>
      <c r="AH69" s="50"/>
      <c r="AI69" s="59" t="str">
        <f>IF(OR(AF69="",AH69=""),"",IF(COUNTIFS(PHUONG_XA!$A$2:$A$3323,AH69,PHUONG_XA!$C$2:$C$3323,AF69)=0,"",INDEX(PHUONG_XA!$B$2:$B$3323,SUMPRODUCT((PHUONG_XA!$A$2:$A$3323&amp;""=AH69&amp;"")*(PHUONG_XA!$C$2:$C$3323&amp;""=AF69&amp;"")*(ROW(PHUONG_XA!$A$2:$A$3323)-ROW(PHUONG_XA!$A$2)+1)))))</f>
        <v/>
      </c>
      <c r="AJ69" s="14"/>
      <c r="AK69" s="14"/>
      <c r="AL69" s="57" t="str">
        <f t="shared" si="1"/>
        <v/>
      </c>
      <c r="AM69" s="14"/>
      <c r="AN69" s="15"/>
      <c r="AO69" s="15"/>
      <c r="AP69" s="48"/>
      <c r="AQ69" s="15"/>
      <c r="AR69" s="15"/>
      <c r="AS69" s="15"/>
      <c r="AT69" s="60" t="str">
        <f>IF(ISNUMBER(MATCH(AU69,LOAI_THE!$B:$B,0)),INDEX(LOAI_THE!$A:$A,MATCH(AU69,LOAI_THE!$B:$B,0)),"")</f>
        <v/>
      </c>
      <c r="AU69" s="48"/>
      <c r="AV69" s="15"/>
      <c r="AW69" s="15"/>
      <c r="AX69" s="15"/>
      <c r="AY69" s="48"/>
    </row>
    <row r="70" spans="1:51" x14ac:dyDescent="0.3">
      <c r="A70" s="13" t="s">
        <v>4346</v>
      </c>
      <c r="B70" s="48"/>
      <c r="C70" s="48"/>
      <c r="D70" s="48"/>
      <c r="E70" s="48"/>
      <c r="F70" s="48"/>
      <c r="G70" s="58" t="str">
        <f>IF(ISNUMBER(MATCH(H70,GIOI_TINH!$B:$B,0)),INDEX(GIOI_TINH!$A:$A,MATCH(H70,GIOI_TINH!$B:$B,0)),"")</f>
        <v/>
      </c>
      <c r="H70" s="15"/>
      <c r="I70" s="15"/>
      <c r="J70" s="58" t="str">
        <f>IF(ISNUMBER(MATCH(K70,QUOC_GIA!$B:$B,0)),INDEX(QUOC_GIA!$A:$A,MATCH(K70,QUOC_GIA!$B:$B,0)),"")</f>
        <v/>
      </c>
      <c r="K70" s="50"/>
      <c r="L70" s="15"/>
      <c r="M70" s="58" t="str">
        <f>IF(ISNUMBER(MATCH(N70,LOAI_THUE!$B:$B,0)),INDEX(LOAI_THUE!$A:$A,MATCH(N70,LOAI_THUE!$B:$B,0)),"")</f>
        <v/>
      </c>
      <c r="N70" s="50"/>
      <c r="O70" s="58" t="str">
        <f>IF(ISNUMBER(MATCH(P70,CHI_TIET_LOAI_KH!$B:$B,0)),INDEX(CHI_TIET_LOAI_KH!$A:$A,MATCH(P70,CHI_TIET_LOAI_KH!$B:$B,0)),"")</f>
        <v/>
      </c>
      <c r="P70" s="50"/>
      <c r="Q70" s="58" t="str">
        <f>IF(ISNUMBER(MATCH(R70,NGHE_NGHIEP!$B:$B,0)),INDEX(NGHE_NGHIEP!$A:$A,MATCH(R70,NGHE_NGHIEP!$B:$B,0)),"")</f>
        <v/>
      </c>
      <c r="R70" s="50"/>
      <c r="S70" s="58" t="str">
        <f>IF(ISNUMBER(MATCH(T70,LOAI_ID!$B:$B,0)),INDEX(LOAI_ID!$A:$A,MATCH(T70,LOAI_ID!$B:$B,0)),"")</f>
        <v/>
      </c>
      <c r="T70" s="16"/>
      <c r="U70" s="48"/>
      <c r="V70" s="48"/>
      <c r="W70" s="17"/>
      <c r="X70" s="17"/>
      <c r="Y70" s="15"/>
      <c r="Z70" s="15"/>
      <c r="AA70" s="59" t="str">
        <f>IFERROR(INDEX(NOI_CAP!$B:$B,MATCH(Z70,NOI_CAP!$A:$A,0)),"")</f>
        <v/>
      </c>
      <c r="AB70" s="58" t="str">
        <f>IF(ISNUMBER(MATCH(AC70,LOAI_DIA_CHI!$B:$B,0)),INDEX(LOAI_DIA_CHI!$A:$A,MATCH(AC70,LOAI_DIA_CHI!$B:$B,0)),"")</f>
        <v/>
      </c>
      <c r="AC70" s="16"/>
      <c r="AD70" s="58" t="str">
        <f>IF(ISNUMBER(MATCH(AE70,QUOC_GIA!$B:$B,0)),INDEX(QUOC_GIA!$A:$A,MATCH(AE70,QUOC_GIA!$B:$B,0)),"")</f>
        <v/>
      </c>
      <c r="AE70" s="16"/>
      <c r="AF70" s="48"/>
      <c r="AG70" s="59" t="str">
        <f>IFERROR(INDEX(TINH_TP!$B:$B,MATCH(AF70,TINH_TP!$A:$A,0)),"")</f>
        <v/>
      </c>
      <c r="AH70" s="50"/>
      <c r="AI70" s="59" t="str">
        <f>IF(OR(AF70="",AH70=""),"",IF(COUNTIFS(PHUONG_XA!$A$2:$A$3323,AH70,PHUONG_XA!$C$2:$C$3323,AF70)=0,"",INDEX(PHUONG_XA!$B$2:$B$3323,SUMPRODUCT((PHUONG_XA!$A$2:$A$3323&amp;""=AH70&amp;"")*(PHUONG_XA!$C$2:$C$3323&amp;""=AF70&amp;"")*(ROW(PHUONG_XA!$A$2:$A$3323)-ROW(PHUONG_XA!$A$2)+1)))))</f>
        <v/>
      </c>
      <c r="AJ70" s="14"/>
      <c r="AK70" s="14"/>
      <c r="AL70" s="57" t="str">
        <f t="shared" si="1"/>
        <v/>
      </c>
      <c r="AM70" s="14"/>
      <c r="AN70" s="15"/>
      <c r="AO70" s="15"/>
      <c r="AP70" s="48"/>
      <c r="AQ70" s="15"/>
      <c r="AR70" s="15"/>
      <c r="AS70" s="15"/>
      <c r="AT70" s="60" t="str">
        <f>IF(ISNUMBER(MATCH(AU70,LOAI_THE!$B:$B,0)),INDEX(LOAI_THE!$A:$A,MATCH(AU70,LOAI_THE!$B:$B,0)),"")</f>
        <v/>
      </c>
      <c r="AU70" s="48"/>
      <c r="AV70" s="15"/>
      <c r="AW70" s="15"/>
      <c r="AX70" s="15"/>
      <c r="AY70" s="48"/>
    </row>
    <row r="71" spans="1:51" x14ac:dyDescent="0.3">
      <c r="A71" s="13" t="s">
        <v>4347</v>
      </c>
      <c r="B71" s="48"/>
      <c r="C71" s="48"/>
      <c r="D71" s="48"/>
      <c r="E71" s="48"/>
      <c r="F71" s="48"/>
      <c r="G71" s="58" t="str">
        <f>IF(ISNUMBER(MATCH(H71,GIOI_TINH!$B:$B,0)),INDEX(GIOI_TINH!$A:$A,MATCH(H71,GIOI_TINH!$B:$B,0)),"")</f>
        <v/>
      </c>
      <c r="H71" s="15"/>
      <c r="I71" s="15"/>
      <c r="J71" s="58" t="str">
        <f>IF(ISNUMBER(MATCH(K71,QUOC_GIA!$B:$B,0)),INDEX(QUOC_GIA!$A:$A,MATCH(K71,QUOC_GIA!$B:$B,0)),"")</f>
        <v/>
      </c>
      <c r="K71" s="50"/>
      <c r="L71" s="15"/>
      <c r="M71" s="58" t="str">
        <f>IF(ISNUMBER(MATCH(N71,LOAI_THUE!$B:$B,0)),INDEX(LOAI_THUE!$A:$A,MATCH(N71,LOAI_THUE!$B:$B,0)),"")</f>
        <v/>
      </c>
      <c r="N71" s="50"/>
      <c r="O71" s="58" t="str">
        <f>IF(ISNUMBER(MATCH(P71,CHI_TIET_LOAI_KH!$B:$B,0)),INDEX(CHI_TIET_LOAI_KH!$A:$A,MATCH(P71,CHI_TIET_LOAI_KH!$B:$B,0)),"")</f>
        <v/>
      </c>
      <c r="P71" s="50"/>
      <c r="Q71" s="58" t="str">
        <f>IF(ISNUMBER(MATCH(R71,NGHE_NGHIEP!$B:$B,0)),INDEX(NGHE_NGHIEP!$A:$A,MATCH(R71,NGHE_NGHIEP!$B:$B,0)),"")</f>
        <v/>
      </c>
      <c r="R71" s="50"/>
      <c r="S71" s="58" t="str">
        <f>IF(ISNUMBER(MATCH(T71,LOAI_ID!$B:$B,0)),INDEX(LOAI_ID!$A:$A,MATCH(T71,LOAI_ID!$B:$B,0)),"")</f>
        <v/>
      </c>
      <c r="T71" s="16"/>
      <c r="U71" s="48"/>
      <c r="V71" s="48"/>
      <c r="W71" s="17"/>
      <c r="X71" s="17"/>
      <c r="Y71" s="15"/>
      <c r="Z71" s="15"/>
      <c r="AA71" s="59" t="str">
        <f>IFERROR(INDEX(NOI_CAP!$B:$B,MATCH(Z71,NOI_CAP!$A:$A,0)),"")</f>
        <v/>
      </c>
      <c r="AB71" s="58" t="str">
        <f>IF(ISNUMBER(MATCH(AC71,LOAI_DIA_CHI!$B:$B,0)),INDEX(LOAI_DIA_CHI!$A:$A,MATCH(AC71,LOAI_DIA_CHI!$B:$B,0)),"")</f>
        <v/>
      </c>
      <c r="AC71" s="16"/>
      <c r="AD71" s="58" t="str">
        <f>IF(ISNUMBER(MATCH(AE71,QUOC_GIA!$B:$B,0)),INDEX(QUOC_GIA!$A:$A,MATCH(AE71,QUOC_GIA!$B:$B,0)),"")</f>
        <v/>
      </c>
      <c r="AE71" s="16"/>
      <c r="AF71" s="48"/>
      <c r="AG71" s="59" t="str">
        <f>IFERROR(INDEX(TINH_TP!$B:$B,MATCH(AF71,TINH_TP!$A:$A,0)),"")</f>
        <v/>
      </c>
      <c r="AH71" s="50"/>
      <c r="AI71" s="59" t="str">
        <f>IF(OR(AF71="",AH71=""),"",IF(COUNTIFS(PHUONG_XA!$A$2:$A$3323,AH71,PHUONG_XA!$C$2:$C$3323,AF71)=0,"",INDEX(PHUONG_XA!$B$2:$B$3323,SUMPRODUCT((PHUONG_XA!$A$2:$A$3323&amp;""=AH71&amp;"")*(PHUONG_XA!$C$2:$C$3323&amp;""=AF71&amp;"")*(ROW(PHUONG_XA!$A$2:$A$3323)-ROW(PHUONG_XA!$A$2)+1)))))</f>
        <v/>
      </c>
      <c r="AJ71" s="14"/>
      <c r="AK71" s="14"/>
      <c r="AL71" s="57" t="str">
        <f t="shared" ref="AL71:AL134" si="2">IF(OR(AI71="",AG71=""),"",SUBSTITUTE(SUBSTITUTE(AI71,"Phường","P."),"Xã","X.")&amp;", "&amp;SUBSTITUTE(SUBSTITUTE(AG71,"Thành phố","TP."),"Tỉnh","T."))</f>
        <v/>
      </c>
      <c r="AM71" s="14"/>
      <c r="AN71" s="15"/>
      <c r="AO71" s="15"/>
      <c r="AP71" s="48"/>
      <c r="AQ71" s="15"/>
      <c r="AR71" s="15"/>
      <c r="AS71" s="15"/>
      <c r="AT71" s="60" t="str">
        <f>IF(ISNUMBER(MATCH(AU71,LOAI_THE!$B:$B,0)),INDEX(LOAI_THE!$A:$A,MATCH(AU71,LOAI_THE!$B:$B,0)),"")</f>
        <v/>
      </c>
      <c r="AU71" s="48"/>
      <c r="AV71" s="15"/>
      <c r="AW71" s="15"/>
      <c r="AX71" s="15"/>
      <c r="AY71" s="48"/>
    </row>
    <row r="72" spans="1:51" x14ac:dyDescent="0.3">
      <c r="A72" s="13" t="s">
        <v>4348</v>
      </c>
      <c r="B72" s="48"/>
      <c r="C72" s="48"/>
      <c r="D72" s="48"/>
      <c r="E72" s="48"/>
      <c r="F72" s="48"/>
      <c r="G72" s="58" t="str">
        <f>IF(ISNUMBER(MATCH(H72,GIOI_TINH!$B:$B,0)),INDEX(GIOI_TINH!$A:$A,MATCH(H72,GIOI_TINH!$B:$B,0)),"")</f>
        <v/>
      </c>
      <c r="H72" s="15"/>
      <c r="I72" s="15"/>
      <c r="J72" s="58" t="str">
        <f>IF(ISNUMBER(MATCH(K72,QUOC_GIA!$B:$B,0)),INDEX(QUOC_GIA!$A:$A,MATCH(K72,QUOC_GIA!$B:$B,0)),"")</f>
        <v/>
      </c>
      <c r="K72" s="50"/>
      <c r="L72" s="15"/>
      <c r="M72" s="58" t="str">
        <f>IF(ISNUMBER(MATCH(N72,LOAI_THUE!$B:$B,0)),INDEX(LOAI_THUE!$A:$A,MATCH(N72,LOAI_THUE!$B:$B,0)),"")</f>
        <v/>
      </c>
      <c r="N72" s="50"/>
      <c r="O72" s="58" t="str">
        <f>IF(ISNUMBER(MATCH(P72,CHI_TIET_LOAI_KH!$B:$B,0)),INDEX(CHI_TIET_LOAI_KH!$A:$A,MATCH(P72,CHI_TIET_LOAI_KH!$B:$B,0)),"")</f>
        <v/>
      </c>
      <c r="P72" s="50"/>
      <c r="Q72" s="58" t="str">
        <f>IF(ISNUMBER(MATCH(R72,NGHE_NGHIEP!$B:$B,0)),INDEX(NGHE_NGHIEP!$A:$A,MATCH(R72,NGHE_NGHIEP!$B:$B,0)),"")</f>
        <v/>
      </c>
      <c r="R72" s="50"/>
      <c r="S72" s="58" t="str">
        <f>IF(ISNUMBER(MATCH(T72,LOAI_ID!$B:$B,0)),INDEX(LOAI_ID!$A:$A,MATCH(T72,LOAI_ID!$B:$B,0)),"")</f>
        <v/>
      </c>
      <c r="T72" s="16"/>
      <c r="U72" s="48"/>
      <c r="V72" s="48"/>
      <c r="W72" s="17"/>
      <c r="X72" s="17"/>
      <c r="Y72" s="15"/>
      <c r="Z72" s="15"/>
      <c r="AA72" s="59" t="str">
        <f>IFERROR(INDEX(NOI_CAP!$B:$B,MATCH(Z72,NOI_CAP!$A:$A,0)),"")</f>
        <v/>
      </c>
      <c r="AB72" s="58" t="str">
        <f>IF(ISNUMBER(MATCH(AC72,LOAI_DIA_CHI!$B:$B,0)),INDEX(LOAI_DIA_CHI!$A:$A,MATCH(AC72,LOAI_DIA_CHI!$B:$B,0)),"")</f>
        <v/>
      </c>
      <c r="AC72" s="16"/>
      <c r="AD72" s="58" t="str">
        <f>IF(ISNUMBER(MATCH(AE72,QUOC_GIA!$B:$B,0)),INDEX(QUOC_GIA!$A:$A,MATCH(AE72,QUOC_GIA!$B:$B,0)),"")</f>
        <v/>
      </c>
      <c r="AE72" s="16"/>
      <c r="AF72" s="48"/>
      <c r="AG72" s="59" t="str">
        <f>IFERROR(INDEX(TINH_TP!$B:$B,MATCH(AF72,TINH_TP!$A:$A,0)),"")</f>
        <v/>
      </c>
      <c r="AH72" s="50"/>
      <c r="AI72" s="59" t="str">
        <f>IF(OR(AF72="",AH72=""),"",IF(COUNTIFS(PHUONG_XA!$A$2:$A$3323,AH72,PHUONG_XA!$C$2:$C$3323,AF72)=0,"",INDEX(PHUONG_XA!$B$2:$B$3323,SUMPRODUCT((PHUONG_XA!$A$2:$A$3323&amp;""=AH72&amp;"")*(PHUONG_XA!$C$2:$C$3323&amp;""=AF72&amp;"")*(ROW(PHUONG_XA!$A$2:$A$3323)-ROW(PHUONG_XA!$A$2)+1)))))</f>
        <v/>
      </c>
      <c r="AJ72" s="14"/>
      <c r="AK72" s="14"/>
      <c r="AL72" s="57" t="str">
        <f t="shared" si="2"/>
        <v/>
      </c>
      <c r="AM72" s="14"/>
      <c r="AN72" s="15"/>
      <c r="AO72" s="15"/>
      <c r="AP72" s="48"/>
      <c r="AQ72" s="15"/>
      <c r="AR72" s="15"/>
      <c r="AS72" s="15"/>
      <c r="AT72" s="60" t="str">
        <f>IF(ISNUMBER(MATCH(AU72,LOAI_THE!$B:$B,0)),INDEX(LOAI_THE!$A:$A,MATCH(AU72,LOAI_THE!$B:$B,0)),"")</f>
        <v/>
      </c>
      <c r="AU72" s="48"/>
      <c r="AV72" s="15"/>
      <c r="AW72" s="15"/>
      <c r="AX72" s="15"/>
      <c r="AY72" s="48"/>
    </row>
    <row r="73" spans="1:51" x14ac:dyDescent="0.3">
      <c r="A73" s="13" t="s">
        <v>4349</v>
      </c>
      <c r="B73" s="48"/>
      <c r="C73" s="48"/>
      <c r="D73" s="48"/>
      <c r="E73" s="48"/>
      <c r="F73" s="48"/>
      <c r="G73" s="58" t="str">
        <f>IF(ISNUMBER(MATCH(H73,GIOI_TINH!$B:$B,0)),INDEX(GIOI_TINH!$A:$A,MATCH(H73,GIOI_TINH!$B:$B,0)),"")</f>
        <v/>
      </c>
      <c r="H73" s="15"/>
      <c r="I73" s="15"/>
      <c r="J73" s="58" t="str">
        <f>IF(ISNUMBER(MATCH(K73,QUOC_GIA!$B:$B,0)),INDEX(QUOC_GIA!$A:$A,MATCH(K73,QUOC_GIA!$B:$B,0)),"")</f>
        <v/>
      </c>
      <c r="K73" s="50"/>
      <c r="L73" s="15"/>
      <c r="M73" s="58" t="str">
        <f>IF(ISNUMBER(MATCH(N73,LOAI_THUE!$B:$B,0)),INDEX(LOAI_THUE!$A:$A,MATCH(N73,LOAI_THUE!$B:$B,0)),"")</f>
        <v/>
      </c>
      <c r="N73" s="50"/>
      <c r="O73" s="58" t="str">
        <f>IF(ISNUMBER(MATCH(P73,CHI_TIET_LOAI_KH!$B:$B,0)),INDEX(CHI_TIET_LOAI_KH!$A:$A,MATCH(P73,CHI_TIET_LOAI_KH!$B:$B,0)),"")</f>
        <v/>
      </c>
      <c r="P73" s="50"/>
      <c r="Q73" s="58" t="str">
        <f>IF(ISNUMBER(MATCH(R73,NGHE_NGHIEP!$B:$B,0)),INDEX(NGHE_NGHIEP!$A:$A,MATCH(R73,NGHE_NGHIEP!$B:$B,0)),"")</f>
        <v/>
      </c>
      <c r="R73" s="50"/>
      <c r="S73" s="58" t="str">
        <f>IF(ISNUMBER(MATCH(T73,LOAI_ID!$B:$B,0)),INDEX(LOAI_ID!$A:$A,MATCH(T73,LOAI_ID!$B:$B,0)),"")</f>
        <v/>
      </c>
      <c r="T73" s="16"/>
      <c r="U73" s="48"/>
      <c r="V73" s="48"/>
      <c r="W73" s="17"/>
      <c r="X73" s="17"/>
      <c r="Y73" s="15"/>
      <c r="Z73" s="15"/>
      <c r="AA73" s="59" t="str">
        <f>IFERROR(INDEX(NOI_CAP!$B:$B,MATCH(Z73,NOI_CAP!$A:$A,0)),"")</f>
        <v/>
      </c>
      <c r="AB73" s="58" t="str">
        <f>IF(ISNUMBER(MATCH(AC73,LOAI_DIA_CHI!$B:$B,0)),INDEX(LOAI_DIA_CHI!$A:$A,MATCH(AC73,LOAI_DIA_CHI!$B:$B,0)),"")</f>
        <v/>
      </c>
      <c r="AC73" s="16"/>
      <c r="AD73" s="58" t="str">
        <f>IF(ISNUMBER(MATCH(AE73,QUOC_GIA!$B:$B,0)),INDEX(QUOC_GIA!$A:$A,MATCH(AE73,QUOC_GIA!$B:$B,0)),"")</f>
        <v/>
      </c>
      <c r="AE73" s="16"/>
      <c r="AF73" s="48"/>
      <c r="AG73" s="59" t="str">
        <f>IFERROR(INDEX(TINH_TP!$B:$B,MATCH(AF73,TINH_TP!$A:$A,0)),"")</f>
        <v/>
      </c>
      <c r="AH73" s="50"/>
      <c r="AI73" s="59" t="str">
        <f>IF(OR(AF73="",AH73=""),"",IF(COUNTIFS(PHUONG_XA!$A$2:$A$3323,AH73,PHUONG_XA!$C$2:$C$3323,AF73)=0,"",INDEX(PHUONG_XA!$B$2:$B$3323,SUMPRODUCT((PHUONG_XA!$A$2:$A$3323&amp;""=AH73&amp;"")*(PHUONG_XA!$C$2:$C$3323&amp;""=AF73&amp;"")*(ROW(PHUONG_XA!$A$2:$A$3323)-ROW(PHUONG_XA!$A$2)+1)))))</f>
        <v/>
      </c>
      <c r="AJ73" s="14"/>
      <c r="AK73" s="14"/>
      <c r="AL73" s="57" t="str">
        <f t="shared" si="2"/>
        <v/>
      </c>
      <c r="AM73" s="14"/>
      <c r="AN73" s="15"/>
      <c r="AO73" s="15"/>
      <c r="AP73" s="48"/>
      <c r="AQ73" s="15"/>
      <c r="AR73" s="15"/>
      <c r="AS73" s="15"/>
      <c r="AT73" s="60" t="str">
        <f>IF(ISNUMBER(MATCH(AU73,LOAI_THE!$B:$B,0)),INDEX(LOAI_THE!$A:$A,MATCH(AU73,LOAI_THE!$B:$B,0)),"")</f>
        <v/>
      </c>
      <c r="AU73" s="48"/>
      <c r="AV73" s="15"/>
      <c r="AW73" s="15"/>
      <c r="AX73" s="15"/>
      <c r="AY73" s="48"/>
    </row>
    <row r="74" spans="1:51" x14ac:dyDescent="0.3">
      <c r="A74" s="13" t="s">
        <v>4350</v>
      </c>
      <c r="B74" s="48"/>
      <c r="C74" s="48"/>
      <c r="D74" s="48"/>
      <c r="E74" s="48"/>
      <c r="F74" s="48"/>
      <c r="G74" s="58" t="str">
        <f>IF(ISNUMBER(MATCH(H74,GIOI_TINH!$B:$B,0)),INDEX(GIOI_TINH!$A:$A,MATCH(H74,GIOI_TINH!$B:$B,0)),"")</f>
        <v/>
      </c>
      <c r="H74" s="15"/>
      <c r="I74" s="15"/>
      <c r="J74" s="58" t="str">
        <f>IF(ISNUMBER(MATCH(K74,QUOC_GIA!$B:$B,0)),INDEX(QUOC_GIA!$A:$A,MATCH(K74,QUOC_GIA!$B:$B,0)),"")</f>
        <v/>
      </c>
      <c r="K74" s="50"/>
      <c r="L74" s="15"/>
      <c r="M74" s="58" t="str">
        <f>IF(ISNUMBER(MATCH(N74,LOAI_THUE!$B:$B,0)),INDEX(LOAI_THUE!$A:$A,MATCH(N74,LOAI_THUE!$B:$B,0)),"")</f>
        <v/>
      </c>
      <c r="N74" s="50"/>
      <c r="O74" s="58" t="str">
        <f>IF(ISNUMBER(MATCH(P74,CHI_TIET_LOAI_KH!$B:$B,0)),INDEX(CHI_TIET_LOAI_KH!$A:$A,MATCH(P74,CHI_TIET_LOAI_KH!$B:$B,0)),"")</f>
        <v/>
      </c>
      <c r="P74" s="50"/>
      <c r="Q74" s="58" t="str">
        <f>IF(ISNUMBER(MATCH(R74,NGHE_NGHIEP!$B:$B,0)),INDEX(NGHE_NGHIEP!$A:$A,MATCH(R74,NGHE_NGHIEP!$B:$B,0)),"")</f>
        <v/>
      </c>
      <c r="R74" s="50"/>
      <c r="S74" s="58" t="str">
        <f>IF(ISNUMBER(MATCH(T74,LOAI_ID!$B:$B,0)),INDEX(LOAI_ID!$A:$A,MATCH(T74,LOAI_ID!$B:$B,0)),"")</f>
        <v/>
      </c>
      <c r="T74" s="16"/>
      <c r="U74" s="48"/>
      <c r="V74" s="48"/>
      <c r="W74" s="17"/>
      <c r="X74" s="17"/>
      <c r="Y74" s="15"/>
      <c r="Z74" s="15"/>
      <c r="AA74" s="59" t="str">
        <f>IFERROR(INDEX(NOI_CAP!$B:$B,MATCH(Z74,NOI_CAP!$A:$A,0)),"")</f>
        <v/>
      </c>
      <c r="AB74" s="58" t="str">
        <f>IF(ISNUMBER(MATCH(AC74,LOAI_DIA_CHI!$B:$B,0)),INDEX(LOAI_DIA_CHI!$A:$A,MATCH(AC74,LOAI_DIA_CHI!$B:$B,0)),"")</f>
        <v/>
      </c>
      <c r="AC74" s="16"/>
      <c r="AD74" s="58" t="str">
        <f>IF(ISNUMBER(MATCH(AE74,QUOC_GIA!$B:$B,0)),INDEX(QUOC_GIA!$A:$A,MATCH(AE74,QUOC_GIA!$B:$B,0)),"")</f>
        <v/>
      </c>
      <c r="AE74" s="16"/>
      <c r="AF74" s="48"/>
      <c r="AG74" s="59" t="str">
        <f>IFERROR(INDEX(TINH_TP!$B:$B,MATCH(AF74,TINH_TP!$A:$A,0)),"")</f>
        <v/>
      </c>
      <c r="AH74" s="50"/>
      <c r="AI74" s="59" t="str">
        <f>IF(OR(AF74="",AH74=""),"",IF(COUNTIFS(PHUONG_XA!$A$2:$A$3323,AH74,PHUONG_XA!$C$2:$C$3323,AF74)=0,"",INDEX(PHUONG_XA!$B$2:$B$3323,SUMPRODUCT((PHUONG_XA!$A$2:$A$3323&amp;""=AH74&amp;"")*(PHUONG_XA!$C$2:$C$3323&amp;""=AF74&amp;"")*(ROW(PHUONG_XA!$A$2:$A$3323)-ROW(PHUONG_XA!$A$2)+1)))))</f>
        <v/>
      </c>
      <c r="AJ74" s="14"/>
      <c r="AK74" s="14"/>
      <c r="AL74" s="57" t="str">
        <f t="shared" si="2"/>
        <v/>
      </c>
      <c r="AM74" s="14"/>
      <c r="AN74" s="15"/>
      <c r="AO74" s="15"/>
      <c r="AP74" s="48"/>
      <c r="AQ74" s="15"/>
      <c r="AR74" s="15"/>
      <c r="AS74" s="15"/>
      <c r="AT74" s="60" t="str">
        <f>IF(ISNUMBER(MATCH(AU74,LOAI_THE!$B:$B,0)),INDEX(LOAI_THE!$A:$A,MATCH(AU74,LOAI_THE!$B:$B,0)),"")</f>
        <v/>
      </c>
      <c r="AU74" s="48"/>
      <c r="AV74" s="15"/>
      <c r="AW74" s="15"/>
      <c r="AX74" s="15"/>
      <c r="AY74" s="48"/>
    </row>
    <row r="75" spans="1:51" x14ac:dyDescent="0.3">
      <c r="A75" s="13" t="s">
        <v>4351</v>
      </c>
      <c r="B75" s="48"/>
      <c r="C75" s="48"/>
      <c r="D75" s="48"/>
      <c r="E75" s="48"/>
      <c r="F75" s="48"/>
      <c r="G75" s="58" t="str">
        <f>IF(ISNUMBER(MATCH(H75,GIOI_TINH!$B:$B,0)),INDEX(GIOI_TINH!$A:$A,MATCH(H75,GIOI_TINH!$B:$B,0)),"")</f>
        <v/>
      </c>
      <c r="H75" s="15"/>
      <c r="I75" s="15"/>
      <c r="J75" s="58" t="str">
        <f>IF(ISNUMBER(MATCH(K75,QUOC_GIA!$B:$B,0)),INDEX(QUOC_GIA!$A:$A,MATCH(K75,QUOC_GIA!$B:$B,0)),"")</f>
        <v/>
      </c>
      <c r="K75" s="50"/>
      <c r="L75" s="15"/>
      <c r="M75" s="58" t="str">
        <f>IF(ISNUMBER(MATCH(N75,LOAI_THUE!$B:$B,0)),INDEX(LOAI_THUE!$A:$A,MATCH(N75,LOAI_THUE!$B:$B,0)),"")</f>
        <v/>
      </c>
      <c r="N75" s="50"/>
      <c r="O75" s="58" t="str">
        <f>IF(ISNUMBER(MATCH(P75,CHI_TIET_LOAI_KH!$B:$B,0)),INDEX(CHI_TIET_LOAI_KH!$A:$A,MATCH(P75,CHI_TIET_LOAI_KH!$B:$B,0)),"")</f>
        <v/>
      </c>
      <c r="P75" s="50"/>
      <c r="Q75" s="58" t="str">
        <f>IF(ISNUMBER(MATCH(R75,NGHE_NGHIEP!$B:$B,0)),INDEX(NGHE_NGHIEP!$A:$A,MATCH(R75,NGHE_NGHIEP!$B:$B,0)),"")</f>
        <v/>
      </c>
      <c r="R75" s="50"/>
      <c r="S75" s="58" t="str">
        <f>IF(ISNUMBER(MATCH(T75,LOAI_ID!$B:$B,0)),INDEX(LOAI_ID!$A:$A,MATCH(T75,LOAI_ID!$B:$B,0)),"")</f>
        <v/>
      </c>
      <c r="T75" s="16"/>
      <c r="U75" s="48"/>
      <c r="V75" s="48"/>
      <c r="W75" s="17"/>
      <c r="X75" s="17"/>
      <c r="Y75" s="15"/>
      <c r="Z75" s="15"/>
      <c r="AA75" s="59" t="str">
        <f>IFERROR(INDEX(NOI_CAP!$B:$B,MATCH(Z75,NOI_CAP!$A:$A,0)),"")</f>
        <v/>
      </c>
      <c r="AB75" s="58" t="str">
        <f>IF(ISNUMBER(MATCH(AC75,LOAI_DIA_CHI!$B:$B,0)),INDEX(LOAI_DIA_CHI!$A:$A,MATCH(AC75,LOAI_DIA_CHI!$B:$B,0)),"")</f>
        <v/>
      </c>
      <c r="AC75" s="16"/>
      <c r="AD75" s="58" t="str">
        <f>IF(ISNUMBER(MATCH(AE75,QUOC_GIA!$B:$B,0)),INDEX(QUOC_GIA!$A:$A,MATCH(AE75,QUOC_GIA!$B:$B,0)),"")</f>
        <v/>
      </c>
      <c r="AE75" s="16"/>
      <c r="AF75" s="48"/>
      <c r="AG75" s="59" t="str">
        <f>IFERROR(INDEX(TINH_TP!$B:$B,MATCH(AF75,TINH_TP!$A:$A,0)),"")</f>
        <v/>
      </c>
      <c r="AH75" s="50"/>
      <c r="AI75" s="59" t="str">
        <f>IF(OR(AF75="",AH75=""),"",IF(COUNTIFS(PHUONG_XA!$A$2:$A$3323,AH75,PHUONG_XA!$C$2:$C$3323,AF75)=0,"",INDEX(PHUONG_XA!$B$2:$B$3323,SUMPRODUCT((PHUONG_XA!$A$2:$A$3323&amp;""=AH75&amp;"")*(PHUONG_XA!$C$2:$C$3323&amp;""=AF75&amp;"")*(ROW(PHUONG_XA!$A$2:$A$3323)-ROW(PHUONG_XA!$A$2)+1)))))</f>
        <v/>
      </c>
      <c r="AJ75" s="14"/>
      <c r="AK75" s="14"/>
      <c r="AL75" s="57" t="str">
        <f t="shared" si="2"/>
        <v/>
      </c>
      <c r="AM75" s="14"/>
      <c r="AN75" s="15"/>
      <c r="AO75" s="15"/>
      <c r="AP75" s="48"/>
      <c r="AQ75" s="15"/>
      <c r="AR75" s="15"/>
      <c r="AS75" s="15"/>
      <c r="AT75" s="60" t="str">
        <f>IF(ISNUMBER(MATCH(AU75,LOAI_THE!$B:$B,0)),INDEX(LOAI_THE!$A:$A,MATCH(AU75,LOAI_THE!$B:$B,0)),"")</f>
        <v/>
      </c>
      <c r="AU75" s="48"/>
      <c r="AV75" s="15"/>
      <c r="AW75" s="15"/>
      <c r="AX75" s="15"/>
      <c r="AY75" s="48"/>
    </row>
    <row r="76" spans="1:51" x14ac:dyDescent="0.3">
      <c r="A76" s="13" t="s">
        <v>4352</v>
      </c>
      <c r="B76" s="48"/>
      <c r="C76" s="48"/>
      <c r="D76" s="48"/>
      <c r="E76" s="48"/>
      <c r="F76" s="48"/>
      <c r="G76" s="58" t="str">
        <f>IF(ISNUMBER(MATCH(H76,GIOI_TINH!$B:$B,0)),INDEX(GIOI_TINH!$A:$A,MATCH(H76,GIOI_TINH!$B:$B,0)),"")</f>
        <v/>
      </c>
      <c r="H76" s="15"/>
      <c r="I76" s="15"/>
      <c r="J76" s="58" t="str">
        <f>IF(ISNUMBER(MATCH(K76,QUOC_GIA!$B:$B,0)),INDEX(QUOC_GIA!$A:$A,MATCH(K76,QUOC_GIA!$B:$B,0)),"")</f>
        <v/>
      </c>
      <c r="K76" s="50"/>
      <c r="L76" s="15"/>
      <c r="M76" s="58" t="str">
        <f>IF(ISNUMBER(MATCH(N76,LOAI_THUE!$B:$B,0)),INDEX(LOAI_THUE!$A:$A,MATCH(N76,LOAI_THUE!$B:$B,0)),"")</f>
        <v/>
      </c>
      <c r="N76" s="50"/>
      <c r="O76" s="58" t="str">
        <f>IF(ISNUMBER(MATCH(P76,CHI_TIET_LOAI_KH!$B:$B,0)),INDEX(CHI_TIET_LOAI_KH!$A:$A,MATCH(P76,CHI_TIET_LOAI_KH!$B:$B,0)),"")</f>
        <v/>
      </c>
      <c r="P76" s="50"/>
      <c r="Q76" s="58" t="str">
        <f>IF(ISNUMBER(MATCH(R76,NGHE_NGHIEP!$B:$B,0)),INDEX(NGHE_NGHIEP!$A:$A,MATCH(R76,NGHE_NGHIEP!$B:$B,0)),"")</f>
        <v/>
      </c>
      <c r="R76" s="50"/>
      <c r="S76" s="58" t="str">
        <f>IF(ISNUMBER(MATCH(T76,LOAI_ID!$B:$B,0)),INDEX(LOAI_ID!$A:$A,MATCH(T76,LOAI_ID!$B:$B,0)),"")</f>
        <v/>
      </c>
      <c r="T76" s="16"/>
      <c r="U76" s="48"/>
      <c r="V76" s="48"/>
      <c r="W76" s="17"/>
      <c r="X76" s="17"/>
      <c r="Y76" s="15"/>
      <c r="Z76" s="15"/>
      <c r="AA76" s="59" t="str">
        <f>IFERROR(INDEX(NOI_CAP!$B:$B,MATCH(Z76,NOI_CAP!$A:$A,0)),"")</f>
        <v/>
      </c>
      <c r="AB76" s="58" t="str">
        <f>IF(ISNUMBER(MATCH(AC76,LOAI_DIA_CHI!$B:$B,0)),INDEX(LOAI_DIA_CHI!$A:$A,MATCH(AC76,LOAI_DIA_CHI!$B:$B,0)),"")</f>
        <v/>
      </c>
      <c r="AC76" s="16"/>
      <c r="AD76" s="58" t="str">
        <f>IF(ISNUMBER(MATCH(AE76,QUOC_GIA!$B:$B,0)),INDEX(QUOC_GIA!$A:$A,MATCH(AE76,QUOC_GIA!$B:$B,0)),"")</f>
        <v/>
      </c>
      <c r="AE76" s="16"/>
      <c r="AF76" s="48"/>
      <c r="AG76" s="59" t="str">
        <f>IFERROR(INDEX(TINH_TP!$B:$B,MATCH(AF76,TINH_TP!$A:$A,0)),"")</f>
        <v/>
      </c>
      <c r="AH76" s="50"/>
      <c r="AI76" s="59" t="str">
        <f>IF(OR(AF76="",AH76=""),"",IF(COUNTIFS(PHUONG_XA!$A$2:$A$3323,AH76,PHUONG_XA!$C$2:$C$3323,AF76)=0,"",INDEX(PHUONG_XA!$B$2:$B$3323,SUMPRODUCT((PHUONG_XA!$A$2:$A$3323&amp;""=AH76&amp;"")*(PHUONG_XA!$C$2:$C$3323&amp;""=AF76&amp;"")*(ROW(PHUONG_XA!$A$2:$A$3323)-ROW(PHUONG_XA!$A$2)+1)))))</f>
        <v/>
      </c>
      <c r="AJ76" s="14"/>
      <c r="AK76" s="14"/>
      <c r="AL76" s="57" t="str">
        <f t="shared" si="2"/>
        <v/>
      </c>
      <c r="AM76" s="14"/>
      <c r="AN76" s="15"/>
      <c r="AO76" s="15"/>
      <c r="AP76" s="48"/>
      <c r="AQ76" s="15"/>
      <c r="AR76" s="15"/>
      <c r="AS76" s="15"/>
      <c r="AT76" s="60" t="str">
        <f>IF(ISNUMBER(MATCH(AU76,LOAI_THE!$B:$B,0)),INDEX(LOAI_THE!$A:$A,MATCH(AU76,LOAI_THE!$B:$B,0)),"")</f>
        <v/>
      </c>
      <c r="AU76" s="48"/>
      <c r="AV76" s="15"/>
      <c r="AW76" s="15"/>
      <c r="AX76" s="15"/>
      <c r="AY76" s="48"/>
    </row>
    <row r="77" spans="1:51" x14ac:dyDescent="0.3">
      <c r="A77" s="13" t="s">
        <v>4353</v>
      </c>
      <c r="B77" s="48"/>
      <c r="C77" s="48"/>
      <c r="D77" s="48"/>
      <c r="E77" s="48"/>
      <c r="F77" s="48"/>
      <c r="G77" s="58" t="str">
        <f>IF(ISNUMBER(MATCH(H77,GIOI_TINH!$B:$B,0)),INDEX(GIOI_TINH!$A:$A,MATCH(H77,GIOI_TINH!$B:$B,0)),"")</f>
        <v/>
      </c>
      <c r="H77" s="15"/>
      <c r="I77" s="15"/>
      <c r="J77" s="58" t="str">
        <f>IF(ISNUMBER(MATCH(K77,QUOC_GIA!$B:$B,0)),INDEX(QUOC_GIA!$A:$A,MATCH(K77,QUOC_GIA!$B:$B,0)),"")</f>
        <v/>
      </c>
      <c r="K77" s="50"/>
      <c r="L77" s="15"/>
      <c r="M77" s="58" t="str">
        <f>IF(ISNUMBER(MATCH(N77,LOAI_THUE!$B:$B,0)),INDEX(LOAI_THUE!$A:$A,MATCH(N77,LOAI_THUE!$B:$B,0)),"")</f>
        <v/>
      </c>
      <c r="N77" s="50"/>
      <c r="O77" s="58" t="str">
        <f>IF(ISNUMBER(MATCH(P77,CHI_TIET_LOAI_KH!$B:$B,0)),INDEX(CHI_TIET_LOAI_KH!$A:$A,MATCH(P77,CHI_TIET_LOAI_KH!$B:$B,0)),"")</f>
        <v/>
      </c>
      <c r="P77" s="50"/>
      <c r="Q77" s="58" t="str">
        <f>IF(ISNUMBER(MATCH(R77,NGHE_NGHIEP!$B:$B,0)),INDEX(NGHE_NGHIEP!$A:$A,MATCH(R77,NGHE_NGHIEP!$B:$B,0)),"")</f>
        <v/>
      </c>
      <c r="R77" s="50"/>
      <c r="S77" s="58" t="str">
        <f>IF(ISNUMBER(MATCH(T77,LOAI_ID!$B:$B,0)),INDEX(LOAI_ID!$A:$A,MATCH(T77,LOAI_ID!$B:$B,0)),"")</f>
        <v/>
      </c>
      <c r="T77" s="16"/>
      <c r="U77" s="48"/>
      <c r="V77" s="48"/>
      <c r="W77" s="17"/>
      <c r="X77" s="17"/>
      <c r="Y77" s="15"/>
      <c r="Z77" s="15"/>
      <c r="AA77" s="59" t="str">
        <f>IFERROR(INDEX(NOI_CAP!$B:$B,MATCH(Z77,NOI_CAP!$A:$A,0)),"")</f>
        <v/>
      </c>
      <c r="AB77" s="58" t="str">
        <f>IF(ISNUMBER(MATCH(AC77,LOAI_DIA_CHI!$B:$B,0)),INDEX(LOAI_DIA_CHI!$A:$A,MATCH(AC77,LOAI_DIA_CHI!$B:$B,0)),"")</f>
        <v/>
      </c>
      <c r="AC77" s="16"/>
      <c r="AD77" s="58" t="str">
        <f>IF(ISNUMBER(MATCH(AE77,QUOC_GIA!$B:$B,0)),INDEX(QUOC_GIA!$A:$A,MATCH(AE77,QUOC_GIA!$B:$B,0)),"")</f>
        <v/>
      </c>
      <c r="AE77" s="16"/>
      <c r="AF77" s="48"/>
      <c r="AG77" s="59" t="str">
        <f>IFERROR(INDEX(TINH_TP!$B:$B,MATCH(AF77,TINH_TP!$A:$A,0)),"")</f>
        <v/>
      </c>
      <c r="AH77" s="50"/>
      <c r="AI77" s="59" t="str">
        <f>IF(OR(AF77="",AH77=""),"",IF(COUNTIFS(PHUONG_XA!$A$2:$A$3323,AH77,PHUONG_XA!$C$2:$C$3323,AF77)=0,"",INDEX(PHUONG_XA!$B$2:$B$3323,SUMPRODUCT((PHUONG_XA!$A$2:$A$3323&amp;""=AH77&amp;"")*(PHUONG_XA!$C$2:$C$3323&amp;""=AF77&amp;"")*(ROW(PHUONG_XA!$A$2:$A$3323)-ROW(PHUONG_XA!$A$2)+1)))))</f>
        <v/>
      </c>
      <c r="AJ77" s="14"/>
      <c r="AK77" s="14"/>
      <c r="AL77" s="57" t="str">
        <f t="shared" si="2"/>
        <v/>
      </c>
      <c r="AM77" s="14"/>
      <c r="AN77" s="15"/>
      <c r="AO77" s="15"/>
      <c r="AP77" s="48"/>
      <c r="AQ77" s="15"/>
      <c r="AR77" s="15"/>
      <c r="AS77" s="15"/>
      <c r="AT77" s="60" t="str">
        <f>IF(ISNUMBER(MATCH(AU77,LOAI_THE!$B:$B,0)),INDEX(LOAI_THE!$A:$A,MATCH(AU77,LOAI_THE!$B:$B,0)),"")</f>
        <v/>
      </c>
      <c r="AU77" s="48"/>
      <c r="AV77" s="15"/>
      <c r="AW77" s="15"/>
      <c r="AX77" s="15"/>
      <c r="AY77" s="48"/>
    </row>
    <row r="78" spans="1:51" x14ac:dyDescent="0.3">
      <c r="A78" s="13" t="s">
        <v>4354</v>
      </c>
      <c r="B78" s="48"/>
      <c r="C78" s="48"/>
      <c r="D78" s="48"/>
      <c r="E78" s="48"/>
      <c r="F78" s="48"/>
      <c r="G78" s="58" t="str">
        <f>IF(ISNUMBER(MATCH(H78,GIOI_TINH!$B:$B,0)),INDEX(GIOI_TINH!$A:$A,MATCH(H78,GIOI_TINH!$B:$B,0)),"")</f>
        <v/>
      </c>
      <c r="H78" s="15"/>
      <c r="I78" s="15"/>
      <c r="J78" s="58" t="str">
        <f>IF(ISNUMBER(MATCH(K78,QUOC_GIA!$B:$B,0)),INDEX(QUOC_GIA!$A:$A,MATCH(K78,QUOC_GIA!$B:$B,0)),"")</f>
        <v/>
      </c>
      <c r="K78" s="50"/>
      <c r="L78" s="15"/>
      <c r="M78" s="58" t="str">
        <f>IF(ISNUMBER(MATCH(N78,LOAI_THUE!$B:$B,0)),INDEX(LOAI_THUE!$A:$A,MATCH(N78,LOAI_THUE!$B:$B,0)),"")</f>
        <v/>
      </c>
      <c r="N78" s="50"/>
      <c r="O78" s="58" t="str">
        <f>IF(ISNUMBER(MATCH(P78,CHI_TIET_LOAI_KH!$B:$B,0)),INDEX(CHI_TIET_LOAI_KH!$A:$A,MATCH(P78,CHI_TIET_LOAI_KH!$B:$B,0)),"")</f>
        <v/>
      </c>
      <c r="P78" s="50"/>
      <c r="Q78" s="58" t="str">
        <f>IF(ISNUMBER(MATCH(R78,NGHE_NGHIEP!$B:$B,0)),INDEX(NGHE_NGHIEP!$A:$A,MATCH(R78,NGHE_NGHIEP!$B:$B,0)),"")</f>
        <v/>
      </c>
      <c r="R78" s="50"/>
      <c r="S78" s="58" t="str">
        <f>IF(ISNUMBER(MATCH(T78,LOAI_ID!$B:$B,0)),INDEX(LOAI_ID!$A:$A,MATCH(T78,LOAI_ID!$B:$B,0)),"")</f>
        <v/>
      </c>
      <c r="T78" s="16"/>
      <c r="U78" s="48"/>
      <c r="V78" s="48"/>
      <c r="W78" s="17"/>
      <c r="X78" s="17"/>
      <c r="Y78" s="15"/>
      <c r="Z78" s="15"/>
      <c r="AA78" s="59" t="str">
        <f>IFERROR(INDEX(NOI_CAP!$B:$B,MATCH(Z78,NOI_CAP!$A:$A,0)),"")</f>
        <v/>
      </c>
      <c r="AB78" s="58" t="str">
        <f>IF(ISNUMBER(MATCH(AC78,LOAI_DIA_CHI!$B:$B,0)),INDEX(LOAI_DIA_CHI!$A:$A,MATCH(AC78,LOAI_DIA_CHI!$B:$B,0)),"")</f>
        <v/>
      </c>
      <c r="AC78" s="16"/>
      <c r="AD78" s="58" t="str">
        <f>IF(ISNUMBER(MATCH(AE78,QUOC_GIA!$B:$B,0)),INDEX(QUOC_GIA!$A:$A,MATCH(AE78,QUOC_GIA!$B:$B,0)),"")</f>
        <v/>
      </c>
      <c r="AE78" s="16"/>
      <c r="AF78" s="48"/>
      <c r="AG78" s="59" t="str">
        <f>IFERROR(INDEX(TINH_TP!$B:$B,MATCH(AF78,TINH_TP!$A:$A,0)),"")</f>
        <v/>
      </c>
      <c r="AH78" s="50"/>
      <c r="AI78" s="59" t="str">
        <f>IF(OR(AF78="",AH78=""),"",IF(COUNTIFS(PHUONG_XA!$A$2:$A$3323,AH78,PHUONG_XA!$C$2:$C$3323,AF78)=0,"",INDEX(PHUONG_XA!$B$2:$B$3323,SUMPRODUCT((PHUONG_XA!$A$2:$A$3323&amp;""=AH78&amp;"")*(PHUONG_XA!$C$2:$C$3323&amp;""=AF78&amp;"")*(ROW(PHUONG_XA!$A$2:$A$3323)-ROW(PHUONG_XA!$A$2)+1)))))</f>
        <v/>
      </c>
      <c r="AJ78" s="14"/>
      <c r="AK78" s="14"/>
      <c r="AL78" s="57" t="str">
        <f t="shared" si="2"/>
        <v/>
      </c>
      <c r="AM78" s="14"/>
      <c r="AN78" s="15"/>
      <c r="AO78" s="15"/>
      <c r="AP78" s="48"/>
      <c r="AQ78" s="15"/>
      <c r="AR78" s="15"/>
      <c r="AS78" s="15"/>
      <c r="AT78" s="60" t="str">
        <f>IF(ISNUMBER(MATCH(AU78,LOAI_THE!$B:$B,0)),INDEX(LOAI_THE!$A:$A,MATCH(AU78,LOAI_THE!$B:$B,0)),"")</f>
        <v/>
      </c>
      <c r="AU78" s="48"/>
      <c r="AV78" s="15"/>
      <c r="AW78" s="15"/>
      <c r="AX78" s="15"/>
      <c r="AY78" s="48"/>
    </row>
    <row r="79" spans="1:51" x14ac:dyDescent="0.3">
      <c r="A79" s="13" t="s">
        <v>4355</v>
      </c>
      <c r="B79" s="48"/>
      <c r="C79" s="48"/>
      <c r="D79" s="48"/>
      <c r="E79" s="48"/>
      <c r="F79" s="48"/>
      <c r="G79" s="58" t="str">
        <f>IF(ISNUMBER(MATCH(H79,GIOI_TINH!$B:$B,0)),INDEX(GIOI_TINH!$A:$A,MATCH(H79,GIOI_TINH!$B:$B,0)),"")</f>
        <v/>
      </c>
      <c r="H79" s="15"/>
      <c r="I79" s="15"/>
      <c r="J79" s="58" t="str">
        <f>IF(ISNUMBER(MATCH(K79,QUOC_GIA!$B:$B,0)),INDEX(QUOC_GIA!$A:$A,MATCH(K79,QUOC_GIA!$B:$B,0)),"")</f>
        <v/>
      </c>
      <c r="K79" s="50"/>
      <c r="L79" s="15"/>
      <c r="M79" s="58" t="str">
        <f>IF(ISNUMBER(MATCH(N79,LOAI_THUE!$B:$B,0)),INDEX(LOAI_THUE!$A:$A,MATCH(N79,LOAI_THUE!$B:$B,0)),"")</f>
        <v/>
      </c>
      <c r="N79" s="50"/>
      <c r="O79" s="58" t="str">
        <f>IF(ISNUMBER(MATCH(P79,CHI_TIET_LOAI_KH!$B:$B,0)),INDEX(CHI_TIET_LOAI_KH!$A:$A,MATCH(P79,CHI_TIET_LOAI_KH!$B:$B,0)),"")</f>
        <v/>
      </c>
      <c r="P79" s="50"/>
      <c r="Q79" s="58" t="str">
        <f>IF(ISNUMBER(MATCH(R79,NGHE_NGHIEP!$B:$B,0)),INDEX(NGHE_NGHIEP!$A:$A,MATCH(R79,NGHE_NGHIEP!$B:$B,0)),"")</f>
        <v/>
      </c>
      <c r="R79" s="50"/>
      <c r="S79" s="58" t="str">
        <f>IF(ISNUMBER(MATCH(T79,LOAI_ID!$B:$B,0)),INDEX(LOAI_ID!$A:$A,MATCH(T79,LOAI_ID!$B:$B,0)),"")</f>
        <v/>
      </c>
      <c r="T79" s="16"/>
      <c r="U79" s="48"/>
      <c r="V79" s="48"/>
      <c r="W79" s="17"/>
      <c r="X79" s="17"/>
      <c r="Y79" s="15"/>
      <c r="Z79" s="15"/>
      <c r="AA79" s="59" t="str">
        <f>IFERROR(INDEX(NOI_CAP!$B:$B,MATCH(Z79,NOI_CAP!$A:$A,0)),"")</f>
        <v/>
      </c>
      <c r="AB79" s="58" t="str">
        <f>IF(ISNUMBER(MATCH(AC79,LOAI_DIA_CHI!$B:$B,0)),INDEX(LOAI_DIA_CHI!$A:$A,MATCH(AC79,LOAI_DIA_CHI!$B:$B,0)),"")</f>
        <v/>
      </c>
      <c r="AC79" s="16"/>
      <c r="AD79" s="58" t="str">
        <f>IF(ISNUMBER(MATCH(AE79,QUOC_GIA!$B:$B,0)),INDEX(QUOC_GIA!$A:$A,MATCH(AE79,QUOC_GIA!$B:$B,0)),"")</f>
        <v/>
      </c>
      <c r="AE79" s="16"/>
      <c r="AF79" s="48"/>
      <c r="AG79" s="59" t="str">
        <f>IFERROR(INDEX(TINH_TP!$B:$B,MATCH(AF79,TINH_TP!$A:$A,0)),"")</f>
        <v/>
      </c>
      <c r="AH79" s="50"/>
      <c r="AI79" s="59" t="str">
        <f>IF(OR(AF79="",AH79=""),"",IF(COUNTIFS(PHUONG_XA!$A$2:$A$3323,AH79,PHUONG_XA!$C$2:$C$3323,AF79)=0,"",INDEX(PHUONG_XA!$B$2:$B$3323,SUMPRODUCT((PHUONG_XA!$A$2:$A$3323&amp;""=AH79&amp;"")*(PHUONG_XA!$C$2:$C$3323&amp;""=AF79&amp;"")*(ROW(PHUONG_XA!$A$2:$A$3323)-ROW(PHUONG_XA!$A$2)+1)))))</f>
        <v/>
      </c>
      <c r="AJ79" s="14"/>
      <c r="AK79" s="14"/>
      <c r="AL79" s="57" t="str">
        <f t="shared" si="2"/>
        <v/>
      </c>
      <c r="AM79" s="14"/>
      <c r="AN79" s="15"/>
      <c r="AO79" s="15"/>
      <c r="AP79" s="48"/>
      <c r="AQ79" s="15"/>
      <c r="AR79" s="15"/>
      <c r="AS79" s="15"/>
      <c r="AT79" s="60" t="str">
        <f>IF(ISNUMBER(MATCH(AU79,LOAI_THE!$B:$B,0)),INDEX(LOAI_THE!$A:$A,MATCH(AU79,LOAI_THE!$B:$B,0)),"")</f>
        <v/>
      </c>
      <c r="AU79" s="48"/>
      <c r="AV79" s="15"/>
      <c r="AW79" s="15"/>
      <c r="AX79" s="15"/>
      <c r="AY79" s="48"/>
    </row>
    <row r="80" spans="1:51" x14ac:dyDescent="0.3">
      <c r="A80" s="13" t="s">
        <v>4356</v>
      </c>
      <c r="B80" s="48"/>
      <c r="C80" s="48"/>
      <c r="D80" s="48"/>
      <c r="E80" s="48"/>
      <c r="F80" s="48"/>
      <c r="G80" s="58" t="str">
        <f>IF(ISNUMBER(MATCH(H80,GIOI_TINH!$B:$B,0)),INDEX(GIOI_TINH!$A:$A,MATCH(H80,GIOI_TINH!$B:$B,0)),"")</f>
        <v/>
      </c>
      <c r="H80" s="15"/>
      <c r="I80" s="15"/>
      <c r="J80" s="58" t="str">
        <f>IF(ISNUMBER(MATCH(K80,QUOC_GIA!$B:$B,0)),INDEX(QUOC_GIA!$A:$A,MATCH(K80,QUOC_GIA!$B:$B,0)),"")</f>
        <v/>
      </c>
      <c r="K80" s="50"/>
      <c r="L80" s="15"/>
      <c r="M80" s="58" t="str">
        <f>IF(ISNUMBER(MATCH(N80,LOAI_THUE!$B:$B,0)),INDEX(LOAI_THUE!$A:$A,MATCH(N80,LOAI_THUE!$B:$B,0)),"")</f>
        <v/>
      </c>
      <c r="N80" s="50"/>
      <c r="O80" s="58" t="str">
        <f>IF(ISNUMBER(MATCH(P80,CHI_TIET_LOAI_KH!$B:$B,0)),INDEX(CHI_TIET_LOAI_KH!$A:$A,MATCH(P80,CHI_TIET_LOAI_KH!$B:$B,0)),"")</f>
        <v/>
      </c>
      <c r="P80" s="50"/>
      <c r="Q80" s="58" t="str">
        <f>IF(ISNUMBER(MATCH(R80,NGHE_NGHIEP!$B:$B,0)),INDEX(NGHE_NGHIEP!$A:$A,MATCH(R80,NGHE_NGHIEP!$B:$B,0)),"")</f>
        <v/>
      </c>
      <c r="R80" s="50"/>
      <c r="S80" s="58" t="str">
        <f>IF(ISNUMBER(MATCH(T80,LOAI_ID!$B:$B,0)),INDEX(LOAI_ID!$A:$A,MATCH(T80,LOAI_ID!$B:$B,0)),"")</f>
        <v/>
      </c>
      <c r="T80" s="16"/>
      <c r="U80" s="48"/>
      <c r="V80" s="48"/>
      <c r="W80" s="17"/>
      <c r="X80" s="17"/>
      <c r="Y80" s="15"/>
      <c r="Z80" s="15"/>
      <c r="AA80" s="59" t="str">
        <f>IFERROR(INDEX(NOI_CAP!$B:$B,MATCH(Z80,NOI_CAP!$A:$A,0)),"")</f>
        <v/>
      </c>
      <c r="AB80" s="58" t="str">
        <f>IF(ISNUMBER(MATCH(AC80,LOAI_DIA_CHI!$B:$B,0)),INDEX(LOAI_DIA_CHI!$A:$A,MATCH(AC80,LOAI_DIA_CHI!$B:$B,0)),"")</f>
        <v/>
      </c>
      <c r="AC80" s="16"/>
      <c r="AD80" s="58" t="str">
        <f>IF(ISNUMBER(MATCH(AE80,QUOC_GIA!$B:$B,0)),INDEX(QUOC_GIA!$A:$A,MATCH(AE80,QUOC_GIA!$B:$B,0)),"")</f>
        <v/>
      </c>
      <c r="AE80" s="16"/>
      <c r="AF80" s="48"/>
      <c r="AG80" s="59" t="str">
        <f>IFERROR(INDEX(TINH_TP!$B:$B,MATCH(AF80,TINH_TP!$A:$A,0)),"")</f>
        <v/>
      </c>
      <c r="AH80" s="50"/>
      <c r="AI80" s="59" t="str">
        <f>IF(OR(AF80="",AH80=""),"",IF(COUNTIFS(PHUONG_XA!$A$2:$A$3323,AH80,PHUONG_XA!$C$2:$C$3323,AF80)=0,"",INDEX(PHUONG_XA!$B$2:$B$3323,SUMPRODUCT((PHUONG_XA!$A$2:$A$3323&amp;""=AH80&amp;"")*(PHUONG_XA!$C$2:$C$3323&amp;""=AF80&amp;"")*(ROW(PHUONG_XA!$A$2:$A$3323)-ROW(PHUONG_XA!$A$2)+1)))))</f>
        <v/>
      </c>
      <c r="AJ80" s="14"/>
      <c r="AK80" s="14"/>
      <c r="AL80" s="57" t="str">
        <f t="shared" si="2"/>
        <v/>
      </c>
      <c r="AM80" s="14"/>
      <c r="AN80" s="15"/>
      <c r="AO80" s="15"/>
      <c r="AP80" s="48"/>
      <c r="AQ80" s="15"/>
      <c r="AR80" s="15"/>
      <c r="AS80" s="15"/>
      <c r="AT80" s="60" t="str">
        <f>IF(ISNUMBER(MATCH(AU80,LOAI_THE!$B:$B,0)),INDEX(LOAI_THE!$A:$A,MATCH(AU80,LOAI_THE!$B:$B,0)),"")</f>
        <v/>
      </c>
      <c r="AU80" s="48"/>
      <c r="AV80" s="15"/>
      <c r="AW80" s="15"/>
      <c r="AX80" s="15"/>
      <c r="AY80" s="48"/>
    </row>
    <row r="81" spans="1:51" x14ac:dyDescent="0.3">
      <c r="A81" s="13" t="s">
        <v>4357</v>
      </c>
      <c r="B81" s="48"/>
      <c r="C81" s="48"/>
      <c r="D81" s="48"/>
      <c r="E81" s="48"/>
      <c r="F81" s="48"/>
      <c r="G81" s="58" t="str">
        <f>IF(ISNUMBER(MATCH(H81,GIOI_TINH!$B:$B,0)),INDEX(GIOI_TINH!$A:$A,MATCH(H81,GIOI_TINH!$B:$B,0)),"")</f>
        <v/>
      </c>
      <c r="H81" s="15"/>
      <c r="I81" s="15"/>
      <c r="J81" s="58" t="str">
        <f>IF(ISNUMBER(MATCH(K81,QUOC_GIA!$B:$B,0)),INDEX(QUOC_GIA!$A:$A,MATCH(K81,QUOC_GIA!$B:$B,0)),"")</f>
        <v/>
      </c>
      <c r="K81" s="50"/>
      <c r="L81" s="15"/>
      <c r="M81" s="58" t="str">
        <f>IF(ISNUMBER(MATCH(N81,LOAI_THUE!$B:$B,0)),INDEX(LOAI_THUE!$A:$A,MATCH(N81,LOAI_THUE!$B:$B,0)),"")</f>
        <v/>
      </c>
      <c r="N81" s="50"/>
      <c r="O81" s="58" t="str">
        <f>IF(ISNUMBER(MATCH(P81,CHI_TIET_LOAI_KH!$B:$B,0)),INDEX(CHI_TIET_LOAI_KH!$A:$A,MATCH(P81,CHI_TIET_LOAI_KH!$B:$B,0)),"")</f>
        <v/>
      </c>
      <c r="P81" s="50"/>
      <c r="Q81" s="58" t="str">
        <f>IF(ISNUMBER(MATCH(R81,NGHE_NGHIEP!$B:$B,0)),INDEX(NGHE_NGHIEP!$A:$A,MATCH(R81,NGHE_NGHIEP!$B:$B,0)),"")</f>
        <v/>
      </c>
      <c r="R81" s="50"/>
      <c r="S81" s="58" t="str">
        <f>IF(ISNUMBER(MATCH(T81,LOAI_ID!$B:$B,0)),INDEX(LOAI_ID!$A:$A,MATCH(T81,LOAI_ID!$B:$B,0)),"")</f>
        <v/>
      </c>
      <c r="T81" s="16"/>
      <c r="U81" s="48"/>
      <c r="V81" s="48"/>
      <c r="W81" s="17"/>
      <c r="X81" s="17"/>
      <c r="Y81" s="15"/>
      <c r="Z81" s="15"/>
      <c r="AA81" s="59" t="str">
        <f>IFERROR(INDEX(NOI_CAP!$B:$B,MATCH(Z81,NOI_CAP!$A:$A,0)),"")</f>
        <v/>
      </c>
      <c r="AB81" s="58" t="str">
        <f>IF(ISNUMBER(MATCH(AC81,LOAI_DIA_CHI!$B:$B,0)),INDEX(LOAI_DIA_CHI!$A:$A,MATCH(AC81,LOAI_DIA_CHI!$B:$B,0)),"")</f>
        <v/>
      </c>
      <c r="AC81" s="16"/>
      <c r="AD81" s="58" t="str">
        <f>IF(ISNUMBER(MATCH(AE81,QUOC_GIA!$B:$B,0)),INDEX(QUOC_GIA!$A:$A,MATCH(AE81,QUOC_GIA!$B:$B,0)),"")</f>
        <v/>
      </c>
      <c r="AE81" s="16"/>
      <c r="AF81" s="48"/>
      <c r="AG81" s="59" t="str">
        <f>IFERROR(INDEX(TINH_TP!$B:$B,MATCH(AF81,TINH_TP!$A:$A,0)),"")</f>
        <v/>
      </c>
      <c r="AH81" s="50"/>
      <c r="AI81" s="59" t="str">
        <f>IF(OR(AF81="",AH81=""),"",IF(COUNTIFS(PHUONG_XA!$A$2:$A$3323,AH81,PHUONG_XA!$C$2:$C$3323,AF81)=0,"",INDEX(PHUONG_XA!$B$2:$B$3323,SUMPRODUCT((PHUONG_XA!$A$2:$A$3323&amp;""=AH81&amp;"")*(PHUONG_XA!$C$2:$C$3323&amp;""=AF81&amp;"")*(ROW(PHUONG_XA!$A$2:$A$3323)-ROW(PHUONG_XA!$A$2)+1)))))</f>
        <v/>
      </c>
      <c r="AJ81" s="14"/>
      <c r="AK81" s="14"/>
      <c r="AL81" s="57" t="str">
        <f t="shared" si="2"/>
        <v/>
      </c>
      <c r="AM81" s="14"/>
      <c r="AN81" s="15"/>
      <c r="AO81" s="15"/>
      <c r="AP81" s="48"/>
      <c r="AQ81" s="15"/>
      <c r="AR81" s="15"/>
      <c r="AS81" s="15"/>
      <c r="AT81" s="60" t="str">
        <f>IF(ISNUMBER(MATCH(AU81,LOAI_THE!$B:$B,0)),INDEX(LOAI_THE!$A:$A,MATCH(AU81,LOAI_THE!$B:$B,0)),"")</f>
        <v/>
      </c>
      <c r="AU81" s="48"/>
      <c r="AV81" s="15"/>
      <c r="AW81" s="15"/>
      <c r="AX81" s="15"/>
      <c r="AY81" s="48"/>
    </row>
    <row r="82" spans="1:51" x14ac:dyDescent="0.3">
      <c r="A82" s="13" t="s">
        <v>4358</v>
      </c>
      <c r="B82" s="48"/>
      <c r="C82" s="48"/>
      <c r="D82" s="48"/>
      <c r="E82" s="48"/>
      <c r="F82" s="48"/>
      <c r="G82" s="58" t="str">
        <f>IF(ISNUMBER(MATCH(H82,GIOI_TINH!$B:$B,0)),INDEX(GIOI_TINH!$A:$A,MATCH(H82,GIOI_TINH!$B:$B,0)),"")</f>
        <v/>
      </c>
      <c r="H82" s="15"/>
      <c r="I82" s="15"/>
      <c r="J82" s="58" t="str">
        <f>IF(ISNUMBER(MATCH(K82,QUOC_GIA!$B:$B,0)),INDEX(QUOC_GIA!$A:$A,MATCH(K82,QUOC_GIA!$B:$B,0)),"")</f>
        <v/>
      </c>
      <c r="K82" s="50"/>
      <c r="L82" s="15"/>
      <c r="M82" s="58" t="str">
        <f>IF(ISNUMBER(MATCH(N82,LOAI_THUE!$B:$B,0)),INDEX(LOAI_THUE!$A:$A,MATCH(N82,LOAI_THUE!$B:$B,0)),"")</f>
        <v/>
      </c>
      <c r="N82" s="50"/>
      <c r="O82" s="58" t="str">
        <f>IF(ISNUMBER(MATCH(P82,CHI_TIET_LOAI_KH!$B:$B,0)),INDEX(CHI_TIET_LOAI_KH!$A:$A,MATCH(P82,CHI_TIET_LOAI_KH!$B:$B,0)),"")</f>
        <v/>
      </c>
      <c r="P82" s="50"/>
      <c r="Q82" s="58" t="str">
        <f>IF(ISNUMBER(MATCH(R82,NGHE_NGHIEP!$B:$B,0)),INDEX(NGHE_NGHIEP!$A:$A,MATCH(R82,NGHE_NGHIEP!$B:$B,0)),"")</f>
        <v/>
      </c>
      <c r="R82" s="50"/>
      <c r="S82" s="58" t="str">
        <f>IF(ISNUMBER(MATCH(T82,LOAI_ID!$B:$B,0)),INDEX(LOAI_ID!$A:$A,MATCH(T82,LOAI_ID!$B:$B,0)),"")</f>
        <v/>
      </c>
      <c r="T82" s="16"/>
      <c r="U82" s="48"/>
      <c r="V82" s="48"/>
      <c r="W82" s="17"/>
      <c r="X82" s="17"/>
      <c r="Y82" s="15"/>
      <c r="Z82" s="15"/>
      <c r="AA82" s="59" t="str">
        <f>IFERROR(INDEX(NOI_CAP!$B:$B,MATCH(Z82,NOI_CAP!$A:$A,0)),"")</f>
        <v/>
      </c>
      <c r="AB82" s="58" t="str">
        <f>IF(ISNUMBER(MATCH(AC82,LOAI_DIA_CHI!$B:$B,0)),INDEX(LOAI_DIA_CHI!$A:$A,MATCH(AC82,LOAI_DIA_CHI!$B:$B,0)),"")</f>
        <v/>
      </c>
      <c r="AC82" s="16"/>
      <c r="AD82" s="58" t="str">
        <f>IF(ISNUMBER(MATCH(AE82,QUOC_GIA!$B:$B,0)),INDEX(QUOC_GIA!$A:$A,MATCH(AE82,QUOC_GIA!$B:$B,0)),"")</f>
        <v/>
      </c>
      <c r="AE82" s="16"/>
      <c r="AF82" s="48"/>
      <c r="AG82" s="59" t="str">
        <f>IFERROR(INDEX(TINH_TP!$B:$B,MATCH(AF82,TINH_TP!$A:$A,0)),"")</f>
        <v/>
      </c>
      <c r="AH82" s="50"/>
      <c r="AI82" s="59" t="str">
        <f>IF(OR(AF82="",AH82=""),"",IF(COUNTIFS(PHUONG_XA!$A$2:$A$3323,AH82,PHUONG_XA!$C$2:$C$3323,AF82)=0,"",INDEX(PHUONG_XA!$B$2:$B$3323,SUMPRODUCT((PHUONG_XA!$A$2:$A$3323&amp;""=AH82&amp;"")*(PHUONG_XA!$C$2:$C$3323&amp;""=AF82&amp;"")*(ROW(PHUONG_XA!$A$2:$A$3323)-ROW(PHUONG_XA!$A$2)+1)))))</f>
        <v/>
      </c>
      <c r="AJ82" s="14"/>
      <c r="AK82" s="14"/>
      <c r="AL82" s="57" t="str">
        <f t="shared" si="2"/>
        <v/>
      </c>
      <c r="AM82" s="14"/>
      <c r="AN82" s="15"/>
      <c r="AO82" s="15"/>
      <c r="AP82" s="48"/>
      <c r="AQ82" s="15"/>
      <c r="AR82" s="15"/>
      <c r="AS82" s="15"/>
      <c r="AT82" s="60" t="str">
        <f>IF(ISNUMBER(MATCH(AU82,LOAI_THE!$B:$B,0)),INDEX(LOAI_THE!$A:$A,MATCH(AU82,LOAI_THE!$B:$B,0)),"")</f>
        <v/>
      </c>
      <c r="AU82" s="48"/>
      <c r="AV82" s="15"/>
      <c r="AW82" s="15"/>
      <c r="AX82" s="15"/>
      <c r="AY82" s="48"/>
    </row>
    <row r="83" spans="1:51" x14ac:dyDescent="0.3">
      <c r="A83" s="13" t="s">
        <v>4359</v>
      </c>
      <c r="B83" s="48"/>
      <c r="C83" s="48"/>
      <c r="D83" s="48"/>
      <c r="E83" s="48"/>
      <c r="F83" s="48"/>
      <c r="G83" s="58" t="str">
        <f>IF(ISNUMBER(MATCH(H83,GIOI_TINH!$B:$B,0)),INDEX(GIOI_TINH!$A:$A,MATCH(H83,GIOI_TINH!$B:$B,0)),"")</f>
        <v/>
      </c>
      <c r="H83" s="15"/>
      <c r="I83" s="15"/>
      <c r="J83" s="58" t="str">
        <f>IF(ISNUMBER(MATCH(K83,QUOC_GIA!$B:$B,0)),INDEX(QUOC_GIA!$A:$A,MATCH(K83,QUOC_GIA!$B:$B,0)),"")</f>
        <v/>
      </c>
      <c r="K83" s="50"/>
      <c r="L83" s="15"/>
      <c r="M83" s="58" t="str">
        <f>IF(ISNUMBER(MATCH(N83,LOAI_THUE!$B:$B,0)),INDEX(LOAI_THUE!$A:$A,MATCH(N83,LOAI_THUE!$B:$B,0)),"")</f>
        <v/>
      </c>
      <c r="N83" s="50"/>
      <c r="O83" s="58" t="str">
        <f>IF(ISNUMBER(MATCH(P83,CHI_TIET_LOAI_KH!$B:$B,0)),INDEX(CHI_TIET_LOAI_KH!$A:$A,MATCH(P83,CHI_TIET_LOAI_KH!$B:$B,0)),"")</f>
        <v/>
      </c>
      <c r="P83" s="50"/>
      <c r="Q83" s="58" t="str">
        <f>IF(ISNUMBER(MATCH(R83,NGHE_NGHIEP!$B:$B,0)),INDEX(NGHE_NGHIEP!$A:$A,MATCH(R83,NGHE_NGHIEP!$B:$B,0)),"")</f>
        <v/>
      </c>
      <c r="R83" s="50"/>
      <c r="S83" s="58" t="str">
        <f>IF(ISNUMBER(MATCH(T83,LOAI_ID!$B:$B,0)),INDEX(LOAI_ID!$A:$A,MATCH(T83,LOAI_ID!$B:$B,0)),"")</f>
        <v/>
      </c>
      <c r="T83" s="16"/>
      <c r="U83" s="48"/>
      <c r="V83" s="48"/>
      <c r="W83" s="17"/>
      <c r="X83" s="17"/>
      <c r="Y83" s="15"/>
      <c r="Z83" s="15"/>
      <c r="AA83" s="59" t="str">
        <f>IFERROR(INDEX(NOI_CAP!$B:$B,MATCH(Z83,NOI_CAP!$A:$A,0)),"")</f>
        <v/>
      </c>
      <c r="AB83" s="58" t="str">
        <f>IF(ISNUMBER(MATCH(AC83,LOAI_DIA_CHI!$B:$B,0)),INDEX(LOAI_DIA_CHI!$A:$A,MATCH(AC83,LOAI_DIA_CHI!$B:$B,0)),"")</f>
        <v/>
      </c>
      <c r="AC83" s="16"/>
      <c r="AD83" s="58" t="str">
        <f>IF(ISNUMBER(MATCH(AE83,QUOC_GIA!$B:$B,0)),INDEX(QUOC_GIA!$A:$A,MATCH(AE83,QUOC_GIA!$B:$B,0)),"")</f>
        <v/>
      </c>
      <c r="AE83" s="16"/>
      <c r="AF83" s="48"/>
      <c r="AG83" s="59" t="str">
        <f>IFERROR(INDEX(TINH_TP!$B:$B,MATCH(AF83,TINH_TP!$A:$A,0)),"")</f>
        <v/>
      </c>
      <c r="AH83" s="50"/>
      <c r="AI83" s="59" t="str">
        <f>IF(OR(AF83="",AH83=""),"",IF(COUNTIFS(PHUONG_XA!$A$2:$A$3323,AH83,PHUONG_XA!$C$2:$C$3323,AF83)=0,"",INDEX(PHUONG_XA!$B$2:$B$3323,SUMPRODUCT((PHUONG_XA!$A$2:$A$3323&amp;""=AH83&amp;"")*(PHUONG_XA!$C$2:$C$3323&amp;""=AF83&amp;"")*(ROW(PHUONG_XA!$A$2:$A$3323)-ROW(PHUONG_XA!$A$2)+1)))))</f>
        <v/>
      </c>
      <c r="AJ83" s="14"/>
      <c r="AK83" s="14"/>
      <c r="AL83" s="57" t="str">
        <f t="shared" si="2"/>
        <v/>
      </c>
      <c r="AM83" s="14"/>
      <c r="AN83" s="15"/>
      <c r="AO83" s="15"/>
      <c r="AP83" s="48"/>
      <c r="AQ83" s="15"/>
      <c r="AR83" s="15"/>
      <c r="AS83" s="15"/>
      <c r="AT83" s="60" t="str">
        <f>IF(ISNUMBER(MATCH(AU83,LOAI_THE!$B:$B,0)),INDEX(LOAI_THE!$A:$A,MATCH(AU83,LOAI_THE!$B:$B,0)),"")</f>
        <v/>
      </c>
      <c r="AU83" s="48"/>
      <c r="AV83" s="15"/>
      <c r="AW83" s="15"/>
      <c r="AX83" s="15"/>
      <c r="AY83" s="48"/>
    </row>
    <row r="84" spans="1:51" x14ac:dyDescent="0.3">
      <c r="A84" s="13" t="s">
        <v>4360</v>
      </c>
      <c r="B84" s="48"/>
      <c r="C84" s="48"/>
      <c r="D84" s="48"/>
      <c r="E84" s="48"/>
      <c r="F84" s="48"/>
      <c r="G84" s="58" t="str">
        <f>IF(ISNUMBER(MATCH(H84,GIOI_TINH!$B:$B,0)),INDEX(GIOI_TINH!$A:$A,MATCH(H84,GIOI_TINH!$B:$B,0)),"")</f>
        <v/>
      </c>
      <c r="H84" s="15"/>
      <c r="I84" s="15"/>
      <c r="J84" s="58" t="str">
        <f>IF(ISNUMBER(MATCH(K84,QUOC_GIA!$B:$B,0)),INDEX(QUOC_GIA!$A:$A,MATCH(K84,QUOC_GIA!$B:$B,0)),"")</f>
        <v/>
      </c>
      <c r="K84" s="50"/>
      <c r="L84" s="15"/>
      <c r="M84" s="58" t="str">
        <f>IF(ISNUMBER(MATCH(N84,LOAI_THUE!$B:$B,0)),INDEX(LOAI_THUE!$A:$A,MATCH(N84,LOAI_THUE!$B:$B,0)),"")</f>
        <v/>
      </c>
      <c r="N84" s="50"/>
      <c r="O84" s="58" t="str">
        <f>IF(ISNUMBER(MATCH(P84,CHI_TIET_LOAI_KH!$B:$B,0)),INDEX(CHI_TIET_LOAI_KH!$A:$A,MATCH(P84,CHI_TIET_LOAI_KH!$B:$B,0)),"")</f>
        <v/>
      </c>
      <c r="P84" s="50"/>
      <c r="Q84" s="58" t="str">
        <f>IF(ISNUMBER(MATCH(R84,NGHE_NGHIEP!$B:$B,0)),INDEX(NGHE_NGHIEP!$A:$A,MATCH(R84,NGHE_NGHIEP!$B:$B,0)),"")</f>
        <v/>
      </c>
      <c r="R84" s="50"/>
      <c r="S84" s="58" t="str">
        <f>IF(ISNUMBER(MATCH(T84,LOAI_ID!$B:$B,0)),INDEX(LOAI_ID!$A:$A,MATCH(T84,LOAI_ID!$B:$B,0)),"")</f>
        <v/>
      </c>
      <c r="T84" s="16"/>
      <c r="U84" s="48"/>
      <c r="V84" s="48"/>
      <c r="W84" s="17"/>
      <c r="X84" s="17"/>
      <c r="Y84" s="15"/>
      <c r="Z84" s="15"/>
      <c r="AA84" s="59" t="str">
        <f>IFERROR(INDEX(NOI_CAP!$B:$B,MATCH(Z84,NOI_CAP!$A:$A,0)),"")</f>
        <v/>
      </c>
      <c r="AB84" s="58" t="str">
        <f>IF(ISNUMBER(MATCH(AC84,LOAI_DIA_CHI!$B:$B,0)),INDEX(LOAI_DIA_CHI!$A:$A,MATCH(AC84,LOAI_DIA_CHI!$B:$B,0)),"")</f>
        <v/>
      </c>
      <c r="AC84" s="16"/>
      <c r="AD84" s="58" t="str">
        <f>IF(ISNUMBER(MATCH(AE84,QUOC_GIA!$B:$B,0)),INDEX(QUOC_GIA!$A:$A,MATCH(AE84,QUOC_GIA!$B:$B,0)),"")</f>
        <v/>
      </c>
      <c r="AE84" s="16"/>
      <c r="AF84" s="48"/>
      <c r="AG84" s="59" t="str">
        <f>IFERROR(INDEX(TINH_TP!$B:$B,MATCH(AF84,TINH_TP!$A:$A,0)),"")</f>
        <v/>
      </c>
      <c r="AH84" s="50"/>
      <c r="AI84" s="59" t="str">
        <f>IF(OR(AF84="",AH84=""),"",IF(COUNTIFS(PHUONG_XA!$A$2:$A$3323,AH84,PHUONG_XA!$C$2:$C$3323,AF84)=0,"",INDEX(PHUONG_XA!$B$2:$B$3323,SUMPRODUCT((PHUONG_XA!$A$2:$A$3323&amp;""=AH84&amp;"")*(PHUONG_XA!$C$2:$C$3323&amp;""=AF84&amp;"")*(ROW(PHUONG_XA!$A$2:$A$3323)-ROW(PHUONG_XA!$A$2)+1)))))</f>
        <v/>
      </c>
      <c r="AJ84" s="14"/>
      <c r="AK84" s="14"/>
      <c r="AL84" s="57" t="str">
        <f t="shared" si="2"/>
        <v/>
      </c>
      <c r="AM84" s="14"/>
      <c r="AN84" s="15"/>
      <c r="AO84" s="15"/>
      <c r="AP84" s="48"/>
      <c r="AQ84" s="15"/>
      <c r="AR84" s="15"/>
      <c r="AS84" s="15"/>
      <c r="AT84" s="60" t="str">
        <f>IF(ISNUMBER(MATCH(AU84,LOAI_THE!$B:$B,0)),INDEX(LOAI_THE!$A:$A,MATCH(AU84,LOAI_THE!$B:$B,0)),"")</f>
        <v/>
      </c>
      <c r="AU84" s="48"/>
      <c r="AV84" s="15"/>
      <c r="AW84" s="15"/>
      <c r="AX84" s="15"/>
      <c r="AY84" s="48"/>
    </row>
    <row r="85" spans="1:51" x14ac:dyDescent="0.3">
      <c r="A85" s="13" t="s">
        <v>4361</v>
      </c>
      <c r="B85" s="48"/>
      <c r="C85" s="48"/>
      <c r="D85" s="48"/>
      <c r="E85" s="48"/>
      <c r="F85" s="48"/>
      <c r="G85" s="58" t="str">
        <f>IF(ISNUMBER(MATCH(H85,GIOI_TINH!$B:$B,0)),INDEX(GIOI_TINH!$A:$A,MATCH(H85,GIOI_TINH!$B:$B,0)),"")</f>
        <v/>
      </c>
      <c r="H85" s="15"/>
      <c r="I85" s="15"/>
      <c r="J85" s="58" t="str">
        <f>IF(ISNUMBER(MATCH(K85,QUOC_GIA!$B:$B,0)),INDEX(QUOC_GIA!$A:$A,MATCH(K85,QUOC_GIA!$B:$B,0)),"")</f>
        <v/>
      </c>
      <c r="K85" s="50"/>
      <c r="L85" s="15"/>
      <c r="M85" s="58" t="str">
        <f>IF(ISNUMBER(MATCH(N85,LOAI_THUE!$B:$B,0)),INDEX(LOAI_THUE!$A:$A,MATCH(N85,LOAI_THUE!$B:$B,0)),"")</f>
        <v/>
      </c>
      <c r="N85" s="50"/>
      <c r="O85" s="58" t="str">
        <f>IF(ISNUMBER(MATCH(P85,CHI_TIET_LOAI_KH!$B:$B,0)),INDEX(CHI_TIET_LOAI_KH!$A:$A,MATCH(P85,CHI_TIET_LOAI_KH!$B:$B,0)),"")</f>
        <v/>
      </c>
      <c r="P85" s="50"/>
      <c r="Q85" s="58" t="str">
        <f>IF(ISNUMBER(MATCH(R85,NGHE_NGHIEP!$B:$B,0)),INDEX(NGHE_NGHIEP!$A:$A,MATCH(R85,NGHE_NGHIEP!$B:$B,0)),"")</f>
        <v/>
      </c>
      <c r="R85" s="50"/>
      <c r="S85" s="58" t="str">
        <f>IF(ISNUMBER(MATCH(T85,LOAI_ID!$B:$B,0)),INDEX(LOAI_ID!$A:$A,MATCH(T85,LOAI_ID!$B:$B,0)),"")</f>
        <v/>
      </c>
      <c r="T85" s="16"/>
      <c r="U85" s="48"/>
      <c r="V85" s="48"/>
      <c r="W85" s="17"/>
      <c r="X85" s="17"/>
      <c r="Y85" s="15"/>
      <c r="Z85" s="15"/>
      <c r="AA85" s="59" t="str">
        <f>IFERROR(INDEX(NOI_CAP!$B:$B,MATCH(Z85,NOI_CAP!$A:$A,0)),"")</f>
        <v/>
      </c>
      <c r="AB85" s="58" t="str">
        <f>IF(ISNUMBER(MATCH(AC85,LOAI_DIA_CHI!$B:$B,0)),INDEX(LOAI_DIA_CHI!$A:$A,MATCH(AC85,LOAI_DIA_CHI!$B:$B,0)),"")</f>
        <v/>
      </c>
      <c r="AC85" s="16"/>
      <c r="AD85" s="58" t="str">
        <f>IF(ISNUMBER(MATCH(AE85,QUOC_GIA!$B:$B,0)),INDEX(QUOC_GIA!$A:$A,MATCH(AE85,QUOC_GIA!$B:$B,0)),"")</f>
        <v/>
      </c>
      <c r="AE85" s="16"/>
      <c r="AF85" s="48"/>
      <c r="AG85" s="59" t="str">
        <f>IFERROR(INDEX(TINH_TP!$B:$B,MATCH(AF85,TINH_TP!$A:$A,0)),"")</f>
        <v/>
      </c>
      <c r="AH85" s="50"/>
      <c r="AI85" s="59" t="str">
        <f>IF(OR(AF85="",AH85=""),"",IF(COUNTIFS(PHUONG_XA!$A$2:$A$3323,AH85,PHUONG_XA!$C$2:$C$3323,AF85)=0,"",INDEX(PHUONG_XA!$B$2:$B$3323,SUMPRODUCT((PHUONG_XA!$A$2:$A$3323&amp;""=AH85&amp;"")*(PHUONG_XA!$C$2:$C$3323&amp;""=AF85&amp;"")*(ROW(PHUONG_XA!$A$2:$A$3323)-ROW(PHUONG_XA!$A$2)+1)))))</f>
        <v/>
      </c>
      <c r="AJ85" s="14"/>
      <c r="AK85" s="14"/>
      <c r="AL85" s="57" t="str">
        <f t="shared" si="2"/>
        <v/>
      </c>
      <c r="AM85" s="14"/>
      <c r="AN85" s="15"/>
      <c r="AO85" s="15"/>
      <c r="AP85" s="48"/>
      <c r="AQ85" s="15"/>
      <c r="AR85" s="15"/>
      <c r="AS85" s="15"/>
      <c r="AT85" s="60" t="str">
        <f>IF(ISNUMBER(MATCH(AU85,LOAI_THE!$B:$B,0)),INDEX(LOAI_THE!$A:$A,MATCH(AU85,LOAI_THE!$B:$B,0)),"")</f>
        <v/>
      </c>
      <c r="AU85" s="48"/>
      <c r="AV85" s="15"/>
      <c r="AW85" s="15"/>
      <c r="AX85" s="15"/>
      <c r="AY85" s="48"/>
    </row>
    <row r="86" spans="1:51" x14ac:dyDescent="0.3">
      <c r="A86" s="13" t="s">
        <v>4362</v>
      </c>
      <c r="B86" s="48"/>
      <c r="C86" s="48"/>
      <c r="D86" s="48"/>
      <c r="E86" s="48"/>
      <c r="F86" s="48"/>
      <c r="G86" s="58" t="str">
        <f>IF(ISNUMBER(MATCH(H86,GIOI_TINH!$B:$B,0)),INDEX(GIOI_TINH!$A:$A,MATCH(H86,GIOI_TINH!$B:$B,0)),"")</f>
        <v/>
      </c>
      <c r="H86" s="15"/>
      <c r="I86" s="15"/>
      <c r="J86" s="58" t="str">
        <f>IF(ISNUMBER(MATCH(K86,QUOC_GIA!$B:$B,0)),INDEX(QUOC_GIA!$A:$A,MATCH(K86,QUOC_GIA!$B:$B,0)),"")</f>
        <v/>
      </c>
      <c r="K86" s="50"/>
      <c r="L86" s="15"/>
      <c r="M86" s="58" t="str">
        <f>IF(ISNUMBER(MATCH(N86,LOAI_THUE!$B:$B,0)),INDEX(LOAI_THUE!$A:$A,MATCH(N86,LOAI_THUE!$B:$B,0)),"")</f>
        <v/>
      </c>
      <c r="N86" s="50"/>
      <c r="O86" s="58" t="str">
        <f>IF(ISNUMBER(MATCH(P86,CHI_TIET_LOAI_KH!$B:$B,0)),INDEX(CHI_TIET_LOAI_KH!$A:$A,MATCH(P86,CHI_TIET_LOAI_KH!$B:$B,0)),"")</f>
        <v/>
      </c>
      <c r="P86" s="50"/>
      <c r="Q86" s="58" t="str">
        <f>IF(ISNUMBER(MATCH(R86,NGHE_NGHIEP!$B:$B,0)),INDEX(NGHE_NGHIEP!$A:$A,MATCH(R86,NGHE_NGHIEP!$B:$B,0)),"")</f>
        <v/>
      </c>
      <c r="R86" s="50"/>
      <c r="S86" s="58" t="str">
        <f>IF(ISNUMBER(MATCH(T86,LOAI_ID!$B:$B,0)),INDEX(LOAI_ID!$A:$A,MATCH(T86,LOAI_ID!$B:$B,0)),"")</f>
        <v/>
      </c>
      <c r="T86" s="16"/>
      <c r="U86" s="48"/>
      <c r="V86" s="48"/>
      <c r="W86" s="17"/>
      <c r="X86" s="17"/>
      <c r="Y86" s="15"/>
      <c r="Z86" s="15"/>
      <c r="AA86" s="59" t="str">
        <f>IFERROR(INDEX(NOI_CAP!$B:$B,MATCH(Z86,NOI_CAP!$A:$A,0)),"")</f>
        <v/>
      </c>
      <c r="AB86" s="58" t="str">
        <f>IF(ISNUMBER(MATCH(AC86,LOAI_DIA_CHI!$B:$B,0)),INDEX(LOAI_DIA_CHI!$A:$A,MATCH(AC86,LOAI_DIA_CHI!$B:$B,0)),"")</f>
        <v/>
      </c>
      <c r="AC86" s="16"/>
      <c r="AD86" s="58" t="str">
        <f>IF(ISNUMBER(MATCH(AE86,QUOC_GIA!$B:$B,0)),INDEX(QUOC_GIA!$A:$A,MATCH(AE86,QUOC_GIA!$B:$B,0)),"")</f>
        <v/>
      </c>
      <c r="AE86" s="16"/>
      <c r="AF86" s="48"/>
      <c r="AG86" s="59" t="str">
        <f>IFERROR(INDEX(TINH_TP!$B:$B,MATCH(AF86,TINH_TP!$A:$A,0)),"")</f>
        <v/>
      </c>
      <c r="AH86" s="50"/>
      <c r="AI86" s="59" t="str">
        <f>IF(OR(AF86="",AH86=""),"",IF(COUNTIFS(PHUONG_XA!$A$2:$A$3323,AH86,PHUONG_XA!$C$2:$C$3323,AF86)=0,"",INDEX(PHUONG_XA!$B$2:$B$3323,SUMPRODUCT((PHUONG_XA!$A$2:$A$3323&amp;""=AH86&amp;"")*(PHUONG_XA!$C$2:$C$3323&amp;""=AF86&amp;"")*(ROW(PHUONG_XA!$A$2:$A$3323)-ROW(PHUONG_XA!$A$2)+1)))))</f>
        <v/>
      </c>
      <c r="AJ86" s="14"/>
      <c r="AK86" s="14"/>
      <c r="AL86" s="57" t="str">
        <f t="shared" si="2"/>
        <v/>
      </c>
      <c r="AM86" s="14"/>
      <c r="AN86" s="15"/>
      <c r="AO86" s="15"/>
      <c r="AP86" s="48"/>
      <c r="AQ86" s="15"/>
      <c r="AR86" s="15"/>
      <c r="AS86" s="15"/>
      <c r="AT86" s="60" t="str">
        <f>IF(ISNUMBER(MATCH(AU86,LOAI_THE!$B:$B,0)),INDEX(LOAI_THE!$A:$A,MATCH(AU86,LOAI_THE!$B:$B,0)),"")</f>
        <v/>
      </c>
      <c r="AU86" s="48"/>
      <c r="AV86" s="15"/>
      <c r="AW86" s="15"/>
      <c r="AX86" s="15"/>
      <c r="AY86" s="48"/>
    </row>
    <row r="87" spans="1:51" x14ac:dyDescent="0.3">
      <c r="A87" s="13" t="s">
        <v>4363</v>
      </c>
      <c r="B87" s="48"/>
      <c r="C87" s="48"/>
      <c r="D87" s="48"/>
      <c r="E87" s="48"/>
      <c r="F87" s="48"/>
      <c r="G87" s="58" t="str">
        <f>IF(ISNUMBER(MATCH(H87,GIOI_TINH!$B:$B,0)),INDEX(GIOI_TINH!$A:$A,MATCH(H87,GIOI_TINH!$B:$B,0)),"")</f>
        <v/>
      </c>
      <c r="H87" s="15"/>
      <c r="I87" s="15"/>
      <c r="J87" s="58" t="str">
        <f>IF(ISNUMBER(MATCH(K87,QUOC_GIA!$B:$B,0)),INDEX(QUOC_GIA!$A:$A,MATCH(K87,QUOC_GIA!$B:$B,0)),"")</f>
        <v/>
      </c>
      <c r="K87" s="50"/>
      <c r="L87" s="15"/>
      <c r="M87" s="58" t="str">
        <f>IF(ISNUMBER(MATCH(N87,LOAI_THUE!$B:$B,0)),INDEX(LOAI_THUE!$A:$A,MATCH(N87,LOAI_THUE!$B:$B,0)),"")</f>
        <v/>
      </c>
      <c r="N87" s="50"/>
      <c r="O87" s="58" t="str">
        <f>IF(ISNUMBER(MATCH(P87,CHI_TIET_LOAI_KH!$B:$B,0)),INDEX(CHI_TIET_LOAI_KH!$A:$A,MATCH(P87,CHI_TIET_LOAI_KH!$B:$B,0)),"")</f>
        <v/>
      </c>
      <c r="P87" s="50"/>
      <c r="Q87" s="58" t="str">
        <f>IF(ISNUMBER(MATCH(R87,NGHE_NGHIEP!$B:$B,0)),INDEX(NGHE_NGHIEP!$A:$A,MATCH(R87,NGHE_NGHIEP!$B:$B,0)),"")</f>
        <v/>
      </c>
      <c r="R87" s="50"/>
      <c r="S87" s="58" t="str">
        <f>IF(ISNUMBER(MATCH(T87,LOAI_ID!$B:$B,0)),INDEX(LOAI_ID!$A:$A,MATCH(T87,LOAI_ID!$B:$B,0)),"")</f>
        <v/>
      </c>
      <c r="T87" s="16"/>
      <c r="U87" s="48"/>
      <c r="V87" s="48"/>
      <c r="W87" s="17"/>
      <c r="X87" s="17"/>
      <c r="Y87" s="15"/>
      <c r="Z87" s="15"/>
      <c r="AA87" s="59" t="str">
        <f>IFERROR(INDEX(NOI_CAP!$B:$B,MATCH(Z87,NOI_CAP!$A:$A,0)),"")</f>
        <v/>
      </c>
      <c r="AB87" s="58" t="str">
        <f>IF(ISNUMBER(MATCH(AC87,LOAI_DIA_CHI!$B:$B,0)),INDEX(LOAI_DIA_CHI!$A:$A,MATCH(AC87,LOAI_DIA_CHI!$B:$B,0)),"")</f>
        <v/>
      </c>
      <c r="AC87" s="16"/>
      <c r="AD87" s="58" t="str">
        <f>IF(ISNUMBER(MATCH(AE87,QUOC_GIA!$B:$B,0)),INDEX(QUOC_GIA!$A:$A,MATCH(AE87,QUOC_GIA!$B:$B,0)),"")</f>
        <v/>
      </c>
      <c r="AE87" s="16"/>
      <c r="AF87" s="48"/>
      <c r="AG87" s="59" t="str">
        <f>IFERROR(INDEX(TINH_TP!$B:$B,MATCH(AF87,TINH_TP!$A:$A,0)),"")</f>
        <v/>
      </c>
      <c r="AH87" s="50"/>
      <c r="AI87" s="59" t="str">
        <f>IF(OR(AF87="",AH87=""),"",IF(COUNTIFS(PHUONG_XA!$A$2:$A$3323,AH87,PHUONG_XA!$C$2:$C$3323,AF87)=0,"",INDEX(PHUONG_XA!$B$2:$B$3323,SUMPRODUCT((PHUONG_XA!$A$2:$A$3323&amp;""=AH87&amp;"")*(PHUONG_XA!$C$2:$C$3323&amp;""=AF87&amp;"")*(ROW(PHUONG_XA!$A$2:$A$3323)-ROW(PHUONG_XA!$A$2)+1)))))</f>
        <v/>
      </c>
      <c r="AJ87" s="14"/>
      <c r="AK87" s="14"/>
      <c r="AL87" s="57" t="str">
        <f t="shared" si="2"/>
        <v/>
      </c>
      <c r="AM87" s="14"/>
      <c r="AN87" s="15"/>
      <c r="AO87" s="15"/>
      <c r="AP87" s="48"/>
      <c r="AQ87" s="15"/>
      <c r="AR87" s="15"/>
      <c r="AS87" s="15"/>
      <c r="AT87" s="60" t="str">
        <f>IF(ISNUMBER(MATCH(AU87,LOAI_THE!$B:$B,0)),INDEX(LOAI_THE!$A:$A,MATCH(AU87,LOAI_THE!$B:$B,0)),"")</f>
        <v/>
      </c>
      <c r="AU87" s="48"/>
      <c r="AV87" s="15"/>
      <c r="AW87" s="15"/>
      <c r="AX87" s="15"/>
      <c r="AY87" s="48"/>
    </row>
    <row r="88" spans="1:51" x14ac:dyDescent="0.3">
      <c r="A88" s="13" t="s">
        <v>4364</v>
      </c>
      <c r="B88" s="48"/>
      <c r="C88" s="48"/>
      <c r="D88" s="48"/>
      <c r="E88" s="48"/>
      <c r="F88" s="48"/>
      <c r="G88" s="58" t="str">
        <f>IF(ISNUMBER(MATCH(H88,GIOI_TINH!$B:$B,0)),INDEX(GIOI_TINH!$A:$A,MATCH(H88,GIOI_TINH!$B:$B,0)),"")</f>
        <v/>
      </c>
      <c r="H88" s="15"/>
      <c r="I88" s="15"/>
      <c r="J88" s="58" t="str">
        <f>IF(ISNUMBER(MATCH(K88,QUOC_GIA!$B:$B,0)),INDEX(QUOC_GIA!$A:$A,MATCH(K88,QUOC_GIA!$B:$B,0)),"")</f>
        <v/>
      </c>
      <c r="K88" s="50"/>
      <c r="L88" s="15"/>
      <c r="M88" s="58" t="str">
        <f>IF(ISNUMBER(MATCH(N88,LOAI_THUE!$B:$B,0)),INDEX(LOAI_THUE!$A:$A,MATCH(N88,LOAI_THUE!$B:$B,0)),"")</f>
        <v/>
      </c>
      <c r="N88" s="50"/>
      <c r="O88" s="58" t="str">
        <f>IF(ISNUMBER(MATCH(P88,CHI_TIET_LOAI_KH!$B:$B,0)),INDEX(CHI_TIET_LOAI_KH!$A:$A,MATCH(P88,CHI_TIET_LOAI_KH!$B:$B,0)),"")</f>
        <v/>
      </c>
      <c r="P88" s="50"/>
      <c r="Q88" s="58" t="str">
        <f>IF(ISNUMBER(MATCH(R88,NGHE_NGHIEP!$B:$B,0)),INDEX(NGHE_NGHIEP!$A:$A,MATCH(R88,NGHE_NGHIEP!$B:$B,0)),"")</f>
        <v/>
      </c>
      <c r="R88" s="50"/>
      <c r="S88" s="58" t="str">
        <f>IF(ISNUMBER(MATCH(T88,LOAI_ID!$B:$B,0)),INDEX(LOAI_ID!$A:$A,MATCH(T88,LOAI_ID!$B:$B,0)),"")</f>
        <v/>
      </c>
      <c r="T88" s="16"/>
      <c r="U88" s="48"/>
      <c r="V88" s="48"/>
      <c r="W88" s="17"/>
      <c r="X88" s="17"/>
      <c r="Y88" s="15"/>
      <c r="Z88" s="15"/>
      <c r="AA88" s="59" t="str">
        <f>IFERROR(INDEX(NOI_CAP!$B:$B,MATCH(Z88,NOI_CAP!$A:$A,0)),"")</f>
        <v/>
      </c>
      <c r="AB88" s="58" t="str">
        <f>IF(ISNUMBER(MATCH(AC88,LOAI_DIA_CHI!$B:$B,0)),INDEX(LOAI_DIA_CHI!$A:$A,MATCH(AC88,LOAI_DIA_CHI!$B:$B,0)),"")</f>
        <v/>
      </c>
      <c r="AC88" s="16"/>
      <c r="AD88" s="58" t="str">
        <f>IF(ISNUMBER(MATCH(AE88,QUOC_GIA!$B:$B,0)),INDEX(QUOC_GIA!$A:$A,MATCH(AE88,QUOC_GIA!$B:$B,0)),"")</f>
        <v/>
      </c>
      <c r="AE88" s="16"/>
      <c r="AF88" s="48"/>
      <c r="AG88" s="59" t="str">
        <f>IFERROR(INDEX(TINH_TP!$B:$B,MATCH(AF88,TINH_TP!$A:$A,0)),"")</f>
        <v/>
      </c>
      <c r="AH88" s="50"/>
      <c r="AI88" s="59" t="str">
        <f>IF(OR(AF88="",AH88=""),"",IF(COUNTIFS(PHUONG_XA!$A$2:$A$3323,AH88,PHUONG_XA!$C$2:$C$3323,AF88)=0,"",INDEX(PHUONG_XA!$B$2:$B$3323,SUMPRODUCT((PHUONG_XA!$A$2:$A$3323&amp;""=AH88&amp;"")*(PHUONG_XA!$C$2:$C$3323&amp;""=AF88&amp;"")*(ROW(PHUONG_XA!$A$2:$A$3323)-ROW(PHUONG_XA!$A$2)+1)))))</f>
        <v/>
      </c>
      <c r="AJ88" s="14"/>
      <c r="AK88" s="14"/>
      <c r="AL88" s="57" t="str">
        <f t="shared" si="2"/>
        <v/>
      </c>
      <c r="AM88" s="14"/>
      <c r="AN88" s="15"/>
      <c r="AO88" s="15"/>
      <c r="AP88" s="48"/>
      <c r="AQ88" s="15"/>
      <c r="AR88" s="15"/>
      <c r="AS88" s="15"/>
      <c r="AT88" s="60" t="str">
        <f>IF(ISNUMBER(MATCH(AU88,LOAI_THE!$B:$B,0)),INDEX(LOAI_THE!$A:$A,MATCH(AU88,LOAI_THE!$B:$B,0)),"")</f>
        <v/>
      </c>
      <c r="AU88" s="48"/>
      <c r="AV88" s="15"/>
      <c r="AW88" s="15"/>
      <c r="AX88" s="15"/>
      <c r="AY88" s="48"/>
    </row>
    <row r="89" spans="1:51" x14ac:dyDescent="0.3">
      <c r="A89" s="13" t="s">
        <v>4365</v>
      </c>
      <c r="B89" s="48"/>
      <c r="C89" s="48"/>
      <c r="D89" s="48"/>
      <c r="E89" s="48"/>
      <c r="F89" s="48"/>
      <c r="G89" s="58" t="str">
        <f>IF(ISNUMBER(MATCH(H89,GIOI_TINH!$B:$B,0)),INDEX(GIOI_TINH!$A:$A,MATCH(H89,GIOI_TINH!$B:$B,0)),"")</f>
        <v/>
      </c>
      <c r="H89" s="15"/>
      <c r="I89" s="15"/>
      <c r="J89" s="58" t="str">
        <f>IF(ISNUMBER(MATCH(K89,QUOC_GIA!$B:$B,0)),INDEX(QUOC_GIA!$A:$A,MATCH(K89,QUOC_GIA!$B:$B,0)),"")</f>
        <v/>
      </c>
      <c r="K89" s="50"/>
      <c r="L89" s="15"/>
      <c r="M89" s="58" t="str">
        <f>IF(ISNUMBER(MATCH(N89,LOAI_THUE!$B:$B,0)),INDEX(LOAI_THUE!$A:$A,MATCH(N89,LOAI_THUE!$B:$B,0)),"")</f>
        <v/>
      </c>
      <c r="N89" s="50"/>
      <c r="O89" s="58" t="str">
        <f>IF(ISNUMBER(MATCH(P89,CHI_TIET_LOAI_KH!$B:$B,0)),INDEX(CHI_TIET_LOAI_KH!$A:$A,MATCH(P89,CHI_TIET_LOAI_KH!$B:$B,0)),"")</f>
        <v/>
      </c>
      <c r="P89" s="50"/>
      <c r="Q89" s="58" t="str">
        <f>IF(ISNUMBER(MATCH(R89,NGHE_NGHIEP!$B:$B,0)),INDEX(NGHE_NGHIEP!$A:$A,MATCH(R89,NGHE_NGHIEP!$B:$B,0)),"")</f>
        <v/>
      </c>
      <c r="R89" s="50"/>
      <c r="S89" s="58" t="str">
        <f>IF(ISNUMBER(MATCH(T89,LOAI_ID!$B:$B,0)),INDEX(LOAI_ID!$A:$A,MATCH(T89,LOAI_ID!$B:$B,0)),"")</f>
        <v/>
      </c>
      <c r="T89" s="16"/>
      <c r="U89" s="48"/>
      <c r="V89" s="48"/>
      <c r="W89" s="17"/>
      <c r="X89" s="17"/>
      <c r="Y89" s="15"/>
      <c r="Z89" s="15"/>
      <c r="AA89" s="59" t="str">
        <f>IFERROR(INDEX(NOI_CAP!$B:$B,MATCH(Z89,NOI_CAP!$A:$A,0)),"")</f>
        <v/>
      </c>
      <c r="AB89" s="58" t="str">
        <f>IF(ISNUMBER(MATCH(AC89,LOAI_DIA_CHI!$B:$B,0)),INDEX(LOAI_DIA_CHI!$A:$A,MATCH(AC89,LOAI_DIA_CHI!$B:$B,0)),"")</f>
        <v/>
      </c>
      <c r="AC89" s="16"/>
      <c r="AD89" s="58" t="str">
        <f>IF(ISNUMBER(MATCH(AE89,QUOC_GIA!$B:$B,0)),INDEX(QUOC_GIA!$A:$A,MATCH(AE89,QUOC_GIA!$B:$B,0)),"")</f>
        <v/>
      </c>
      <c r="AE89" s="16"/>
      <c r="AF89" s="48"/>
      <c r="AG89" s="59" t="str">
        <f>IFERROR(INDEX(TINH_TP!$B:$B,MATCH(AF89,TINH_TP!$A:$A,0)),"")</f>
        <v/>
      </c>
      <c r="AH89" s="50"/>
      <c r="AI89" s="59" t="str">
        <f>IF(OR(AF89="",AH89=""),"",IF(COUNTIFS(PHUONG_XA!$A$2:$A$3323,AH89,PHUONG_XA!$C$2:$C$3323,AF89)=0,"",INDEX(PHUONG_XA!$B$2:$B$3323,SUMPRODUCT((PHUONG_XA!$A$2:$A$3323&amp;""=AH89&amp;"")*(PHUONG_XA!$C$2:$C$3323&amp;""=AF89&amp;"")*(ROW(PHUONG_XA!$A$2:$A$3323)-ROW(PHUONG_XA!$A$2)+1)))))</f>
        <v/>
      </c>
      <c r="AJ89" s="14"/>
      <c r="AK89" s="14"/>
      <c r="AL89" s="57" t="str">
        <f t="shared" si="2"/>
        <v/>
      </c>
      <c r="AM89" s="14"/>
      <c r="AN89" s="15"/>
      <c r="AO89" s="15"/>
      <c r="AP89" s="48"/>
      <c r="AQ89" s="15"/>
      <c r="AR89" s="15"/>
      <c r="AS89" s="15"/>
      <c r="AT89" s="60" t="str">
        <f>IF(ISNUMBER(MATCH(AU89,LOAI_THE!$B:$B,0)),INDEX(LOAI_THE!$A:$A,MATCH(AU89,LOAI_THE!$B:$B,0)),"")</f>
        <v/>
      </c>
      <c r="AU89" s="48"/>
      <c r="AV89" s="15"/>
      <c r="AW89" s="15"/>
      <c r="AX89" s="15"/>
      <c r="AY89" s="48"/>
    </row>
    <row r="90" spans="1:51" x14ac:dyDescent="0.3">
      <c r="A90" s="13" t="s">
        <v>4366</v>
      </c>
      <c r="B90" s="48"/>
      <c r="C90" s="48"/>
      <c r="D90" s="48"/>
      <c r="E90" s="48"/>
      <c r="F90" s="48"/>
      <c r="G90" s="58" t="str">
        <f>IF(ISNUMBER(MATCH(H90,GIOI_TINH!$B:$B,0)),INDEX(GIOI_TINH!$A:$A,MATCH(H90,GIOI_TINH!$B:$B,0)),"")</f>
        <v/>
      </c>
      <c r="H90" s="15"/>
      <c r="I90" s="15"/>
      <c r="J90" s="58" t="str">
        <f>IF(ISNUMBER(MATCH(K90,QUOC_GIA!$B:$B,0)),INDEX(QUOC_GIA!$A:$A,MATCH(K90,QUOC_GIA!$B:$B,0)),"")</f>
        <v/>
      </c>
      <c r="K90" s="50"/>
      <c r="L90" s="15"/>
      <c r="M90" s="58" t="str">
        <f>IF(ISNUMBER(MATCH(N90,LOAI_THUE!$B:$B,0)),INDEX(LOAI_THUE!$A:$A,MATCH(N90,LOAI_THUE!$B:$B,0)),"")</f>
        <v/>
      </c>
      <c r="N90" s="50"/>
      <c r="O90" s="58" t="str">
        <f>IF(ISNUMBER(MATCH(P90,CHI_TIET_LOAI_KH!$B:$B,0)),INDEX(CHI_TIET_LOAI_KH!$A:$A,MATCH(P90,CHI_TIET_LOAI_KH!$B:$B,0)),"")</f>
        <v/>
      </c>
      <c r="P90" s="50"/>
      <c r="Q90" s="58" t="str">
        <f>IF(ISNUMBER(MATCH(R90,NGHE_NGHIEP!$B:$B,0)),INDEX(NGHE_NGHIEP!$A:$A,MATCH(R90,NGHE_NGHIEP!$B:$B,0)),"")</f>
        <v/>
      </c>
      <c r="R90" s="50"/>
      <c r="S90" s="58" t="str">
        <f>IF(ISNUMBER(MATCH(T90,LOAI_ID!$B:$B,0)),INDEX(LOAI_ID!$A:$A,MATCH(T90,LOAI_ID!$B:$B,0)),"")</f>
        <v/>
      </c>
      <c r="T90" s="16"/>
      <c r="U90" s="48"/>
      <c r="V90" s="48"/>
      <c r="W90" s="17"/>
      <c r="X90" s="17"/>
      <c r="Y90" s="15"/>
      <c r="Z90" s="15"/>
      <c r="AA90" s="59" t="str">
        <f>IFERROR(INDEX(NOI_CAP!$B:$B,MATCH(Z90,NOI_CAP!$A:$A,0)),"")</f>
        <v/>
      </c>
      <c r="AB90" s="58" t="str">
        <f>IF(ISNUMBER(MATCH(AC90,LOAI_DIA_CHI!$B:$B,0)),INDEX(LOAI_DIA_CHI!$A:$A,MATCH(AC90,LOAI_DIA_CHI!$B:$B,0)),"")</f>
        <v/>
      </c>
      <c r="AC90" s="16"/>
      <c r="AD90" s="58" t="str">
        <f>IF(ISNUMBER(MATCH(AE90,QUOC_GIA!$B:$B,0)),INDEX(QUOC_GIA!$A:$A,MATCH(AE90,QUOC_GIA!$B:$B,0)),"")</f>
        <v/>
      </c>
      <c r="AE90" s="16"/>
      <c r="AF90" s="48"/>
      <c r="AG90" s="59" t="str">
        <f>IFERROR(INDEX(TINH_TP!$B:$B,MATCH(AF90,TINH_TP!$A:$A,0)),"")</f>
        <v/>
      </c>
      <c r="AH90" s="50"/>
      <c r="AI90" s="59" t="str">
        <f>IF(OR(AF90="",AH90=""),"",IF(COUNTIFS(PHUONG_XA!$A$2:$A$3323,AH90,PHUONG_XA!$C$2:$C$3323,AF90)=0,"",INDEX(PHUONG_XA!$B$2:$B$3323,SUMPRODUCT((PHUONG_XA!$A$2:$A$3323&amp;""=AH90&amp;"")*(PHUONG_XA!$C$2:$C$3323&amp;""=AF90&amp;"")*(ROW(PHUONG_XA!$A$2:$A$3323)-ROW(PHUONG_XA!$A$2)+1)))))</f>
        <v/>
      </c>
      <c r="AJ90" s="14"/>
      <c r="AK90" s="14"/>
      <c r="AL90" s="57" t="str">
        <f t="shared" si="2"/>
        <v/>
      </c>
      <c r="AM90" s="14"/>
      <c r="AN90" s="15"/>
      <c r="AO90" s="15"/>
      <c r="AP90" s="48"/>
      <c r="AQ90" s="15"/>
      <c r="AR90" s="15"/>
      <c r="AS90" s="15"/>
      <c r="AT90" s="60" t="str">
        <f>IF(ISNUMBER(MATCH(AU90,LOAI_THE!$B:$B,0)),INDEX(LOAI_THE!$A:$A,MATCH(AU90,LOAI_THE!$B:$B,0)),"")</f>
        <v/>
      </c>
      <c r="AU90" s="48"/>
      <c r="AV90" s="15"/>
      <c r="AW90" s="15"/>
      <c r="AX90" s="15"/>
      <c r="AY90" s="48"/>
    </row>
    <row r="91" spans="1:51" x14ac:dyDescent="0.3">
      <c r="A91" s="13" t="s">
        <v>4367</v>
      </c>
      <c r="B91" s="48"/>
      <c r="C91" s="48"/>
      <c r="D91" s="48"/>
      <c r="E91" s="48"/>
      <c r="F91" s="48"/>
      <c r="G91" s="58" t="str">
        <f>IF(ISNUMBER(MATCH(H91,GIOI_TINH!$B:$B,0)),INDEX(GIOI_TINH!$A:$A,MATCH(H91,GIOI_TINH!$B:$B,0)),"")</f>
        <v/>
      </c>
      <c r="H91" s="15"/>
      <c r="I91" s="15"/>
      <c r="J91" s="58" t="str">
        <f>IF(ISNUMBER(MATCH(K91,QUOC_GIA!$B:$B,0)),INDEX(QUOC_GIA!$A:$A,MATCH(K91,QUOC_GIA!$B:$B,0)),"")</f>
        <v/>
      </c>
      <c r="K91" s="50"/>
      <c r="L91" s="15"/>
      <c r="M91" s="58" t="str">
        <f>IF(ISNUMBER(MATCH(N91,LOAI_THUE!$B:$B,0)),INDEX(LOAI_THUE!$A:$A,MATCH(N91,LOAI_THUE!$B:$B,0)),"")</f>
        <v/>
      </c>
      <c r="N91" s="50"/>
      <c r="O91" s="58" t="str">
        <f>IF(ISNUMBER(MATCH(P91,CHI_TIET_LOAI_KH!$B:$B,0)),INDEX(CHI_TIET_LOAI_KH!$A:$A,MATCH(P91,CHI_TIET_LOAI_KH!$B:$B,0)),"")</f>
        <v/>
      </c>
      <c r="P91" s="50"/>
      <c r="Q91" s="58" t="str">
        <f>IF(ISNUMBER(MATCH(R91,NGHE_NGHIEP!$B:$B,0)),INDEX(NGHE_NGHIEP!$A:$A,MATCH(R91,NGHE_NGHIEP!$B:$B,0)),"")</f>
        <v/>
      </c>
      <c r="R91" s="50"/>
      <c r="S91" s="58" t="str">
        <f>IF(ISNUMBER(MATCH(T91,LOAI_ID!$B:$B,0)),INDEX(LOAI_ID!$A:$A,MATCH(T91,LOAI_ID!$B:$B,0)),"")</f>
        <v/>
      </c>
      <c r="T91" s="16"/>
      <c r="U91" s="48"/>
      <c r="V91" s="48"/>
      <c r="W91" s="17"/>
      <c r="X91" s="17"/>
      <c r="Y91" s="15"/>
      <c r="Z91" s="15"/>
      <c r="AA91" s="59" t="str">
        <f>IFERROR(INDEX(NOI_CAP!$B:$B,MATCH(Z91,NOI_CAP!$A:$A,0)),"")</f>
        <v/>
      </c>
      <c r="AB91" s="58" t="str">
        <f>IF(ISNUMBER(MATCH(AC91,LOAI_DIA_CHI!$B:$B,0)),INDEX(LOAI_DIA_CHI!$A:$A,MATCH(AC91,LOAI_DIA_CHI!$B:$B,0)),"")</f>
        <v/>
      </c>
      <c r="AC91" s="16"/>
      <c r="AD91" s="58" t="str">
        <f>IF(ISNUMBER(MATCH(AE91,QUOC_GIA!$B:$B,0)),INDEX(QUOC_GIA!$A:$A,MATCH(AE91,QUOC_GIA!$B:$B,0)),"")</f>
        <v/>
      </c>
      <c r="AE91" s="16"/>
      <c r="AF91" s="48"/>
      <c r="AG91" s="59" t="str">
        <f>IFERROR(INDEX(TINH_TP!$B:$B,MATCH(AF91,TINH_TP!$A:$A,0)),"")</f>
        <v/>
      </c>
      <c r="AH91" s="50"/>
      <c r="AI91" s="59" t="str">
        <f>IF(OR(AF91="",AH91=""),"",IF(COUNTIFS(PHUONG_XA!$A$2:$A$3323,AH91,PHUONG_XA!$C$2:$C$3323,AF91)=0,"",INDEX(PHUONG_XA!$B$2:$B$3323,SUMPRODUCT((PHUONG_XA!$A$2:$A$3323&amp;""=AH91&amp;"")*(PHUONG_XA!$C$2:$C$3323&amp;""=AF91&amp;"")*(ROW(PHUONG_XA!$A$2:$A$3323)-ROW(PHUONG_XA!$A$2)+1)))))</f>
        <v/>
      </c>
      <c r="AJ91" s="14"/>
      <c r="AK91" s="14"/>
      <c r="AL91" s="57" t="str">
        <f t="shared" si="2"/>
        <v/>
      </c>
      <c r="AM91" s="14"/>
      <c r="AN91" s="15"/>
      <c r="AO91" s="15"/>
      <c r="AP91" s="48"/>
      <c r="AQ91" s="15"/>
      <c r="AR91" s="15"/>
      <c r="AS91" s="15"/>
      <c r="AT91" s="60" t="str">
        <f>IF(ISNUMBER(MATCH(AU91,LOAI_THE!$B:$B,0)),INDEX(LOAI_THE!$A:$A,MATCH(AU91,LOAI_THE!$B:$B,0)),"")</f>
        <v/>
      </c>
      <c r="AU91" s="48"/>
      <c r="AV91" s="15"/>
      <c r="AW91" s="15"/>
      <c r="AX91" s="15"/>
      <c r="AY91" s="48"/>
    </row>
    <row r="92" spans="1:51" x14ac:dyDescent="0.3">
      <c r="A92" s="13" t="s">
        <v>4368</v>
      </c>
      <c r="B92" s="48"/>
      <c r="C92" s="48"/>
      <c r="D92" s="48"/>
      <c r="E92" s="48"/>
      <c r="F92" s="48"/>
      <c r="G92" s="58" t="str">
        <f>IF(ISNUMBER(MATCH(H92,GIOI_TINH!$B:$B,0)),INDEX(GIOI_TINH!$A:$A,MATCH(H92,GIOI_TINH!$B:$B,0)),"")</f>
        <v/>
      </c>
      <c r="H92" s="15"/>
      <c r="I92" s="15"/>
      <c r="J92" s="58" t="str">
        <f>IF(ISNUMBER(MATCH(K92,QUOC_GIA!$B:$B,0)),INDEX(QUOC_GIA!$A:$A,MATCH(K92,QUOC_GIA!$B:$B,0)),"")</f>
        <v/>
      </c>
      <c r="K92" s="50"/>
      <c r="L92" s="15"/>
      <c r="M92" s="58" t="str">
        <f>IF(ISNUMBER(MATCH(N92,LOAI_THUE!$B:$B,0)),INDEX(LOAI_THUE!$A:$A,MATCH(N92,LOAI_THUE!$B:$B,0)),"")</f>
        <v/>
      </c>
      <c r="N92" s="50"/>
      <c r="O92" s="58" t="str">
        <f>IF(ISNUMBER(MATCH(P92,CHI_TIET_LOAI_KH!$B:$B,0)),INDEX(CHI_TIET_LOAI_KH!$A:$A,MATCH(P92,CHI_TIET_LOAI_KH!$B:$B,0)),"")</f>
        <v/>
      </c>
      <c r="P92" s="50"/>
      <c r="Q92" s="58" t="str">
        <f>IF(ISNUMBER(MATCH(R92,NGHE_NGHIEP!$B:$B,0)),INDEX(NGHE_NGHIEP!$A:$A,MATCH(R92,NGHE_NGHIEP!$B:$B,0)),"")</f>
        <v/>
      </c>
      <c r="R92" s="50"/>
      <c r="S92" s="58" t="str">
        <f>IF(ISNUMBER(MATCH(T92,LOAI_ID!$B:$B,0)),INDEX(LOAI_ID!$A:$A,MATCH(T92,LOAI_ID!$B:$B,0)),"")</f>
        <v/>
      </c>
      <c r="T92" s="16"/>
      <c r="U92" s="48"/>
      <c r="V92" s="48"/>
      <c r="W92" s="17"/>
      <c r="X92" s="17"/>
      <c r="Y92" s="15"/>
      <c r="Z92" s="15"/>
      <c r="AA92" s="59" t="str">
        <f>IFERROR(INDEX(NOI_CAP!$B:$B,MATCH(Z92,NOI_CAP!$A:$A,0)),"")</f>
        <v/>
      </c>
      <c r="AB92" s="58" t="str">
        <f>IF(ISNUMBER(MATCH(AC92,LOAI_DIA_CHI!$B:$B,0)),INDEX(LOAI_DIA_CHI!$A:$A,MATCH(AC92,LOAI_DIA_CHI!$B:$B,0)),"")</f>
        <v/>
      </c>
      <c r="AC92" s="16"/>
      <c r="AD92" s="58" t="str">
        <f>IF(ISNUMBER(MATCH(AE92,QUOC_GIA!$B:$B,0)),INDEX(QUOC_GIA!$A:$A,MATCH(AE92,QUOC_GIA!$B:$B,0)),"")</f>
        <v/>
      </c>
      <c r="AE92" s="16"/>
      <c r="AF92" s="48"/>
      <c r="AG92" s="59" t="str">
        <f>IFERROR(INDEX(TINH_TP!$B:$B,MATCH(AF92,TINH_TP!$A:$A,0)),"")</f>
        <v/>
      </c>
      <c r="AH92" s="50"/>
      <c r="AI92" s="59" t="str">
        <f>IF(OR(AF92="",AH92=""),"",IF(COUNTIFS(PHUONG_XA!$A$2:$A$3323,AH92,PHUONG_XA!$C$2:$C$3323,AF92)=0,"",INDEX(PHUONG_XA!$B$2:$B$3323,SUMPRODUCT((PHUONG_XA!$A$2:$A$3323&amp;""=AH92&amp;"")*(PHUONG_XA!$C$2:$C$3323&amp;""=AF92&amp;"")*(ROW(PHUONG_XA!$A$2:$A$3323)-ROW(PHUONG_XA!$A$2)+1)))))</f>
        <v/>
      </c>
      <c r="AJ92" s="14"/>
      <c r="AK92" s="14"/>
      <c r="AL92" s="57" t="str">
        <f t="shared" si="2"/>
        <v/>
      </c>
      <c r="AM92" s="14"/>
      <c r="AN92" s="15"/>
      <c r="AO92" s="15"/>
      <c r="AP92" s="48"/>
      <c r="AQ92" s="15"/>
      <c r="AR92" s="15"/>
      <c r="AS92" s="15"/>
      <c r="AT92" s="60" t="str">
        <f>IF(ISNUMBER(MATCH(AU92,LOAI_THE!$B:$B,0)),INDEX(LOAI_THE!$A:$A,MATCH(AU92,LOAI_THE!$B:$B,0)),"")</f>
        <v/>
      </c>
      <c r="AU92" s="48"/>
      <c r="AV92" s="15"/>
      <c r="AW92" s="15"/>
      <c r="AX92" s="15"/>
      <c r="AY92" s="48"/>
    </row>
    <row r="93" spans="1:51" x14ac:dyDescent="0.3">
      <c r="A93" s="13" t="s">
        <v>4369</v>
      </c>
      <c r="B93" s="48"/>
      <c r="C93" s="48"/>
      <c r="D93" s="48"/>
      <c r="E93" s="48"/>
      <c r="F93" s="48"/>
      <c r="G93" s="58" t="str">
        <f>IF(ISNUMBER(MATCH(H93,GIOI_TINH!$B:$B,0)),INDEX(GIOI_TINH!$A:$A,MATCH(H93,GIOI_TINH!$B:$B,0)),"")</f>
        <v/>
      </c>
      <c r="H93" s="15"/>
      <c r="I93" s="15"/>
      <c r="J93" s="58" t="str">
        <f>IF(ISNUMBER(MATCH(K93,QUOC_GIA!$B:$B,0)),INDEX(QUOC_GIA!$A:$A,MATCH(K93,QUOC_GIA!$B:$B,0)),"")</f>
        <v/>
      </c>
      <c r="K93" s="50"/>
      <c r="L93" s="15"/>
      <c r="M93" s="58" t="str">
        <f>IF(ISNUMBER(MATCH(N93,LOAI_THUE!$B:$B,0)),INDEX(LOAI_THUE!$A:$A,MATCH(N93,LOAI_THUE!$B:$B,0)),"")</f>
        <v/>
      </c>
      <c r="N93" s="50"/>
      <c r="O93" s="58" t="str">
        <f>IF(ISNUMBER(MATCH(P93,CHI_TIET_LOAI_KH!$B:$B,0)),INDEX(CHI_TIET_LOAI_KH!$A:$A,MATCH(P93,CHI_TIET_LOAI_KH!$B:$B,0)),"")</f>
        <v/>
      </c>
      <c r="P93" s="50"/>
      <c r="Q93" s="58" t="str">
        <f>IF(ISNUMBER(MATCH(R93,NGHE_NGHIEP!$B:$B,0)),INDEX(NGHE_NGHIEP!$A:$A,MATCH(R93,NGHE_NGHIEP!$B:$B,0)),"")</f>
        <v/>
      </c>
      <c r="R93" s="50"/>
      <c r="S93" s="58" t="str">
        <f>IF(ISNUMBER(MATCH(T93,LOAI_ID!$B:$B,0)),INDEX(LOAI_ID!$A:$A,MATCH(T93,LOAI_ID!$B:$B,0)),"")</f>
        <v/>
      </c>
      <c r="T93" s="16"/>
      <c r="U93" s="48"/>
      <c r="V93" s="48"/>
      <c r="W93" s="17"/>
      <c r="X93" s="17"/>
      <c r="Y93" s="15"/>
      <c r="Z93" s="15"/>
      <c r="AA93" s="59" t="str">
        <f>IFERROR(INDEX(NOI_CAP!$B:$B,MATCH(Z93,NOI_CAP!$A:$A,0)),"")</f>
        <v/>
      </c>
      <c r="AB93" s="58" t="str">
        <f>IF(ISNUMBER(MATCH(AC93,LOAI_DIA_CHI!$B:$B,0)),INDEX(LOAI_DIA_CHI!$A:$A,MATCH(AC93,LOAI_DIA_CHI!$B:$B,0)),"")</f>
        <v/>
      </c>
      <c r="AC93" s="16"/>
      <c r="AD93" s="58" t="str">
        <f>IF(ISNUMBER(MATCH(AE93,QUOC_GIA!$B:$B,0)),INDEX(QUOC_GIA!$A:$A,MATCH(AE93,QUOC_GIA!$B:$B,0)),"")</f>
        <v/>
      </c>
      <c r="AE93" s="16"/>
      <c r="AF93" s="48"/>
      <c r="AG93" s="59" t="str">
        <f>IFERROR(INDEX(TINH_TP!$B:$B,MATCH(AF93,TINH_TP!$A:$A,0)),"")</f>
        <v/>
      </c>
      <c r="AH93" s="50"/>
      <c r="AI93" s="59" t="str">
        <f>IF(OR(AF93="",AH93=""),"",IF(COUNTIFS(PHUONG_XA!$A$2:$A$3323,AH93,PHUONG_XA!$C$2:$C$3323,AF93)=0,"",INDEX(PHUONG_XA!$B$2:$B$3323,SUMPRODUCT((PHUONG_XA!$A$2:$A$3323&amp;""=AH93&amp;"")*(PHUONG_XA!$C$2:$C$3323&amp;""=AF93&amp;"")*(ROW(PHUONG_XA!$A$2:$A$3323)-ROW(PHUONG_XA!$A$2)+1)))))</f>
        <v/>
      </c>
      <c r="AJ93" s="14"/>
      <c r="AK93" s="14"/>
      <c r="AL93" s="57" t="str">
        <f t="shared" si="2"/>
        <v/>
      </c>
      <c r="AM93" s="14"/>
      <c r="AN93" s="15"/>
      <c r="AO93" s="15"/>
      <c r="AP93" s="48"/>
      <c r="AQ93" s="15"/>
      <c r="AR93" s="15"/>
      <c r="AS93" s="15"/>
      <c r="AT93" s="60" t="str">
        <f>IF(ISNUMBER(MATCH(AU93,LOAI_THE!$B:$B,0)),INDEX(LOAI_THE!$A:$A,MATCH(AU93,LOAI_THE!$B:$B,0)),"")</f>
        <v/>
      </c>
      <c r="AU93" s="48"/>
      <c r="AV93" s="15"/>
      <c r="AW93" s="15"/>
      <c r="AX93" s="15"/>
      <c r="AY93" s="48"/>
    </row>
    <row r="94" spans="1:51" x14ac:dyDescent="0.3">
      <c r="A94" s="13" t="s">
        <v>4370</v>
      </c>
      <c r="B94" s="48"/>
      <c r="C94" s="48"/>
      <c r="D94" s="48"/>
      <c r="E94" s="48"/>
      <c r="F94" s="48"/>
      <c r="G94" s="58" t="str">
        <f>IF(ISNUMBER(MATCH(H94,GIOI_TINH!$B:$B,0)),INDEX(GIOI_TINH!$A:$A,MATCH(H94,GIOI_TINH!$B:$B,0)),"")</f>
        <v/>
      </c>
      <c r="H94" s="15"/>
      <c r="I94" s="15"/>
      <c r="J94" s="58" t="str">
        <f>IF(ISNUMBER(MATCH(K94,QUOC_GIA!$B:$B,0)),INDEX(QUOC_GIA!$A:$A,MATCH(K94,QUOC_GIA!$B:$B,0)),"")</f>
        <v/>
      </c>
      <c r="K94" s="50"/>
      <c r="L94" s="15"/>
      <c r="M94" s="58" t="str">
        <f>IF(ISNUMBER(MATCH(N94,LOAI_THUE!$B:$B,0)),INDEX(LOAI_THUE!$A:$A,MATCH(N94,LOAI_THUE!$B:$B,0)),"")</f>
        <v/>
      </c>
      <c r="N94" s="50"/>
      <c r="O94" s="58" t="str">
        <f>IF(ISNUMBER(MATCH(P94,CHI_TIET_LOAI_KH!$B:$B,0)),INDEX(CHI_TIET_LOAI_KH!$A:$A,MATCH(P94,CHI_TIET_LOAI_KH!$B:$B,0)),"")</f>
        <v/>
      </c>
      <c r="P94" s="50"/>
      <c r="Q94" s="58" t="str">
        <f>IF(ISNUMBER(MATCH(R94,NGHE_NGHIEP!$B:$B,0)),INDEX(NGHE_NGHIEP!$A:$A,MATCH(R94,NGHE_NGHIEP!$B:$B,0)),"")</f>
        <v/>
      </c>
      <c r="R94" s="50"/>
      <c r="S94" s="58" t="str">
        <f>IF(ISNUMBER(MATCH(T94,LOAI_ID!$B:$B,0)),INDEX(LOAI_ID!$A:$A,MATCH(T94,LOAI_ID!$B:$B,0)),"")</f>
        <v/>
      </c>
      <c r="T94" s="16"/>
      <c r="U94" s="48"/>
      <c r="V94" s="48"/>
      <c r="W94" s="17"/>
      <c r="X94" s="17"/>
      <c r="Y94" s="15"/>
      <c r="Z94" s="15"/>
      <c r="AA94" s="59" t="str">
        <f>IFERROR(INDEX(NOI_CAP!$B:$B,MATCH(Z94,NOI_CAP!$A:$A,0)),"")</f>
        <v/>
      </c>
      <c r="AB94" s="58" t="str">
        <f>IF(ISNUMBER(MATCH(AC94,LOAI_DIA_CHI!$B:$B,0)),INDEX(LOAI_DIA_CHI!$A:$A,MATCH(AC94,LOAI_DIA_CHI!$B:$B,0)),"")</f>
        <v/>
      </c>
      <c r="AC94" s="16"/>
      <c r="AD94" s="58" t="str">
        <f>IF(ISNUMBER(MATCH(AE94,QUOC_GIA!$B:$B,0)),INDEX(QUOC_GIA!$A:$A,MATCH(AE94,QUOC_GIA!$B:$B,0)),"")</f>
        <v/>
      </c>
      <c r="AE94" s="16"/>
      <c r="AF94" s="48"/>
      <c r="AG94" s="59" t="str">
        <f>IFERROR(INDEX(TINH_TP!$B:$B,MATCH(AF94,TINH_TP!$A:$A,0)),"")</f>
        <v/>
      </c>
      <c r="AH94" s="50"/>
      <c r="AI94" s="59" t="str">
        <f>IF(OR(AF94="",AH94=""),"",IF(COUNTIFS(PHUONG_XA!$A$2:$A$3323,AH94,PHUONG_XA!$C$2:$C$3323,AF94)=0,"",INDEX(PHUONG_XA!$B$2:$B$3323,SUMPRODUCT((PHUONG_XA!$A$2:$A$3323&amp;""=AH94&amp;"")*(PHUONG_XA!$C$2:$C$3323&amp;""=AF94&amp;"")*(ROW(PHUONG_XA!$A$2:$A$3323)-ROW(PHUONG_XA!$A$2)+1)))))</f>
        <v/>
      </c>
      <c r="AJ94" s="14"/>
      <c r="AK94" s="14"/>
      <c r="AL94" s="57" t="str">
        <f t="shared" si="2"/>
        <v/>
      </c>
      <c r="AM94" s="14"/>
      <c r="AN94" s="15"/>
      <c r="AO94" s="15"/>
      <c r="AP94" s="48"/>
      <c r="AQ94" s="15"/>
      <c r="AR94" s="15"/>
      <c r="AS94" s="15"/>
      <c r="AT94" s="60" t="str">
        <f>IF(ISNUMBER(MATCH(AU94,LOAI_THE!$B:$B,0)),INDEX(LOAI_THE!$A:$A,MATCH(AU94,LOAI_THE!$B:$B,0)),"")</f>
        <v/>
      </c>
      <c r="AU94" s="48"/>
      <c r="AV94" s="15"/>
      <c r="AW94" s="15"/>
      <c r="AX94" s="15"/>
      <c r="AY94" s="48"/>
    </row>
    <row r="95" spans="1:51" x14ac:dyDescent="0.3">
      <c r="A95" s="13" t="s">
        <v>4371</v>
      </c>
      <c r="B95" s="48"/>
      <c r="C95" s="48"/>
      <c r="D95" s="48"/>
      <c r="E95" s="48"/>
      <c r="F95" s="48"/>
      <c r="G95" s="58" t="str">
        <f>IF(ISNUMBER(MATCH(H95,GIOI_TINH!$B:$B,0)),INDEX(GIOI_TINH!$A:$A,MATCH(H95,GIOI_TINH!$B:$B,0)),"")</f>
        <v/>
      </c>
      <c r="H95" s="15"/>
      <c r="I95" s="15"/>
      <c r="J95" s="58" t="str">
        <f>IF(ISNUMBER(MATCH(K95,QUOC_GIA!$B:$B,0)),INDEX(QUOC_GIA!$A:$A,MATCH(K95,QUOC_GIA!$B:$B,0)),"")</f>
        <v/>
      </c>
      <c r="K95" s="50"/>
      <c r="L95" s="15"/>
      <c r="M95" s="58" t="str">
        <f>IF(ISNUMBER(MATCH(N95,LOAI_THUE!$B:$B,0)),INDEX(LOAI_THUE!$A:$A,MATCH(N95,LOAI_THUE!$B:$B,0)),"")</f>
        <v/>
      </c>
      <c r="N95" s="50"/>
      <c r="O95" s="58" t="str">
        <f>IF(ISNUMBER(MATCH(P95,CHI_TIET_LOAI_KH!$B:$B,0)),INDEX(CHI_TIET_LOAI_KH!$A:$A,MATCH(P95,CHI_TIET_LOAI_KH!$B:$B,0)),"")</f>
        <v/>
      </c>
      <c r="P95" s="50"/>
      <c r="Q95" s="58" t="str">
        <f>IF(ISNUMBER(MATCH(R95,NGHE_NGHIEP!$B:$B,0)),INDEX(NGHE_NGHIEP!$A:$A,MATCH(R95,NGHE_NGHIEP!$B:$B,0)),"")</f>
        <v/>
      </c>
      <c r="R95" s="50"/>
      <c r="S95" s="58" t="str">
        <f>IF(ISNUMBER(MATCH(T95,LOAI_ID!$B:$B,0)),INDEX(LOAI_ID!$A:$A,MATCH(T95,LOAI_ID!$B:$B,0)),"")</f>
        <v/>
      </c>
      <c r="T95" s="16"/>
      <c r="U95" s="48"/>
      <c r="V95" s="48"/>
      <c r="W95" s="17"/>
      <c r="X95" s="17"/>
      <c r="Y95" s="15"/>
      <c r="Z95" s="15"/>
      <c r="AA95" s="59" t="str">
        <f>IFERROR(INDEX(NOI_CAP!$B:$B,MATCH(Z95,NOI_CAP!$A:$A,0)),"")</f>
        <v/>
      </c>
      <c r="AB95" s="58" t="str">
        <f>IF(ISNUMBER(MATCH(AC95,LOAI_DIA_CHI!$B:$B,0)),INDEX(LOAI_DIA_CHI!$A:$A,MATCH(AC95,LOAI_DIA_CHI!$B:$B,0)),"")</f>
        <v/>
      </c>
      <c r="AC95" s="16"/>
      <c r="AD95" s="58" t="str">
        <f>IF(ISNUMBER(MATCH(AE95,QUOC_GIA!$B:$B,0)),INDEX(QUOC_GIA!$A:$A,MATCH(AE95,QUOC_GIA!$B:$B,0)),"")</f>
        <v/>
      </c>
      <c r="AE95" s="16"/>
      <c r="AF95" s="48"/>
      <c r="AG95" s="59" t="str">
        <f>IFERROR(INDEX(TINH_TP!$B:$B,MATCH(AF95,TINH_TP!$A:$A,0)),"")</f>
        <v/>
      </c>
      <c r="AH95" s="50"/>
      <c r="AI95" s="59" t="str">
        <f>IF(OR(AF95="",AH95=""),"",IF(COUNTIFS(PHUONG_XA!$A$2:$A$3323,AH95,PHUONG_XA!$C$2:$C$3323,AF95)=0,"",INDEX(PHUONG_XA!$B$2:$B$3323,SUMPRODUCT((PHUONG_XA!$A$2:$A$3323&amp;""=AH95&amp;"")*(PHUONG_XA!$C$2:$C$3323&amp;""=AF95&amp;"")*(ROW(PHUONG_XA!$A$2:$A$3323)-ROW(PHUONG_XA!$A$2)+1)))))</f>
        <v/>
      </c>
      <c r="AJ95" s="14"/>
      <c r="AK95" s="14"/>
      <c r="AL95" s="57" t="str">
        <f t="shared" si="2"/>
        <v/>
      </c>
      <c r="AM95" s="14"/>
      <c r="AN95" s="15"/>
      <c r="AO95" s="15"/>
      <c r="AP95" s="48"/>
      <c r="AQ95" s="15"/>
      <c r="AR95" s="15"/>
      <c r="AS95" s="15"/>
      <c r="AT95" s="60" t="str">
        <f>IF(ISNUMBER(MATCH(AU95,LOAI_THE!$B:$B,0)),INDEX(LOAI_THE!$A:$A,MATCH(AU95,LOAI_THE!$B:$B,0)),"")</f>
        <v/>
      </c>
      <c r="AU95" s="48"/>
      <c r="AV95" s="15"/>
      <c r="AW95" s="15"/>
      <c r="AX95" s="15"/>
      <c r="AY95" s="48"/>
    </row>
    <row r="96" spans="1:51" x14ac:dyDescent="0.3">
      <c r="A96" s="13" t="s">
        <v>4372</v>
      </c>
      <c r="B96" s="48"/>
      <c r="C96" s="48"/>
      <c r="D96" s="48"/>
      <c r="E96" s="48"/>
      <c r="F96" s="48"/>
      <c r="G96" s="58" t="str">
        <f>IF(ISNUMBER(MATCH(H96,GIOI_TINH!$B:$B,0)),INDEX(GIOI_TINH!$A:$A,MATCH(H96,GIOI_TINH!$B:$B,0)),"")</f>
        <v/>
      </c>
      <c r="H96" s="15"/>
      <c r="I96" s="15"/>
      <c r="J96" s="58" t="str">
        <f>IF(ISNUMBER(MATCH(K96,QUOC_GIA!$B:$B,0)),INDEX(QUOC_GIA!$A:$A,MATCH(K96,QUOC_GIA!$B:$B,0)),"")</f>
        <v/>
      </c>
      <c r="K96" s="50"/>
      <c r="L96" s="15"/>
      <c r="M96" s="58" t="str">
        <f>IF(ISNUMBER(MATCH(N96,LOAI_THUE!$B:$B,0)),INDEX(LOAI_THUE!$A:$A,MATCH(N96,LOAI_THUE!$B:$B,0)),"")</f>
        <v/>
      </c>
      <c r="N96" s="50"/>
      <c r="O96" s="58" t="str">
        <f>IF(ISNUMBER(MATCH(P96,CHI_TIET_LOAI_KH!$B:$B,0)),INDEX(CHI_TIET_LOAI_KH!$A:$A,MATCH(P96,CHI_TIET_LOAI_KH!$B:$B,0)),"")</f>
        <v/>
      </c>
      <c r="P96" s="50"/>
      <c r="Q96" s="58" t="str">
        <f>IF(ISNUMBER(MATCH(R96,NGHE_NGHIEP!$B:$B,0)),INDEX(NGHE_NGHIEP!$A:$A,MATCH(R96,NGHE_NGHIEP!$B:$B,0)),"")</f>
        <v/>
      </c>
      <c r="R96" s="50"/>
      <c r="S96" s="58" t="str">
        <f>IF(ISNUMBER(MATCH(T96,LOAI_ID!$B:$B,0)),INDEX(LOAI_ID!$A:$A,MATCH(T96,LOAI_ID!$B:$B,0)),"")</f>
        <v/>
      </c>
      <c r="T96" s="16"/>
      <c r="U96" s="48"/>
      <c r="V96" s="48"/>
      <c r="W96" s="17"/>
      <c r="X96" s="17"/>
      <c r="Y96" s="15"/>
      <c r="Z96" s="15"/>
      <c r="AA96" s="59" t="str">
        <f>IFERROR(INDEX(NOI_CAP!$B:$B,MATCH(Z96,NOI_CAP!$A:$A,0)),"")</f>
        <v/>
      </c>
      <c r="AB96" s="58" t="str">
        <f>IF(ISNUMBER(MATCH(AC96,LOAI_DIA_CHI!$B:$B,0)),INDEX(LOAI_DIA_CHI!$A:$A,MATCH(AC96,LOAI_DIA_CHI!$B:$B,0)),"")</f>
        <v/>
      </c>
      <c r="AC96" s="16"/>
      <c r="AD96" s="58" t="str">
        <f>IF(ISNUMBER(MATCH(AE96,QUOC_GIA!$B:$B,0)),INDEX(QUOC_GIA!$A:$A,MATCH(AE96,QUOC_GIA!$B:$B,0)),"")</f>
        <v/>
      </c>
      <c r="AE96" s="16"/>
      <c r="AF96" s="48"/>
      <c r="AG96" s="59" t="str">
        <f>IFERROR(INDEX(TINH_TP!$B:$B,MATCH(AF96,TINH_TP!$A:$A,0)),"")</f>
        <v/>
      </c>
      <c r="AH96" s="50"/>
      <c r="AI96" s="59" t="str">
        <f>IF(OR(AF96="",AH96=""),"",IF(COUNTIFS(PHUONG_XA!$A$2:$A$3323,AH96,PHUONG_XA!$C$2:$C$3323,AF96)=0,"",INDEX(PHUONG_XA!$B$2:$B$3323,SUMPRODUCT((PHUONG_XA!$A$2:$A$3323&amp;""=AH96&amp;"")*(PHUONG_XA!$C$2:$C$3323&amp;""=AF96&amp;"")*(ROW(PHUONG_XA!$A$2:$A$3323)-ROW(PHUONG_XA!$A$2)+1)))))</f>
        <v/>
      </c>
      <c r="AJ96" s="14"/>
      <c r="AK96" s="14"/>
      <c r="AL96" s="57" t="str">
        <f t="shared" si="2"/>
        <v/>
      </c>
      <c r="AM96" s="14"/>
      <c r="AN96" s="15"/>
      <c r="AO96" s="15"/>
      <c r="AP96" s="48"/>
      <c r="AQ96" s="15"/>
      <c r="AR96" s="15"/>
      <c r="AS96" s="15"/>
      <c r="AT96" s="60" t="str">
        <f>IF(ISNUMBER(MATCH(AU96,LOAI_THE!$B:$B,0)),INDEX(LOAI_THE!$A:$A,MATCH(AU96,LOAI_THE!$B:$B,0)),"")</f>
        <v/>
      </c>
      <c r="AU96" s="48"/>
      <c r="AV96" s="15"/>
      <c r="AW96" s="15"/>
      <c r="AX96" s="15"/>
      <c r="AY96" s="48"/>
    </row>
    <row r="97" spans="1:51" x14ac:dyDescent="0.3">
      <c r="A97" s="13" t="s">
        <v>4373</v>
      </c>
      <c r="B97" s="48"/>
      <c r="C97" s="48"/>
      <c r="D97" s="48"/>
      <c r="E97" s="48"/>
      <c r="F97" s="48"/>
      <c r="G97" s="58" t="str">
        <f>IF(ISNUMBER(MATCH(H97,GIOI_TINH!$B:$B,0)),INDEX(GIOI_TINH!$A:$A,MATCH(H97,GIOI_TINH!$B:$B,0)),"")</f>
        <v/>
      </c>
      <c r="H97" s="15"/>
      <c r="I97" s="15"/>
      <c r="J97" s="58" t="str">
        <f>IF(ISNUMBER(MATCH(K97,QUOC_GIA!$B:$B,0)),INDEX(QUOC_GIA!$A:$A,MATCH(K97,QUOC_GIA!$B:$B,0)),"")</f>
        <v/>
      </c>
      <c r="K97" s="50"/>
      <c r="L97" s="15"/>
      <c r="M97" s="58" t="str">
        <f>IF(ISNUMBER(MATCH(N97,LOAI_THUE!$B:$B,0)),INDEX(LOAI_THUE!$A:$A,MATCH(N97,LOAI_THUE!$B:$B,0)),"")</f>
        <v/>
      </c>
      <c r="N97" s="50"/>
      <c r="O97" s="58" t="str">
        <f>IF(ISNUMBER(MATCH(P97,CHI_TIET_LOAI_KH!$B:$B,0)),INDEX(CHI_TIET_LOAI_KH!$A:$A,MATCH(P97,CHI_TIET_LOAI_KH!$B:$B,0)),"")</f>
        <v/>
      </c>
      <c r="P97" s="50"/>
      <c r="Q97" s="58" t="str">
        <f>IF(ISNUMBER(MATCH(R97,NGHE_NGHIEP!$B:$B,0)),INDEX(NGHE_NGHIEP!$A:$A,MATCH(R97,NGHE_NGHIEP!$B:$B,0)),"")</f>
        <v/>
      </c>
      <c r="R97" s="50"/>
      <c r="S97" s="58" t="str">
        <f>IF(ISNUMBER(MATCH(T97,LOAI_ID!$B:$B,0)),INDEX(LOAI_ID!$A:$A,MATCH(T97,LOAI_ID!$B:$B,0)),"")</f>
        <v/>
      </c>
      <c r="T97" s="16"/>
      <c r="U97" s="48"/>
      <c r="V97" s="48"/>
      <c r="W97" s="17"/>
      <c r="X97" s="17"/>
      <c r="Y97" s="15"/>
      <c r="Z97" s="15"/>
      <c r="AA97" s="59" t="str">
        <f>IFERROR(INDEX(NOI_CAP!$B:$B,MATCH(Z97,NOI_CAP!$A:$A,0)),"")</f>
        <v/>
      </c>
      <c r="AB97" s="58" t="str">
        <f>IF(ISNUMBER(MATCH(AC97,LOAI_DIA_CHI!$B:$B,0)),INDEX(LOAI_DIA_CHI!$A:$A,MATCH(AC97,LOAI_DIA_CHI!$B:$B,0)),"")</f>
        <v/>
      </c>
      <c r="AC97" s="16"/>
      <c r="AD97" s="58" t="str">
        <f>IF(ISNUMBER(MATCH(AE97,QUOC_GIA!$B:$B,0)),INDEX(QUOC_GIA!$A:$A,MATCH(AE97,QUOC_GIA!$B:$B,0)),"")</f>
        <v/>
      </c>
      <c r="AE97" s="16"/>
      <c r="AF97" s="48"/>
      <c r="AG97" s="59" t="str">
        <f>IFERROR(INDEX(TINH_TP!$B:$B,MATCH(AF97,TINH_TP!$A:$A,0)),"")</f>
        <v/>
      </c>
      <c r="AH97" s="50"/>
      <c r="AI97" s="59" t="str">
        <f>IF(OR(AF97="",AH97=""),"",IF(COUNTIFS(PHUONG_XA!$A$2:$A$3323,AH97,PHUONG_XA!$C$2:$C$3323,AF97)=0,"",INDEX(PHUONG_XA!$B$2:$B$3323,SUMPRODUCT((PHUONG_XA!$A$2:$A$3323&amp;""=AH97&amp;"")*(PHUONG_XA!$C$2:$C$3323&amp;""=AF97&amp;"")*(ROW(PHUONG_XA!$A$2:$A$3323)-ROW(PHUONG_XA!$A$2)+1)))))</f>
        <v/>
      </c>
      <c r="AJ97" s="14"/>
      <c r="AK97" s="14"/>
      <c r="AL97" s="57" t="str">
        <f t="shared" si="2"/>
        <v/>
      </c>
      <c r="AM97" s="14"/>
      <c r="AN97" s="15"/>
      <c r="AO97" s="15"/>
      <c r="AP97" s="48"/>
      <c r="AQ97" s="15"/>
      <c r="AR97" s="15"/>
      <c r="AS97" s="15"/>
      <c r="AT97" s="60" t="str">
        <f>IF(ISNUMBER(MATCH(AU97,LOAI_THE!$B:$B,0)),INDEX(LOAI_THE!$A:$A,MATCH(AU97,LOAI_THE!$B:$B,0)),"")</f>
        <v/>
      </c>
      <c r="AU97" s="48"/>
      <c r="AV97" s="15"/>
      <c r="AW97" s="15"/>
      <c r="AX97" s="15"/>
      <c r="AY97" s="48"/>
    </row>
    <row r="98" spans="1:51" x14ac:dyDescent="0.3">
      <c r="A98" s="13" t="s">
        <v>4374</v>
      </c>
      <c r="B98" s="48"/>
      <c r="C98" s="48"/>
      <c r="D98" s="48"/>
      <c r="E98" s="48"/>
      <c r="F98" s="48"/>
      <c r="G98" s="58" t="str">
        <f>IF(ISNUMBER(MATCH(H98,GIOI_TINH!$B:$B,0)),INDEX(GIOI_TINH!$A:$A,MATCH(H98,GIOI_TINH!$B:$B,0)),"")</f>
        <v/>
      </c>
      <c r="H98" s="15"/>
      <c r="I98" s="15"/>
      <c r="J98" s="58" t="str">
        <f>IF(ISNUMBER(MATCH(K98,QUOC_GIA!$B:$B,0)),INDEX(QUOC_GIA!$A:$A,MATCH(K98,QUOC_GIA!$B:$B,0)),"")</f>
        <v/>
      </c>
      <c r="K98" s="50"/>
      <c r="L98" s="15"/>
      <c r="M98" s="58" t="str">
        <f>IF(ISNUMBER(MATCH(N98,LOAI_THUE!$B:$B,0)),INDEX(LOAI_THUE!$A:$A,MATCH(N98,LOAI_THUE!$B:$B,0)),"")</f>
        <v/>
      </c>
      <c r="N98" s="50"/>
      <c r="O98" s="58" t="str">
        <f>IF(ISNUMBER(MATCH(P98,CHI_TIET_LOAI_KH!$B:$B,0)),INDEX(CHI_TIET_LOAI_KH!$A:$A,MATCH(P98,CHI_TIET_LOAI_KH!$B:$B,0)),"")</f>
        <v/>
      </c>
      <c r="P98" s="50"/>
      <c r="Q98" s="58" t="str">
        <f>IF(ISNUMBER(MATCH(R98,NGHE_NGHIEP!$B:$B,0)),INDEX(NGHE_NGHIEP!$A:$A,MATCH(R98,NGHE_NGHIEP!$B:$B,0)),"")</f>
        <v/>
      </c>
      <c r="R98" s="50"/>
      <c r="S98" s="58" t="str">
        <f>IF(ISNUMBER(MATCH(T98,LOAI_ID!$B:$B,0)),INDEX(LOAI_ID!$A:$A,MATCH(T98,LOAI_ID!$B:$B,0)),"")</f>
        <v/>
      </c>
      <c r="T98" s="16"/>
      <c r="U98" s="48"/>
      <c r="V98" s="48"/>
      <c r="W98" s="17"/>
      <c r="X98" s="17"/>
      <c r="Y98" s="15"/>
      <c r="Z98" s="15"/>
      <c r="AA98" s="59" t="str">
        <f>IFERROR(INDEX(NOI_CAP!$B:$B,MATCH(Z98,NOI_CAP!$A:$A,0)),"")</f>
        <v/>
      </c>
      <c r="AB98" s="58" t="str">
        <f>IF(ISNUMBER(MATCH(AC98,LOAI_DIA_CHI!$B:$B,0)),INDEX(LOAI_DIA_CHI!$A:$A,MATCH(AC98,LOAI_DIA_CHI!$B:$B,0)),"")</f>
        <v/>
      </c>
      <c r="AC98" s="16"/>
      <c r="AD98" s="58" t="str">
        <f>IF(ISNUMBER(MATCH(AE98,QUOC_GIA!$B:$B,0)),INDEX(QUOC_GIA!$A:$A,MATCH(AE98,QUOC_GIA!$B:$B,0)),"")</f>
        <v/>
      </c>
      <c r="AE98" s="16"/>
      <c r="AF98" s="48"/>
      <c r="AG98" s="59" t="str">
        <f>IFERROR(INDEX(TINH_TP!$B:$B,MATCH(AF98,TINH_TP!$A:$A,0)),"")</f>
        <v/>
      </c>
      <c r="AH98" s="50"/>
      <c r="AI98" s="59" t="str">
        <f>IF(OR(AF98="",AH98=""),"",IF(COUNTIFS(PHUONG_XA!$A$2:$A$3323,AH98,PHUONG_XA!$C$2:$C$3323,AF98)=0,"",INDEX(PHUONG_XA!$B$2:$B$3323,SUMPRODUCT((PHUONG_XA!$A$2:$A$3323&amp;""=AH98&amp;"")*(PHUONG_XA!$C$2:$C$3323&amp;""=AF98&amp;"")*(ROW(PHUONG_XA!$A$2:$A$3323)-ROW(PHUONG_XA!$A$2)+1)))))</f>
        <v/>
      </c>
      <c r="AJ98" s="14"/>
      <c r="AK98" s="14"/>
      <c r="AL98" s="57" t="str">
        <f t="shared" si="2"/>
        <v/>
      </c>
      <c r="AM98" s="14"/>
      <c r="AN98" s="15"/>
      <c r="AO98" s="15"/>
      <c r="AP98" s="48"/>
      <c r="AQ98" s="15"/>
      <c r="AR98" s="15"/>
      <c r="AS98" s="15"/>
      <c r="AT98" s="60" t="str">
        <f>IF(ISNUMBER(MATCH(AU98,LOAI_THE!$B:$B,0)),INDEX(LOAI_THE!$A:$A,MATCH(AU98,LOAI_THE!$B:$B,0)),"")</f>
        <v/>
      </c>
      <c r="AU98" s="48"/>
      <c r="AV98" s="15"/>
      <c r="AW98" s="15"/>
      <c r="AX98" s="15"/>
      <c r="AY98" s="48"/>
    </row>
    <row r="99" spans="1:51" x14ac:dyDescent="0.3">
      <c r="A99" s="13" t="s">
        <v>4375</v>
      </c>
      <c r="B99" s="48"/>
      <c r="C99" s="48"/>
      <c r="D99" s="48"/>
      <c r="E99" s="48"/>
      <c r="F99" s="48"/>
      <c r="G99" s="58" t="str">
        <f>IF(ISNUMBER(MATCH(H99,GIOI_TINH!$B:$B,0)),INDEX(GIOI_TINH!$A:$A,MATCH(H99,GIOI_TINH!$B:$B,0)),"")</f>
        <v/>
      </c>
      <c r="H99" s="15"/>
      <c r="I99" s="15"/>
      <c r="J99" s="58" t="str">
        <f>IF(ISNUMBER(MATCH(K99,QUOC_GIA!$B:$B,0)),INDEX(QUOC_GIA!$A:$A,MATCH(K99,QUOC_GIA!$B:$B,0)),"")</f>
        <v/>
      </c>
      <c r="K99" s="50"/>
      <c r="L99" s="15"/>
      <c r="M99" s="58" t="str">
        <f>IF(ISNUMBER(MATCH(N99,LOAI_THUE!$B:$B,0)),INDEX(LOAI_THUE!$A:$A,MATCH(N99,LOAI_THUE!$B:$B,0)),"")</f>
        <v/>
      </c>
      <c r="N99" s="50"/>
      <c r="O99" s="58" t="str">
        <f>IF(ISNUMBER(MATCH(P99,CHI_TIET_LOAI_KH!$B:$B,0)),INDEX(CHI_TIET_LOAI_KH!$A:$A,MATCH(P99,CHI_TIET_LOAI_KH!$B:$B,0)),"")</f>
        <v/>
      </c>
      <c r="P99" s="50"/>
      <c r="Q99" s="58" t="str">
        <f>IF(ISNUMBER(MATCH(R99,NGHE_NGHIEP!$B:$B,0)),INDEX(NGHE_NGHIEP!$A:$A,MATCH(R99,NGHE_NGHIEP!$B:$B,0)),"")</f>
        <v/>
      </c>
      <c r="R99" s="50"/>
      <c r="S99" s="58" t="str">
        <f>IF(ISNUMBER(MATCH(T99,LOAI_ID!$B:$B,0)),INDEX(LOAI_ID!$A:$A,MATCH(T99,LOAI_ID!$B:$B,0)),"")</f>
        <v/>
      </c>
      <c r="T99" s="16"/>
      <c r="U99" s="48"/>
      <c r="V99" s="48"/>
      <c r="W99" s="17"/>
      <c r="X99" s="17"/>
      <c r="Y99" s="15"/>
      <c r="Z99" s="15"/>
      <c r="AA99" s="59" t="str">
        <f>IFERROR(INDEX(NOI_CAP!$B:$B,MATCH(Z99,NOI_CAP!$A:$A,0)),"")</f>
        <v/>
      </c>
      <c r="AB99" s="58" t="str">
        <f>IF(ISNUMBER(MATCH(AC99,LOAI_DIA_CHI!$B:$B,0)),INDEX(LOAI_DIA_CHI!$A:$A,MATCH(AC99,LOAI_DIA_CHI!$B:$B,0)),"")</f>
        <v/>
      </c>
      <c r="AC99" s="16"/>
      <c r="AD99" s="58" t="str">
        <f>IF(ISNUMBER(MATCH(AE99,QUOC_GIA!$B:$B,0)),INDEX(QUOC_GIA!$A:$A,MATCH(AE99,QUOC_GIA!$B:$B,0)),"")</f>
        <v/>
      </c>
      <c r="AE99" s="16"/>
      <c r="AF99" s="48"/>
      <c r="AG99" s="59" t="str">
        <f>IFERROR(INDEX(TINH_TP!$B:$B,MATCH(AF99,TINH_TP!$A:$A,0)),"")</f>
        <v/>
      </c>
      <c r="AH99" s="50"/>
      <c r="AI99" s="59" t="str">
        <f>IF(OR(AF99="",AH99=""),"",IF(COUNTIFS(PHUONG_XA!$A$2:$A$3323,AH99,PHUONG_XA!$C$2:$C$3323,AF99)=0,"",INDEX(PHUONG_XA!$B$2:$B$3323,SUMPRODUCT((PHUONG_XA!$A$2:$A$3323&amp;""=AH99&amp;"")*(PHUONG_XA!$C$2:$C$3323&amp;""=AF99&amp;"")*(ROW(PHUONG_XA!$A$2:$A$3323)-ROW(PHUONG_XA!$A$2)+1)))))</f>
        <v/>
      </c>
      <c r="AJ99" s="14"/>
      <c r="AK99" s="14"/>
      <c r="AL99" s="57" t="str">
        <f t="shared" si="2"/>
        <v/>
      </c>
      <c r="AM99" s="14"/>
      <c r="AN99" s="15"/>
      <c r="AO99" s="15"/>
      <c r="AP99" s="48"/>
      <c r="AQ99" s="15"/>
      <c r="AR99" s="15"/>
      <c r="AS99" s="15"/>
      <c r="AT99" s="60" t="str">
        <f>IF(ISNUMBER(MATCH(AU99,LOAI_THE!$B:$B,0)),INDEX(LOAI_THE!$A:$A,MATCH(AU99,LOAI_THE!$B:$B,0)),"")</f>
        <v/>
      </c>
      <c r="AU99" s="48"/>
      <c r="AV99" s="15"/>
      <c r="AW99" s="15"/>
      <c r="AX99" s="15"/>
      <c r="AY99" s="48"/>
    </row>
    <row r="100" spans="1:51" x14ac:dyDescent="0.3">
      <c r="A100" s="13" t="s">
        <v>4376</v>
      </c>
      <c r="B100" s="48"/>
      <c r="C100" s="48"/>
      <c r="D100" s="48"/>
      <c r="E100" s="48"/>
      <c r="F100" s="48"/>
      <c r="G100" s="58" t="str">
        <f>IF(ISNUMBER(MATCH(H100,GIOI_TINH!$B:$B,0)),INDEX(GIOI_TINH!$A:$A,MATCH(H100,GIOI_TINH!$B:$B,0)),"")</f>
        <v/>
      </c>
      <c r="H100" s="15"/>
      <c r="I100" s="15"/>
      <c r="J100" s="58" t="str">
        <f>IF(ISNUMBER(MATCH(K100,QUOC_GIA!$B:$B,0)),INDEX(QUOC_GIA!$A:$A,MATCH(K100,QUOC_GIA!$B:$B,0)),"")</f>
        <v/>
      </c>
      <c r="K100" s="50"/>
      <c r="L100" s="15"/>
      <c r="M100" s="58" t="str">
        <f>IF(ISNUMBER(MATCH(N100,LOAI_THUE!$B:$B,0)),INDEX(LOAI_THUE!$A:$A,MATCH(N100,LOAI_THUE!$B:$B,0)),"")</f>
        <v/>
      </c>
      <c r="N100" s="50"/>
      <c r="O100" s="58" t="str">
        <f>IF(ISNUMBER(MATCH(P100,CHI_TIET_LOAI_KH!$B:$B,0)),INDEX(CHI_TIET_LOAI_KH!$A:$A,MATCH(P100,CHI_TIET_LOAI_KH!$B:$B,0)),"")</f>
        <v/>
      </c>
      <c r="P100" s="50"/>
      <c r="Q100" s="58" t="str">
        <f>IF(ISNUMBER(MATCH(R100,NGHE_NGHIEP!$B:$B,0)),INDEX(NGHE_NGHIEP!$A:$A,MATCH(R100,NGHE_NGHIEP!$B:$B,0)),"")</f>
        <v/>
      </c>
      <c r="R100" s="50"/>
      <c r="S100" s="58" t="str">
        <f>IF(ISNUMBER(MATCH(T100,LOAI_ID!$B:$B,0)),INDEX(LOAI_ID!$A:$A,MATCH(T100,LOAI_ID!$B:$B,0)),"")</f>
        <v/>
      </c>
      <c r="T100" s="16"/>
      <c r="U100" s="48"/>
      <c r="V100" s="48"/>
      <c r="W100" s="17"/>
      <c r="X100" s="17"/>
      <c r="Y100" s="15"/>
      <c r="Z100" s="15"/>
      <c r="AA100" s="59" t="str">
        <f>IFERROR(INDEX(NOI_CAP!$B:$B,MATCH(Z100,NOI_CAP!$A:$A,0)),"")</f>
        <v/>
      </c>
      <c r="AB100" s="58" t="str">
        <f>IF(ISNUMBER(MATCH(AC100,LOAI_DIA_CHI!$B:$B,0)),INDEX(LOAI_DIA_CHI!$A:$A,MATCH(AC100,LOAI_DIA_CHI!$B:$B,0)),"")</f>
        <v/>
      </c>
      <c r="AC100" s="16"/>
      <c r="AD100" s="58" t="str">
        <f>IF(ISNUMBER(MATCH(AE100,QUOC_GIA!$B:$B,0)),INDEX(QUOC_GIA!$A:$A,MATCH(AE100,QUOC_GIA!$B:$B,0)),"")</f>
        <v/>
      </c>
      <c r="AE100" s="16"/>
      <c r="AF100" s="48"/>
      <c r="AG100" s="59" t="str">
        <f>IFERROR(INDEX(TINH_TP!$B:$B,MATCH(AF100,TINH_TP!$A:$A,0)),"")</f>
        <v/>
      </c>
      <c r="AH100" s="50"/>
      <c r="AI100" s="59" t="str">
        <f>IF(OR(AF100="",AH100=""),"",IF(COUNTIFS(PHUONG_XA!$A$2:$A$3323,AH100,PHUONG_XA!$C$2:$C$3323,AF100)=0,"",INDEX(PHUONG_XA!$B$2:$B$3323,SUMPRODUCT((PHUONG_XA!$A$2:$A$3323&amp;""=AH100&amp;"")*(PHUONG_XA!$C$2:$C$3323&amp;""=AF100&amp;"")*(ROW(PHUONG_XA!$A$2:$A$3323)-ROW(PHUONG_XA!$A$2)+1)))))</f>
        <v/>
      </c>
      <c r="AJ100" s="14"/>
      <c r="AK100" s="14"/>
      <c r="AL100" s="57" t="str">
        <f t="shared" si="2"/>
        <v/>
      </c>
      <c r="AM100" s="14"/>
      <c r="AN100" s="15"/>
      <c r="AO100" s="15"/>
      <c r="AP100" s="48"/>
      <c r="AQ100" s="15"/>
      <c r="AR100" s="15"/>
      <c r="AS100" s="15"/>
      <c r="AT100" s="60" t="str">
        <f>IF(ISNUMBER(MATCH(AU100,LOAI_THE!$B:$B,0)),INDEX(LOAI_THE!$A:$A,MATCH(AU100,LOAI_THE!$B:$B,0)),"")</f>
        <v/>
      </c>
      <c r="AU100" s="48"/>
      <c r="AV100" s="15"/>
      <c r="AW100" s="15"/>
      <c r="AX100" s="15"/>
      <c r="AY100" s="48"/>
    </row>
    <row r="101" spans="1:51" x14ac:dyDescent="0.3">
      <c r="A101" s="13" t="s">
        <v>4377</v>
      </c>
      <c r="B101" s="48"/>
      <c r="C101" s="48"/>
      <c r="D101" s="48"/>
      <c r="E101" s="48"/>
      <c r="F101" s="48"/>
      <c r="G101" s="58" t="str">
        <f>IF(ISNUMBER(MATCH(H101,GIOI_TINH!$B:$B,0)),INDEX(GIOI_TINH!$A:$A,MATCH(H101,GIOI_TINH!$B:$B,0)),"")</f>
        <v/>
      </c>
      <c r="H101" s="15"/>
      <c r="I101" s="15"/>
      <c r="J101" s="58" t="str">
        <f>IF(ISNUMBER(MATCH(K101,QUOC_GIA!$B:$B,0)),INDEX(QUOC_GIA!$A:$A,MATCH(K101,QUOC_GIA!$B:$B,0)),"")</f>
        <v/>
      </c>
      <c r="K101" s="50"/>
      <c r="L101" s="15"/>
      <c r="M101" s="58" t="str">
        <f>IF(ISNUMBER(MATCH(N101,LOAI_THUE!$B:$B,0)),INDEX(LOAI_THUE!$A:$A,MATCH(N101,LOAI_THUE!$B:$B,0)),"")</f>
        <v/>
      </c>
      <c r="N101" s="50"/>
      <c r="O101" s="58" t="str">
        <f>IF(ISNUMBER(MATCH(P101,CHI_TIET_LOAI_KH!$B:$B,0)),INDEX(CHI_TIET_LOAI_KH!$A:$A,MATCH(P101,CHI_TIET_LOAI_KH!$B:$B,0)),"")</f>
        <v/>
      </c>
      <c r="P101" s="50"/>
      <c r="Q101" s="58" t="str">
        <f>IF(ISNUMBER(MATCH(R101,NGHE_NGHIEP!$B:$B,0)),INDEX(NGHE_NGHIEP!$A:$A,MATCH(R101,NGHE_NGHIEP!$B:$B,0)),"")</f>
        <v/>
      </c>
      <c r="R101" s="50"/>
      <c r="S101" s="58" t="str">
        <f>IF(ISNUMBER(MATCH(T101,LOAI_ID!$B:$B,0)),INDEX(LOAI_ID!$A:$A,MATCH(T101,LOAI_ID!$B:$B,0)),"")</f>
        <v/>
      </c>
      <c r="T101" s="16"/>
      <c r="U101" s="48"/>
      <c r="V101" s="48"/>
      <c r="W101" s="17"/>
      <c r="X101" s="17"/>
      <c r="Y101" s="15"/>
      <c r="Z101" s="15"/>
      <c r="AA101" s="59" t="str">
        <f>IFERROR(INDEX(NOI_CAP!$B:$B,MATCH(Z101,NOI_CAP!$A:$A,0)),"")</f>
        <v/>
      </c>
      <c r="AB101" s="58" t="str">
        <f>IF(ISNUMBER(MATCH(AC101,LOAI_DIA_CHI!$B:$B,0)),INDEX(LOAI_DIA_CHI!$A:$A,MATCH(AC101,LOAI_DIA_CHI!$B:$B,0)),"")</f>
        <v/>
      </c>
      <c r="AC101" s="16"/>
      <c r="AD101" s="58" t="str">
        <f>IF(ISNUMBER(MATCH(AE101,QUOC_GIA!$B:$B,0)),INDEX(QUOC_GIA!$A:$A,MATCH(AE101,QUOC_GIA!$B:$B,0)),"")</f>
        <v/>
      </c>
      <c r="AE101" s="16"/>
      <c r="AF101" s="48"/>
      <c r="AG101" s="59" t="str">
        <f>IFERROR(INDEX(TINH_TP!$B:$B,MATCH(AF101,TINH_TP!$A:$A,0)),"")</f>
        <v/>
      </c>
      <c r="AH101" s="50"/>
      <c r="AI101" s="59" t="str">
        <f>IF(OR(AF101="",AH101=""),"",IF(COUNTIFS(PHUONG_XA!$A$2:$A$3323,AH101,PHUONG_XA!$C$2:$C$3323,AF101)=0,"",INDEX(PHUONG_XA!$B$2:$B$3323,SUMPRODUCT((PHUONG_XA!$A$2:$A$3323&amp;""=AH101&amp;"")*(PHUONG_XA!$C$2:$C$3323&amp;""=AF101&amp;"")*(ROW(PHUONG_XA!$A$2:$A$3323)-ROW(PHUONG_XA!$A$2)+1)))))</f>
        <v/>
      </c>
      <c r="AJ101" s="14"/>
      <c r="AK101" s="14"/>
      <c r="AL101" s="57" t="str">
        <f t="shared" si="2"/>
        <v/>
      </c>
      <c r="AM101" s="14"/>
      <c r="AN101" s="15"/>
      <c r="AO101" s="15"/>
      <c r="AP101" s="48"/>
      <c r="AQ101" s="15"/>
      <c r="AR101" s="15"/>
      <c r="AS101" s="15"/>
      <c r="AT101" s="60" t="str">
        <f>IF(ISNUMBER(MATCH(AU101,LOAI_THE!$B:$B,0)),INDEX(LOAI_THE!$A:$A,MATCH(AU101,LOAI_THE!$B:$B,0)),"")</f>
        <v/>
      </c>
      <c r="AU101" s="48"/>
      <c r="AV101" s="15"/>
      <c r="AW101" s="15"/>
      <c r="AX101" s="15"/>
      <c r="AY101" s="48"/>
    </row>
    <row r="102" spans="1:51" x14ac:dyDescent="0.3">
      <c r="A102" s="13" t="s">
        <v>61</v>
      </c>
      <c r="B102" s="48"/>
      <c r="C102" s="48"/>
      <c r="D102" s="48"/>
      <c r="E102" s="48"/>
      <c r="F102" s="48"/>
      <c r="G102" s="58" t="str">
        <f>IF(ISNUMBER(MATCH(H102,GIOI_TINH!$B:$B,0)),INDEX(GIOI_TINH!$A:$A,MATCH(H102,GIOI_TINH!$B:$B,0)),"")</f>
        <v/>
      </c>
      <c r="H102" s="15"/>
      <c r="I102" s="15"/>
      <c r="J102" s="58" t="str">
        <f>IF(ISNUMBER(MATCH(K102,QUOC_GIA!$B:$B,0)),INDEX(QUOC_GIA!$A:$A,MATCH(K102,QUOC_GIA!$B:$B,0)),"")</f>
        <v/>
      </c>
      <c r="K102" s="50"/>
      <c r="L102" s="15"/>
      <c r="M102" s="58" t="str">
        <f>IF(ISNUMBER(MATCH(N102,LOAI_THUE!$B:$B,0)),INDEX(LOAI_THUE!$A:$A,MATCH(N102,LOAI_THUE!$B:$B,0)),"")</f>
        <v/>
      </c>
      <c r="N102" s="50"/>
      <c r="O102" s="58" t="str">
        <f>IF(ISNUMBER(MATCH(P102,CHI_TIET_LOAI_KH!$B:$B,0)),INDEX(CHI_TIET_LOAI_KH!$A:$A,MATCH(P102,CHI_TIET_LOAI_KH!$B:$B,0)),"")</f>
        <v/>
      </c>
      <c r="P102" s="50"/>
      <c r="Q102" s="58" t="str">
        <f>IF(ISNUMBER(MATCH(R102,NGHE_NGHIEP!$B:$B,0)),INDEX(NGHE_NGHIEP!$A:$A,MATCH(R102,NGHE_NGHIEP!$B:$B,0)),"")</f>
        <v/>
      </c>
      <c r="R102" s="50"/>
      <c r="S102" s="58" t="str">
        <f>IF(ISNUMBER(MATCH(T102,LOAI_ID!$B:$B,0)),INDEX(LOAI_ID!$A:$A,MATCH(T102,LOAI_ID!$B:$B,0)),"")</f>
        <v/>
      </c>
      <c r="T102" s="16"/>
      <c r="U102" s="48"/>
      <c r="V102" s="48"/>
      <c r="W102" s="17"/>
      <c r="X102" s="17"/>
      <c r="Y102" s="15"/>
      <c r="Z102" s="15"/>
      <c r="AA102" s="59" t="str">
        <f>IFERROR(INDEX(NOI_CAP!$B:$B,MATCH(Z102,NOI_CAP!$A:$A,0)),"")</f>
        <v/>
      </c>
      <c r="AB102" s="58" t="str">
        <f>IF(ISNUMBER(MATCH(AC102,LOAI_DIA_CHI!$B:$B,0)),INDEX(LOAI_DIA_CHI!$A:$A,MATCH(AC102,LOAI_DIA_CHI!$B:$B,0)),"")</f>
        <v/>
      </c>
      <c r="AC102" s="16"/>
      <c r="AD102" s="58" t="str">
        <f>IF(ISNUMBER(MATCH(AE102,QUOC_GIA!$B:$B,0)),INDEX(QUOC_GIA!$A:$A,MATCH(AE102,QUOC_GIA!$B:$B,0)),"")</f>
        <v/>
      </c>
      <c r="AE102" s="16"/>
      <c r="AF102" s="48"/>
      <c r="AG102" s="59" t="str">
        <f>IFERROR(INDEX(TINH_TP!$B:$B,MATCH(AF102,TINH_TP!$A:$A,0)),"")</f>
        <v/>
      </c>
      <c r="AH102" s="50"/>
      <c r="AI102" s="59" t="str">
        <f>IF(OR(AF102="",AH102=""),"",IF(COUNTIFS(PHUONG_XA!$A$2:$A$3323,AH102,PHUONG_XA!$C$2:$C$3323,AF102)=0,"",INDEX(PHUONG_XA!$B$2:$B$3323,SUMPRODUCT((PHUONG_XA!$A$2:$A$3323&amp;""=AH102&amp;"")*(PHUONG_XA!$C$2:$C$3323&amp;""=AF102&amp;"")*(ROW(PHUONG_XA!$A$2:$A$3323)-ROW(PHUONG_XA!$A$2)+1)))))</f>
        <v/>
      </c>
      <c r="AJ102" s="14"/>
      <c r="AK102" s="14"/>
      <c r="AL102" s="57" t="str">
        <f t="shared" si="2"/>
        <v/>
      </c>
      <c r="AM102" s="14"/>
      <c r="AN102" s="15"/>
      <c r="AO102" s="15"/>
      <c r="AP102" s="48"/>
      <c r="AQ102" s="15"/>
      <c r="AR102" s="15"/>
      <c r="AS102" s="15"/>
      <c r="AT102" s="60" t="str">
        <f>IF(ISNUMBER(MATCH(AU102,LOAI_THE!$B:$B,0)),INDEX(LOAI_THE!$A:$A,MATCH(AU102,LOAI_THE!$B:$B,0)),"")</f>
        <v/>
      </c>
      <c r="AU102" s="48"/>
      <c r="AV102" s="15"/>
      <c r="AW102" s="15"/>
      <c r="AX102" s="15"/>
      <c r="AY102" s="48"/>
    </row>
    <row r="103" spans="1:51" x14ac:dyDescent="0.3">
      <c r="A103" s="13" t="s">
        <v>260</v>
      </c>
      <c r="B103" s="48"/>
      <c r="C103" s="48"/>
      <c r="D103" s="48"/>
      <c r="E103" s="48"/>
      <c r="F103" s="48"/>
      <c r="G103" s="58" t="str">
        <f>IF(ISNUMBER(MATCH(H103,GIOI_TINH!$B:$B,0)),INDEX(GIOI_TINH!$A:$A,MATCH(H103,GIOI_TINH!$B:$B,0)),"")</f>
        <v/>
      </c>
      <c r="H103" s="15"/>
      <c r="I103" s="15"/>
      <c r="J103" s="58" t="str">
        <f>IF(ISNUMBER(MATCH(K103,QUOC_GIA!$B:$B,0)),INDEX(QUOC_GIA!$A:$A,MATCH(K103,QUOC_GIA!$B:$B,0)),"")</f>
        <v/>
      </c>
      <c r="K103" s="50"/>
      <c r="L103" s="15"/>
      <c r="M103" s="58" t="str">
        <f>IF(ISNUMBER(MATCH(N103,LOAI_THUE!$B:$B,0)),INDEX(LOAI_THUE!$A:$A,MATCH(N103,LOAI_THUE!$B:$B,0)),"")</f>
        <v/>
      </c>
      <c r="N103" s="50"/>
      <c r="O103" s="58" t="str">
        <f>IF(ISNUMBER(MATCH(P103,CHI_TIET_LOAI_KH!$B:$B,0)),INDEX(CHI_TIET_LOAI_KH!$A:$A,MATCH(P103,CHI_TIET_LOAI_KH!$B:$B,0)),"")</f>
        <v/>
      </c>
      <c r="P103" s="50"/>
      <c r="Q103" s="58" t="str">
        <f>IF(ISNUMBER(MATCH(R103,NGHE_NGHIEP!$B:$B,0)),INDEX(NGHE_NGHIEP!$A:$A,MATCH(R103,NGHE_NGHIEP!$B:$B,0)),"")</f>
        <v/>
      </c>
      <c r="R103" s="50"/>
      <c r="S103" s="58" t="str">
        <f>IF(ISNUMBER(MATCH(T103,LOAI_ID!$B:$B,0)),INDEX(LOAI_ID!$A:$A,MATCH(T103,LOAI_ID!$B:$B,0)),"")</f>
        <v/>
      </c>
      <c r="T103" s="16"/>
      <c r="U103" s="48"/>
      <c r="V103" s="48"/>
      <c r="W103" s="17"/>
      <c r="X103" s="17"/>
      <c r="Y103" s="15"/>
      <c r="Z103" s="15"/>
      <c r="AA103" s="59" t="str">
        <f>IFERROR(INDEX(NOI_CAP!$B:$B,MATCH(Z103,NOI_CAP!$A:$A,0)),"")</f>
        <v/>
      </c>
      <c r="AB103" s="58" t="str">
        <f>IF(ISNUMBER(MATCH(AC103,LOAI_DIA_CHI!$B:$B,0)),INDEX(LOAI_DIA_CHI!$A:$A,MATCH(AC103,LOAI_DIA_CHI!$B:$B,0)),"")</f>
        <v/>
      </c>
      <c r="AC103" s="16"/>
      <c r="AD103" s="58" t="str">
        <f>IF(ISNUMBER(MATCH(AE103,QUOC_GIA!$B:$B,0)),INDEX(QUOC_GIA!$A:$A,MATCH(AE103,QUOC_GIA!$B:$B,0)),"")</f>
        <v/>
      </c>
      <c r="AE103" s="16"/>
      <c r="AF103" s="48"/>
      <c r="AG103" s="59" t="str">
        <f>IFERROR(INDEX(TINH_TP!$B:$B,MATCH(AF103,TINH_TP!$A:$A,0)),"")</f>
        <v/>
      </c>
      <c r="AH103" s="50"/>
      <c r="AI103" s="59" t="str">
        <f>IF(OR(AF103="",AH103=""),"",IF(COUNTIFS(PHUONG_XA!$A$2:$A$3323,AH103,PHUONG_XA!$C$2:$C$3323,AF103)=0,"",INDEX(PHUONG_XA!$B$2:$B$3323,SUMPRODUCT((PHUONG_XA!$A$2:$A$3323&amp;""=AH103&amp;"")*(PHUONG_XA!$C$2:$C$3323&amp;""=AF103&amp;"")*(ROW(PHUONG_XA!$A$2:$A$3323)-ROW(PHUONG_XA!$A$2)+1)))))</f>
        <v/>
      </c>
      <c r="AJ103" s="14"/>
      <c r="AK103" s="14"/>
      <c r="AL103" s="57" t="str">
        <f t="shared" si="2"/>
        <v/>
      </c>
      <c r="AM103" s="14"/>
      <c r="AN103" s="15"/>
      <c r="AO103" s="15"/>
      <c r="AP103" s="48"/>
      <c r="AQ103" s="15"/>
      <c r="AR103" s="15"/>
      <c r="AS103" s="15"/>
      <c r="AT103" s="60" t="str">
        <f>IF(ISNUMBER(MATCH(AU103,LOAI_THE!$B:$B,0)),INDEX(LOAI_THE!$A:$A,MATCH(AU103,LOAI_THE!$B:$B,0)),"")</f>
        <v/>
      </c>
      <c r="AU103" s="48"/>
      <c r="AV103" s="15"/>
      <c r="AW103" s="15"/>
      <c r="AX103" s="15"/>
      <c r="AY103" s="48"/>
    </row>
    <row r="104" spans="1:51" x14ac:dyDescent="0.3">
      <c r="A104" s="13" t="s">
        <v>45</v>
      </c>
      <c r="B104" s="48"/>
      <c r="C104" s="48"/>
      <c r="D104" s="48"/>
      <c r="E104" s="48"/>
      <c r="F104" s="48"/>
      <c r="G104" s="58" t="str">
        <f>IF(ISNUMBER(MATCH(H104,GIOI_TINH!$B:$B,0)),INDEX(GIOI_TINH!$A:$A,MATCH(H104,GIOI_TINH!$B:$B,0)),"")</f>
        <v/>
      </c>
      <c r="H104" s="15"/>
      <c r="I104" s="15"/>
      <c r="J104" s="58" t="str">
        <f>IF(ISNUMBER(MATCH(K104,QUOC_GIA!$B:$B,0)),INDEX(QUOC_GIA!$A:$A,MATCH(K104,QUOC_GIA!$B:$B,0)),"")</f>
        <v/>
      </c>
      <c r="K104" s="50"/>
      <c r="L104" s="15"/>
      <c r="M104" s="58" t="str">
        <f>IF(ISNUMBER(MATCH(N104,LOAI_THUE!$B:$B,0)),INDEX(LOAI_THUE!$A:$A,MATCH(N104,LOAI_THUE!$B:$B,0)),"")</f>
        <v/>
      </c>
      <c r="N104" s="50"/>
      <c r="O104" s="58" t="str">
        <f>IF(ISNUMBER(MATCH(P104,CHI_TIET_LOAI_KH!$B:$B,0)),INDEX(CHI_TIET_LOAI_KH!$A:$A,MATCH(P104,CHI_TIET_LOAI_KH!$B:$B,0)),"")</f>
        <v/>
      </c>
      <c r="P104" s="50"/>
      <c r="Q104" s="58" t="str">
        <f>IF(ISNUMBER(MATCH(R104,NGHE_NGHIEP!$B:$B,0)),INDEX(NGHE_NGHIEP!$A:$A,MATCH(R104,NGHE_NGHIEP!$B:$B,0)),"")</f>
        <v/>
      </c>
      <c r="R104" s="50"/>
      <c r="S104" s="58" t="str">
        <f>IF(ISNUMBER(MATCH(T104,LOAI_ID!$B:$B,0)),INDEX(LOAI_ID!$A:$A,MATCH(T104,LOAI_ID!$B:$B,0)),"")</f>
        <v/>
      </c>
      <c r="T104" s="16"/>
      <c r="U104" s="48"/>
      <c r="V104" s="48"/>
      <c r="W104" s="17"/>
      <c r="X104" s="17"/>
      <c r="Y104" s="15"/>
      <c r="Z104" s="15"/>
      <c r="AA104" s="59" t="str">
        <f>IFERROR(INDEX(NOI_CAP!$B:$B,MATCH(Z104,NOI_CAP!$A:$A,0)),"")</f>
        <v/>
      </c>
      <c r="AB104" s="58" t="str">
        <f>IF(ISNUMBER(MATCH(AC104,LOAI_DIA_CHI!$B:$B,0)),INDEX(LOAI_DIA_CHI!$A:$A,MATCH(AC104,LOAI_DIA_CHI!$B:$B,0)),"")</f>
        <v/>
      </c>
      <c r="AC104" s="16"/>
      <c r="AD104" s="58" t="str">
        <f>IF(ISNUMBER(MATCH(AE104,QUOC_GIA!$B:$B,0)),INDEX(QUOC_GIA!$A:$A,MATCH(AE104,QUOC_GIA!$B:$B,0)),"")</f>
        <v/>
      </c>
      <c r="AE104" s="16"/>
      <c r="AF104" s="48"/>
      <c r="AG104" s="59" t="str">
        <f>IFERROR(INDEX(TINH_TP!$B:$B,MATCH(AF104,TINH_TP!$A:$A,0)),"")</f>
        <v/>
      </c>
      <c r="AH104" s="50"/>
      <c r="AI104" s="59" t="str">
        <f>IF(OR(AF104="",AH104=""),"",IF(COUNTIFS(PHUONG_XA!$A$2:$A$3323,AH104,PHUONG_XA!$C$2:$C$3323,AF104)=0,"",INDEX(PHUONG_XA!$B$2:$B$3323,SUMPRODUCT((PHUONG_XA!$A$2:$A$3323&amp;""=AH104&amp;"")*(PHUONG_XA!$C$2:$C$3323&amp;""=AF104&amp;"")*(ROW(PHUONG_XA!$A$2:$A$3323)-ROW(PHUONG_XA!$A$2)+1)))))</f>
        <v/>
      </c>
      <c r="AJ104" s="14"/>
      <c r="AK104" s="14"/>
      <c r="AL104" s="57" t="str">
        <f t="shared" si="2"/>
        <v/>
      </c>
      <c r="AM104" s="14"/>
      <c r="AN104" s="15"/>
      <c r="AO104" s="15"/>
      <c r="AP104" s="48"/>
      <c r="AQ104" s="15"/>
      <c r="AR104" s="15"/>
      <c r="AS104" s="15"/>
      <c r="AT104" s="60" t="str">
        <f>IF(ISNUMBER(MATCH(AU104,LOAI_THE!$B:$B,0)),INDEX(LOAI_THE!$A:$A,MATCH(AU104,LOAI_THE!$B:$B,0)),"")</f>
        <v/>
      </c>
      <c r="AU104" s="48"/>
      <c r="AV104" s="15"/>
      <c r="AW104" s="15"/>
      <c r="AX104" s="15"/>
      <c r="AY104" s="48"/>
    </row>
    <row r="105" spans="1:51" x14ac:dyDescent="0.3">
      <c r="A105" s="13" t="s">
        <v>263</v>
      </c>
      <c r="B105" s="48"/>
      <c r="C105" s="48"/>
      <c r="D105" s="48"/>
      <c r="E105" s="48"/>
      <c r="F105" s="48"/>
      <c r="G105" s="58" t="str">
        <f>IF(ISNUMBER(MATCH(H105,GIOI_TINH!$B:$B,0)),INDEX(GIOI_TINH!$A:$A,MATCH(H105,GIOI_TINH!$B:$B,0)),"")</f>
        <v/>
      </c>
      <c r="H105" s="15"/>
      <c r="I105" s="15"/>
      <c r="J105" s="58" t="str">
        <f>IF(ISNUMBER(MATCH(K105,QUOC_GIA!$B:$B,0)),INDEX(QUOC_GIA!$A:$A,MATCH(K105,QUOC_GIA!$B:$B,0)),"")</f>
        <v/>
      </c>
      <c r="K105" s="50"/>
      <c r="L105" s="15"/>
      <c r="M105" s="58" t="str">
        <f>IF(ISNUMBER(MATCH(N105,LOAI_THUE!$B:$B,0)),INDEX(LOAI_THUE!$A:$A,MATCH(N105,LOAI_THUE!$B:$B,0)),"")</f>
        <v/>
      </c>
      <c r="N105" s="50"/>
      <c r="O105" s="58" t="str">
        <f>IF(ISNUMBER(MATCH(P105,CHI_TIET_LOAI_KH!$B:$B,0)),INDEX(CHI_TIET_LOAI_KH!$A:$A,MATCH(P105,CHI_TIET_LOAI_KH!$B:$B,0)),"")</f>
        <v/>
      </c>
      <c r="P105" s="50"/>
      <c r="Q105" s="58" t="str">
        <f>IF(ISNUMBER(MATCH(R105,NGHE_NGHIEP!$B:$B,0)),INDEX(NGHE_NGHIEP!$A:$A,MATCH(R105,NGHE_NGHIEP!$B:$B,0)),"")</f>
        <v/>
      </c>
      <c r="R105" s="50"/>
      <c r="S105" s="58" t="str">
        <f>IF(ISNUMBER(MATCH(T105,LOAI_ID!$B:$B,0)),INDEX(LOAI_ID!$A:$A,MATCH(T105,LOAI_ID!$B:$B,0)),"")</f>
        <v/>
      </c>
      <c r="T105" s="16"/>
      <c r="U105" s="48"/>
      <c r="V105" s="48"/>
      <c r="W105" s="17"/>
      <c r="X105" s="17"/>
      <c r="Y105" s="15"/>
      <c r="Z105" s="15"/>
      <c r="AA105" s="59" t="str">
        <f>IFERROR(INDEX(NOI_CAP!$B:$B,MATCH(Z105,NOI_CAP!$A:$A,0)),"")</f>
        <v/>
      </c>
      <c r="AB105" s="58" t="str">
        <f>IF(ISNUMBER(MATCH(AC105,LOAI_DIA_CHI!$B:$B,0)),INDEX(LOAI_DIA_CHI!$A:$A,MATCH(AC105,LOAI_DIA_CHI!$B:$B,0)),"")</f>
        <v/>
      </c>
      <c r="AC105" s="16"/>
      <c r="AD105" s="58" t="str">
        <f>IF(ISNUMBER(MATCH(AE105,QUOC_GIA!$B:$B,0)),INDEX(QUOC_GIA!$A:$A,MATCH(AE105,QUOC_GIA!$B:$B,0)),"")</f>
        <v/>
      </c>
      <c r="AE105" s="16"/>
      <c r="AF105" s="48"/>
      <c r="AG105" s="59" t="str">
        <f>IFERROR(INDEX(TINH_TP!$B:$B,MATCH(AF105,TINH_TP!$A:$A,0)),"")</f>
        <v/>
      </c>
      <c r="AH105" s="50"/>
      <c r="AI105" s="59" t="str">
        <f>IF(OR(AF105="",AH105=""),"",IF(COUNTIFS(PHUONG_XA!$A$2:$A$3323,AH105,PHUONG_XA!$C$2:$C$3323,AF105)=0,"",INDEX(PHUONG_XA!$B$2:$B$3323,SUMPRODUCT((PHUONG_XA!$A$2:$A$3323&amp;""=AH105&amp;"")*(PHUONG_XA!$C$2:$C$3323&amp;""=AF105&amp;"")*(ROW(PHUONG_XA!$A$2:$A$3323)-ROW(PHUONG_XA!$A$2)+1)))))</f>
        <v/>
      </c>
      <c r="AJ105" s="14"/>
      <c r="AK105" s="14"/>
      <c r="AL105" s="57" t="str">
        <f t="shared" si="2"/>
        <v/>
      </c>
      <c r="AM105" s="14"/>
      <c r="AN105" s="15"/>
      <c r="AO105" s="15"/>
      <c r="AP105" s="48"/>
      <c r="AQ105" s="15"/>
      <c r="AR105" s="15"/>
      <c r="AS105" s="15"/>
      <c r="AT105" s="60" t="str">
        <f>IF(ISNUMBER(MATCH(AU105,LOAI_THE!$B:$B,0)),INDEX(LOAI_THE!$A:$A,MATCH(AU105,LOAI_THE!$B:$B,0)),"")</f>
        <v/>
      </c>
      <c r="AU105" s="48"/>
      <c r="AV105" s="15"/>
      <c r="AW105" s="15"/>
      <c r="AX105" s="15"/>
      <c r="AY105" s="48"/>
    </row>
    <row r="106" spans="1:51" x14ac:dyDescent="0.3">
      <c r="A106" s="13" t="s">
        <v>265</v>
      </c>
      <c r="B106" s="48"/>
      <c r="C106" s="48"/>
      <c r="D106" s="48"/>
      <c r="E106" s="48"/>
      <c r="F106" s="48"/>
      <c r="G106" s="58" t="str">
        <f>IF(ISNUMBER(MATCH(H106,GIOI_TINH!$B:$B,0)),INDEX(GIOI_TINH!$A:$A,MATCH(H106,GIOI_TINH!$B:$B,0)),"")</f>
        <v/>
      </c>
      <c r="H106" s="15"/>
      <c r="I106" s="15"/>
      <c r="J106" s="58" t="str">
        <f>IF(ISNUMBER(MATCH(K106,QUOC_GIA!$B:$B,0)),INDEX(QUOC_GIA!$A:$A,MATCH(K106,QUOC_GIA!$B:$B,0)),"")</f>
        <v/>
      </c>
      <c r="K106" s="50"/>
      <c r="L106" s="15"/>
      <c r="M106" s="58" t="str">
        <f>IF(ISNUMBER(MATCH(N106,LOAI_THUE!$B:$B,0)),INDEX(LOAI_THUE!$A:$A,MATCH(N106,LOAI_THUE!$B:$B,0)),"")</f>
        <v/>
      </c>
      <c r="N106" s="50"/>
      <c r="O106" s="58" t="str">
        <f>IF(ISNUMBER(MATCH(P106,CHI_TIET_LOAI_KH!$B:$B,0)),INDEX(CHI_TIET_LOAI_KH!$A:$A,MATCH(P106,CHI_TIET_LOAI_KH!$B:$B,0)),"")</f>
        <v/>
      </c>
      <c r="P106" s="50"/>
      <c r="Q106" s="58" t="str">
        <f>IF(ISNUMBER(MATCH(R106,NGHE_NGHIEP!$B:$B,0)),INDEX(NGHE_NGHIEP!$A:$A,MATCH(R106,NGHE_NGHIEP!$B:$B,0)),"")</f>
        <v/>
      </c>
      <c r="R106" s="50"/>
      <c r="S106" s="58" t="str">
        <f>IF(ISNUMBER(MATCH(T106,LOAI_ID!$B:$B,0)),INDEX(LOAI_ID!$A:$A,MATCH(T106,LOAI_ID!$B:$B,0)),"")</f>
        <v/>
      </c>
      <c r="T106" s="16"/>
      <c r="U106" s="48"/>
      <c r="V106" s="48"/>
      <c r="W106" s="17"/>
      <c r="X106" s="17"/>
      <c r="Y106" s="15"/>
      <c r="Z106" s="15"/>
      <c r="AA106" s="59" t="str">
        <f>IFERROR(INDEX(NOI_CAP!$B:$B,MATCH(Z106,NOI_CAP!$A:$A,0)),"")</f>
        <v/>
      </c>
      <c r="AB106" s="58" t="str">
        <f>IF(ISNUMBER(MATCH(AC106,LOAI_DIA_CHI!$B:$B,0)),INDEX(LOAI_DIA_CHI!$A:$A,MATCH(AC106,LOAI_DIA_CHI!$B:$B,0)),"")</f>
        <v/>
      </c>
      <c r="AC106" s="16"/>
      <c r="AD106" s="58" t="str">
        <f>IF(ISNUMBER(MATCH(AE106,QUOC_GIA!$B:$B,0)),INDEX(QUOC_GIA!$A:$A,MATCH(AE106,QUOC_GIA!$B:$B,0)),"")</f>
        <v/>
      </c>
      <c r="AE106" s="16"/>
      <c r="AF106" s="48"/>
      <c r="AG106" s="59" t="str">
        <f>IFERROR(INDEX(TINH_TP!$B:$B,MATCH(AF106,TINH_TP!$A:$A,0)),"")</f>
        <v/>
      </c>
      <c r="AH106" s="50"/>
      <c r="AI106" s="59" t="str">
        <f>IF(OR(AF106="",AH106=""),"",IF(COUNTIFS(PHUONG_XA!$A$2:$A$3323,AH106,PHUONG_XA!$C$2:$C$3323,AF106)=0,"",INDEX(PHUONG_XA!$B$2:$B$3323,SUMPRODUCT((PHUONG_XA!$A$2:$A$3323&amp;""=AH106&amp;"")*(PHUONG_XA!$C$2:$C$3323&amp;""=AF106&amp;"")*(ROW(PHUONG_XA!$A$2:$A$3323)-ROW(PHUONG_XA!$A$2)+1)))))</f>
        <v/>
      </c>
      <c r="AJ106" s="14"/>
      <c r="AK106" s="14"/>
      <c r="AL106" s="57" t="str">
        <f t="shared" si="2"/>
        <v/>
      </c>
      <c r="AM106" s="14"/>
      <c r="AN106" s="15"/>
      <c r="AO106" s="15"/>
      <c r="AP106" s="48"/>
      <c r="AQ106" s="15"/>
      <c r="AR106" s="15"/>
      <c r="AS106" s="15"/>
      <c r="AT106" s="60" t="str">
        <f>IF(ISNUMBER(MATCH(AU106,LOAI_THE!$B:$B,0)),INDEX(LOAI_THE!$A:$A,MATCH(AU106,LOAI_THE!$B:$B,0)),"")</f>
        <v/>
      </c>
      <c r="AU106" s="48"/>
      <c r="AV106" s="15"/>
      <c r="AW106" s="15"/>
      <c r="AX106" s="15"/>
      <c r="AY106" s="48"/>
    </row>
    <row r="107" spans="1:51" x14ac:dyDescent="0.3">
      <c r="A107" s="13" t="s">
        <v>46</v>
      </c>
      <c r="B107" s="48"/>
      <c r="C107" s="48"/>
      <c r="D107" s="48"/>
      <c r="E107" s="48"/>
      <c r="F107" s="48"/>
      <c r="G107" s="58" t="str">
        <f>IF(ISNUMBER(MATCH(H107,GIOI_TINH!$B:$B,0)),INDEX(GIOI_TINH!$A:$A,MATCH(H107,GIOI_TINH!$B:$B,0)),"")</f>
        <v/>
      </c>
      <c r="H107" s="15"/>
      <c r="I107" s="15"/>
      <c r="J107" s="58" t="str">
        <f>IF(ISNUMBER(MATCH(K107,QUOC_GIA!$B:$B,0)),INDEX(QUOC_GIA!$A:$A,MATCH(K107,QUOC_GIA!$B:$B,0)),"")</f>
        <v/>
      </c>
      <c r="K107" s="50"/>
      <c r="L107" s="15"/>
      <c r="M107" s="58" t="str">
        <f>IF(ISNUMBER(MATCH(N107,LOAI_THUE!$B:$B,0)),INDEX(LOAI_THUE!$A:$A,MATCH(N107,LOAI_THUE!$B:$B,0)),"")</f>
        <v/>
      </c>
      <c r="N107" s="50"/>
      <c r="O107" s="58" t="str">
        <f>IF(ISNUMBER(MATCH(P107,CHI_TIET_LOAI_KH!$B:$B,0)),INDEX(CHI_TIET_LOAI_KH!$A:$A,MATCH(P107,CHI_TIET_LOAI_KH!$B:$B,0)),"")</f>
        <v/>
      </c>
      <c r="P107" s="50"/>
      <c r="Q107" s="58" t="str">
        <f>IF(ISNUMBER(MATCH(R107,NGHE_NGHIEP!$B:$B,0)),INDEX(NGHE_NGHIEP!$A:$A,MATCH(R107,NGHE_NGHIEP!$B:$B,0)),"")</f>
        <v/>
      </c>
      <c r="R107" s="50"/>
      <c r="S107" s="58" t="str">
        <f>IF(ISNUMBER(MATCH(T107,LOAI_ID!$B:$B,0)),INDEX(LOAI_ID!$A:$A,MATCH(T107,LOAI_ID!$B:$B,0)),"")</f>
        <v/>
      </c>
      <c r="T107" s="16"/>
      <c r="U107" s="48"/>
      <c r="V107" s="48"/>
      <c r="W107" s="17"/>
      <c r="X107" s="17"/>
      <c r="Y107" s="15"/>
      <c r="Z107" s="15"/>
      <c r="AA107" s="59" t="str">
        <f>IFERROR(INDEX(NOI_CAP!$B:$B,MATCH(Z107,NOI_CAP!$A:$A,0)),"")</f>
        <v/>
      </c>
      <c r="AB107" s="58" t="str">
        <f>IF(ISNUMBER(MATCH(AC107,LOAI_DIA_CHI!$B:$B,0)),INDEX(LOAI_DIA_CHI!$A:$A,MATCH(AC107,LOAI_DIA_CHI!$B:$B,0)),"")</f>
        <v/>
      </c>
      <c r="AC107" s="16"/>
      <c r="AD107" s="58" t="str">
        <f>IF(ISNUMBER(MATCH(AE107,QUOC_GIA!$B:$B,0)),INDEX(QUOC_GIA!$A:$A,MATCH(AE107,QUOC_GIA!$B:$B,0)),"")</f>
        <v/>
      </c>
      <c r="AE107" s="16"/>
      <c r="AF107" s="48"/>
      <c r="AG107" s="59" t="str">
        <f>IFERROR(INDEX(TINH_TP!$B:$B,MATCH(AF107,TINH_TP!$A:$A,0)),"")</f>
        <v/>
      </c>
      <c r="AH107" s="50"/>
      <c r="AI107" s="59" t="str">
        <f>IF(OR(AF107="",AH107=""),"",IF(COUNTIFS(PHUONG_XA!$A$2:$A$3323,AH107,PHUONG_XA!$C$2:$C$3323,AF107)=0,"",INDEX(PHUONG_XA!$B$2:$B$3323,SUMPRODUCT((PHUONG_XA!$A$2:$A$3323&amp;""=AH107&amp;"")*(PHUONG_XA!$C$2:$C$3323&amp;""=AF107&amp;"")*(ROW(PHUONG_XA!$A$2:$A$3323)-ROW(PHUONG_XA!$A$2)+1)))))</f>
        <v/>
      </c>
      <c r="AJ107" s="14"/>
      <c r="AK107" s="14"/>
      <c r="AL107" s="57" t="str">
        <f t="shared" si="2"/>
        <v/>
      </c>
      <c r="AM107" s="14"/>
      <c r="AN107" s="15"/>
      <c r="AO107" s="15"/>
      <c r="AP107" s="48"/>
      <c r="AQ107" s="15"/>
      <c r="AR107" s="15"/>
      <c r="AS107" s="15"/>
      <c r="AT107" s="60" t="str">
        <f>IF(ISNUMBER(MATCH(AU107,LOAI_THE!$B:$B,0)),INDEX(LOAI_THE!$A:$A,MATCH(AU107,LOAI_THE!$B:$B,0)),"")</f>
        <v/>
      </c>
      <c r="AU107" s="48"/>
      <c r="AV107" s="15"/>
      <c r="AW107" s="15"/>
      <c r="AX107" s="15"/>
      <c r="AY107" s="48"/>
    </row>
    <row r="108" spans="1:51" x14ac:dyDescent="0.3">
      <c r="A108" s="13" t="s">
        <v>48</v>
      </c>
      <c r="B108" s="48"/>
      <c r="C108" s="48"/>
      <c r="D108" s="48"/>
      <c r="E108" s="48"/>
      <c r="F108" s="48"/>
      <c r="G108" s="58" t="str">
        <f>IF(ISNUMBER(MATCH(H108,GIOI_TINH!$B:$B,0)),INDEX(GIOI_TINH!$A:$A,MATCH(H108,GIOI_TINH!$B:$B,0)),"")</f>
        <v/>
      </c>
      <c r="H108" s="15"/>
      <c r="I108" s="15"/>
      <c r="J108" s="58" t="str">
        <f>IF(ISNUMBER(MATCH(K108,QUOC_GIA!$B:$B,0)),INDEX(QUOC_GIA!$A:$A,MATCH(K108,QUOC_GIA!$B:$B,0)),"")</f>
        <v/>
      </c>
      <c r="K108" s="50"/>
      <c r="L108" s="15"/>
      <c r="M108" s="58" t="str">
        <f>IF(ISNUMBER(MATCH(N108,LOAI_THUE!$B:$B,0)),INDEX(LOAI_THUE!$A:$A,MATCH(N108,LOAI_THUE!$B:$B,0)),"")</f>
        <v/>
      </c>
      <c r="N108" s="50"/>
      <c r="O108" s="58" t="str">
        <f>IF(ISNUMBER(MATCH(P108,CHI_TIET_LOAI_KH!$B:$B,0)),INDEX(CHI_TIET_LOAI_KH!$A:$A,MATCH(P108,CHI_TIET_LOAI_KH!$B:$B,0)),"")</f>
        <v/>
      </c>
      <c r="P108" s="50"/>
      <c r="Q108" s="58" t="str">
        <f>IF(ISNUMBER(MATCH(R108,NGHE_NGHIEP!$B:$B,0)),INDEX(NGHE_NGHIEP!$A:$A,MATCH(R108,NGHE_NGHIEP!$B:$B,0)),"")</f>
        <v/>
      </c>
      <c r="R108" s="50"/>
      <c r="S108" s="58" t="str">
        <f>IF(ISNUMBER(MATCH(T108,LOAI_ID!$B:$B,0)),INDEX(LOAI_ID!$A:$A,MATCH(T108,LOAI_ID!$B:$B,0)),"")</f>
        <v/>
      </c>
      <c r="T108" s="16"/>
      <c r="U108" s="48"/>
      <c r="V108" s="48"/>
      <c r="W108" s="17"/>
      <c r="X108" s="17"/>
      <c r="Y108" s="15"/>
      <c r="Z108" s="15"/>
      <c r="AA108" s="59" t="str">
        <f>IFERROR(INDEX(NOI_CAP!$B:$B,MATCH(Z108,NOI_CAP!$A:$A,0)),"")</f>
        <v/>
      </c>
      <c r="AB108" s="58" t="str">
        <f>IF(ISNUMBER(MATCH(AC108,LOAI_DIA_CHI!$B:$B,0)),INDEX(LOAI_DIA_CHI!$A:$A,MATCH(AC108,LOAI_DIA_CHI!$B:$B,0)),"")</f>
        <v/>
      </c>
      <c r="AC108" s="16"/>
      <c r="AD108" s="58" t="str">
        <f>IF(ISNUMBER(MATCH(AE108,QUOC_GIA!$B:$B,0)),INDEX(QUOC_GIA!$A:$A,MATCH(AE108,QUOC_GIA!$B:$B,0)),"")</f>
        <v/>
      </c>
      <c r="AE108" s="16"/>
      <c r="AF108" s="48"/>
      <c r="AG108" s="59" t="str">
        <f>IFERROR(INDEX(TINH_TP!$B:$B,MATCH(AF108,TINH_TP!$A:$A,0)),"")</f>
        <v/>
      </c>
      <c r="AH108" s="50"/>
      <c r="AI108" s="59" t="str">
        <f>IF(OR(AF108="",AH108=""),"",IF(COUNTIFS(PHUONG_XA!$A$2:$A$3323,AH108,PHUONG_XA!$C$2:$C$3323,AF108)=0,"",INDEX(PHUONG_XA!$B$2:$B$3323,SUMPRODUCT((PHUONG_XA!$A$2:$A$3323&amp;""=AH108&amp;"")*(PHUONG_XA!$C$2:$C$3323&amp;""=AF108&amp;"")*(ROW(PHUONG_XA!$A$2:$A$3323)-ROW(PHUONG_XA!$A$2)+1)))))</f>
        <v/>
      </c>
      <c r="AJ108" s="14"/>
      <c r="AK108" s="14"/>
      <c r="AL108" s="57" t="str">
        <f t="shared" si="2"/>
        <v/>
      </c>
      <c r="AM108" s="14"/>
      <c r="AN108" s="15"/>
      <c r="AO108" s="15"/>
      <c r="AP108" s="48"/>
      <c r="AQ108" s="15"/>
      <c r="AR108" s="15"/>
      <c r="AS108" s="15"/>
      <c r="AT108" s="60" t="str">
        <f>IF(ISNUMBER(MATCH(AU108,LOAI_THE!$B:$B,0)),INDEX(LOAI_THE!$A:$A,MATCH(AU108,LOAI_THE!$B:$B,0)),"")</f>
        <v/>
      </c>
      <c r="AU108" s="48"/>
      <c r="AV108" s="15"/>
      <c r="AW108" s="15"/>
      <c r="AX108" s="15"/>
      <c r="AY108" s="48"/>
    </row>
    <row r="109" spans="1:51" x14ac:dyDescent="0.3">
      <c r="A109" s="13" t="s">
        <v>269</v>
      </c>
      <c r="B109" s="48"/>
      <c r="C109" s="48"/>
      <c r="D109" s="48"/>
      <c r="E109" s="48"/>
      <c r="F109" s="48"/>
      <c r="G109" s="58" t="str">
        <f>IF(ISNUMBER(MATCH(H109,GIOI_TINH!$B:$B,0)),INDEX(GIOI_TINH!$A:$A,MATCH(H109,GIOI_TINH!$B:$B,0)),"")</f>
        <v/>
      </c>
      <c r="H109" s="15"/>
      <c r="I109" s="15"/>
      <c r="J109" s="58" t="str">
        <f>IF(ISNUMBER(MATCH(K109,QUOC_GIA!$B:$B,0)),INDEX(QUOC_GIA!$A:$A,MATCH(K109,QUOC_GIA!$B:$B,0)),"")</f>
        <v/>
      </c>
      <c r="K109" s="50"/>
      <c r="L109" s="15"/>
      <c r="M109" s="58" t="str">
        <f>IF(ISNUMBER(MATCH(N109,LOAI_THUE!$B:$B,0)),INDEX(LOAI_THUE!$A:$A,MATCH(N109,LOAI_THUE!$B:$B,0)),"")</f>
        <v/>
      </c>
      <c r="N109" s="50"/>
      <c r="O109" s="58" t="str">
        <f>IF(ISNUMBER(MATCH(P109,CHI_TIET_LOAI_KH!$B:$B,0)),INDEX(CHI_TIET_LOAI_KH!$A:$A,MATCH(P109,CHI_TIET_LOAI_KH!$B:$B,0)),"")</f>
        <v/>
      </c>
      <c r="P109" s="50"/>
      <c r="Q109" s="58" t="str">
        <f>IF(ISNUMBER(MATCH(R109,NGHE_NGHIEP!$B:$B,0)),INDEX(NGHE_NGHIEP!$A:$A,MATCH(R109,NGHE_NGHIEP!$B:$B,0)),"")</f>
        <v/>
      </c>
      <c r="R109" s="50"/>
      <c r="S109" s="58" t="str">
        <f>IF(ISNUMBER(MATCH(T109,LOAI_ID!$B:$B,0)),INDEX(LOAI_ID!$A:$A,MATCH(T109,LOAI_ID!$B:$B,0)),"")</f>
        <v/>
      </c>
      <c r="T109" s="16"/>
      <c r="U109" s="48"/>
      <c r="V109" s="48"/>
      <c r="W109" s="17"/>
      <c r="X109" s="17"/>
      <c r="Y109" s="15"/>
      <c r="Z109" s="15"/>
      <c r="AA109" s="59" t="str">
        <f>IFERROR(INDEX(NOI_CAP!$B:$B,MATCH(Z109,NOI_CAP!$A:$A,0)),"")</f>
        <v/>
      </c>
      <c r="AB109" s="58" t="str">
        <f>IF(ISNUMBER(MATCH(AC109,LOAI_DIA_CHI!$B:$B,0)),INDEX(LOAI_DIA_CHI!$A:$A,MATCH(AC109,LOAI_DIA_CHI!$B:$B,0)),"")</f>
        <v/>
      </c>
      <c r="AC109" s="16"/>
      <c r="AD109" s="58" t="str">
        <f>IF(ISNUMBER(MATCH(AE109,QUOC_GIA!$B:$B,0)),INDEX(QUOC_GIA!$A:$A,MATCH(AE109,QUOC_GIA!$B:$B,0)),"")</f>
        <v/>
      </c>
      <c r="AE109" s="16"/>
      <c r="AF109" s="48"/>
      <c r="AG109" s="59" t="str">
        <f>IFERROR(INDEX(TINH_TP!$B:$B,MATCH(AF109,TINH_TP!$A:$A,0)),"")</f>
        <v/>
      </c>
      <c r="AH109" s="50"/>
      <c r="AI109" s="59" t="str">
        <f>IF(OR(AF109="",AH109=""),"",IF(COUNTIFS(PHUONG_XA!$A$2:$A$3323,AH109,PHUONG_XA!$C$2:$C$3323,AF109)=0,"",INDEX(PHUONG_XA!$B$2:$B$3323,SUMPRODUCT((PHUONG_XA!$A$2:$A$3323&amp;""=AH109&amp;"")*(PHUONG_XA!$C$2:$C$3323&amp;""=AF109&amp;"")*(ROW(PHUONG_XA!$A$2:$A$3323)-ROW(PHUONG_XA!$A$2)+1)))))</f>
        <v/>
      </c>
      <c r="AJ109" s="14"/>
      <c r="AK109" s="14"/>
      <c r="AL109" s="57" t="str">
        <f t="shared" si="2"/>
        <v/>
      </c>
      <c r="AM109" s="14"/>
      <c r="AN109" s="15"/>
      <c r="AO109" s="15"/>
      <c r="AP109" s="48"/>
      <c r="AQ109" s="15"/>
      <c r="AR109" s="15"/>
      <c r="AS109" s="15"/>
      <c r="AT109" s="60" t="str">
        <f>IF(ISNUMBER(MATCH(AU109,LOAI_THE!$B:$B,0)),INDEX(LOAI_THE!$A:$A,MATCH(AU109,LOAI_THE!$B:$B,0)),"")</f>
        <v/>
      </c>
      <c r="AU109" s="48"/>
      <c r="AV109" s="15"/>
      <c r="AW109" s="15"/>
      <c r="AX109" s="15"/>
      <c r="AY109" s="48"/>
    </row>
    <row r="110" spans="1:51" x14ac:dyDescent="0.3">
      <c r="A110" s="13" t="s">
        <v>271</v>
      </c>
      <c r="B110" s="48"/>
      <c r="C110" s="48"/>
      <c r="D110" s="48"/>
      <c r="E110" s="48"/>
      <c r="F110" s="48"/>
      <c r="G110" s="58" t="str">
        <f>IF(ISNUMBER(MATCH(H110,GIOI_TINH!$B:$B,0)),INDEX(GIOI_TINH!$A:$A,MATCH(H110,GIOI_TINH!$B:$B,0)),"")</f>
        <v/>
      </c>
      <c r="H110" s="15"/>
      <c r="I110" s="15"/>
      <c r="J110" s="58" t="str">
        <f>IF(ISNUMBER(MATCH(K110,QUOC_GIA!$B:$B,0)),INDEX(QUOC_GIA!$A:$A,MATCH(K110,QUOC_GIA!$B:$B,0)),"")</f>
        <v/>
      </c>
      <c r="K110" s="50"/>
      <c r="L110" s="15"/>
      <c r="M110" s="58" t="str">
        <f>IF(ISNUMBER(MATCH(N110,LOAI_THUE!$B:$B,0)),INDEX(LOAI_THUE!$A:$A,MATCH(N110,LOAI_THUE!$B:$B,0)),"")</f>
        <v/>
      </c>
      <c r="N110" s="50"/>
      <c r="O110" s="58" t="str">
        <f>IF(ISNUMBER(MATCH(P110,CHI_TIET_LOAI_KH!$B:$B,0)),INDEX(CHI_TIET_LOAI_KH!$A:$A,MATCH(P110,CHI_TIET_LOAI_KH!$B:$B,0)),"")</f>
        <v/>
      </c>
      <c r="P110" s="50"/>
      <c r="Q110" s="58" t="str">
        <f>IF(ISNUMBER(MATCH(R110,NGHE_NGHIEP!$B:$B,0)),INDEX(NGHE_NGHIEP!$A:$A,MATCH(R110,NGHE_NGHIEP!$B:$B,0)),"")</f>
        <v/>
      </c>
      <c r="R110" s="50"/>
      <c r="S110" s="58" t="str">
        <f>IF(ISNUMBER(MATCH(T110,LOAI_ID!$B:$B,0)),INDEX(LOAI_ID!$A:$A,MATCH(T110,LOAI_ID!$B:$B,0)),"")</f>
        <v/>
      </c>
      <c r="T110" s="16"/>
      <c r="U110" s="48"/>
      <c r="V110" s="48"/>
      <c r="W110" s="17"/>
      <c r="X110" s="17"/>
      <c r="Y110" s="15"/>
      <c r="Z110" s="15"/>
      <c r="AA110" s="59" t="str">
        <f>IFERROR(INDEX(NOI_CAP!$B:$B,MATCH(Z110,NOI_CAP!$A:$A,0)),"")</f>
        <v/>
      </c>
      <c r="AB110" s="58" t="str">
        <f>IF(ISNUMBER(MATCH(AC110,LOAI_DIA_CHI!$B:$B,0)),INDEX(LOAI_DIA_CHI!$A:$A,MATCH(AC110,LOAI_DIA_CHI!$B:$B,0)),"")</f>
        <v/>
      </c>
      <c r="AC110" s="16"/>
      <c r="AD110" s="58" t="str">
        <f>IF(ISNUMBER(MATCH(AE110,QUOC_GIA!$B:$B,0)),INDEX(QUOC_GIA!$A:$A,MATCH(AE110,QUOC_GIA!$B:$B,0)),"")</f>
        <v/>
      </c>
      <c r="AE110" s="16"/>
      <c r="AF110" s="48"/>
      <c r="AG110" s="59" t="str">
        <f>IFERROR(INDEX(TINH_TP!$B:$B,MATCH(AF110,TINH_TP!$A:$A,0)),"")</f>
        <v/>
      </c>
      <c r="AH110" s="50"/>
      <c r="AI110" s="59" t="str">
        <f>IF(OR(AF110="",AH110=""),"",IF(COUNTIFS(PHUONG_XA!$A$2:$A$3323,AH110,PHUONG_XA!$C$2:$C$3323,AF110)=0,"",INDEX(PHUONG_XA!$B$2:$B$3323,SUMPRODUCT((PHUONG_XA!$A$2:$A$3323&amp;""=AH110&amp;"")*(PHUONG_XA!$C$2:$C$3323&amp;""=AF110&amp;"")*(ROW(PHUONG_XA!$A$2:$A$3323)-ROW(PHUONG_XA!$A$2)+1)))))</f>
        <v/>
      </c>
      <c r="AJ110" s="14"/>
      <c r="AK110" s="14"/>
      <c r="AL110" s="57" t="str">
        <f t="shared" si="2"/>
        <v/>
      </c>
      <c r="AM110" s="14"/>
      <c r="AN110" s="15"/>
      <c r="AO110" s="15"/>
      <c r="AP110" s="48"/>
      <c r="AQ110" s="15"/>
      <c r="AR110" s="15"/>
      <c r="AS110" s="15"/>
      <c r="AT110" s="60" t="str">
        <f>IF(ISNUMBER(MATCH(AU110,LOAI_THE!$B:$B,0)),INDEX(LOAI_THE!$A:$A,MATCH(AU110,LOAI_THE!$B:$B,0)),"")</f>
        <v/>
      </c>
      <c r="AU110" s="48"/>
      <c r="AV110" s="15"/>
      <c r="AW110" s="15"/>
      <c r="AX110" s="15"/>
      <c r="AY110" s="48"/>
    </row>
    <row r="111" spans="1:51" x14ac:dyDescent="0.3">
      <c r="A111" s="13" t="s">
        <v>273</v>
      </c>
      <c r="B111" s="48"/>
      <c r="C111" s="48"/>
      <c r="D111" s="48"/>
      <c r="E111" s="48"/>
      <c r="F111" s="48"/>
      <c r="G111" s="58" t="str">
        <f>IF(ISNUMBER(MATCH(H111,GIOI_TINH!$B:$B,0)),INDEX(GIOI_TINH!$A:$A,MATCH(H111,GIOI_TINH!$B:$B,0)),"")</f>
        <v/>
      </c>
      <c r="H111" s="15"/>
      <c r="I111" s="15"/>
      <c r="J111" s="58" t="str">
        <f>IF(ISNUMBER(MATCH(K111,QUOC_GIA!$B:$B,0)),INDEX(QUOC_GIA!$A:$A,MATCH(K111,QUOC_GIA!$B:$B,0)),"")</f>
        <v/>
      </c>
      <c r="K111" s="50"/>
      <c r="L111" s="15"/>
      <c r="M111" s="58" t="str">
        <f>IF(ISNUMBER(MATCH(N111,LOAI_THUE!$B:$B,0)),INDEX(LOAI_THUE!$A:$A,MATCH(N111,LOAI_THUE!$B:$B,0)),"")</f>
        <v/>
      </c>
      <c r="N111" s="50"/>
      <c r="O111" s="58" t="str">
        <f>IF(ISNUMBER(MATCH(P111,CHI_TIET_LOAI_KH!$B:$B,0)),INDEX(CHI_TIET_LOAI_KH!$A:$A,MATCH(P111,CHI_TIET_LOAI_KH!$B:$B,0)),"")</f>
        <v/>
      </c>
      <c r="P111" s="50"/>
      <c r="Q111" s="58" t="str">
        <f>IF(ISNUMBER(MATCH(R111,NGHE_NGHIEP!$B:$B,0)),INDEX(NGHE_NGHIEP!$A:$A,MATCH(R111,NGHE_NGHIEP!$B:$B,0)),"")</f>
        <v/>
      </c>
      <c r="R111" s="50"/>
      <c r="S111" s="58" t="str">
        <f>IF(ISNUMBER(MATCH(T111,LOAI_ID!$B:$B,0)),INDEX(LOAI_ID!$A:$A,MATCH(T111,LOAI_ID!$B:$B,0)),"")</f>
        <v/>
      </c>
      <c r="T111" s="16"/>
      <c r="U111" s="48"/>
      <c r="V111" s="48"/>
      <c r="W111" s="17"/>
      <c r="X111" s="17"/>
      <c r="Y111" s="15"/>
      <c r="Z111" s="15"/>
      <c r="AA111" s="59" t="str">
        <f>IFERROR(INDEX(NOI_CAP!$B:$B,MATCH(Z111,NOI_CAP!$A:$A,0)),"")</f>
        <v/>
      </c>
      <c r="AB111" s="58" t="str">
        <f>IF(ISNUMBER(MATCH(AC111,LOAI_DIA_CHI!$B:$B,0)),INDEX(LOAI_DIA_CHI!$A:$A,MATCH(AC111,LOAI_DIA_CHI!$B:$B,0)),"")</f>
        <v/>
      </c>
      <c r="AC111" s="16"/>
      <c r="AD111" s="58" t="str">
        <f>IF(ISNUMBER(MATCH(AE111,QUOC_GIA!$B:$B,0)),INDEX(QUOC_GIA!$A:$A,MATCH(AE111,QUOC_GIA!$B:$B,0)),"")</f>
        <v/>
      </c>
      <c r="AE111" s="16"/>
      <c r="AF111" s="48"/>
      <c r="AG111" s="59" t="str">
        <f>IFERROR(INDEX(TINH_TP!$B:$B,MATCH(AF111,TINH_TP!$A:$A,0)),"")</f>
        <v/>
      </c>
      <c r="AH111" s="50"/>
      <c r="AI111" s="59" t="str">
        <f>IF(OR(AF111="",AH111=""),"",IF(COUNTIFS(PHUONG_XA!$A$2:$A$3323,AH111,PHUONG_XA!$C$2:$C$3323,AF111)=0,"",INDEX(PHUONG_XA!$B$2:$B$3323,SUMPRODUCT((PHUONG_XA!$A$2:$A$3323&amp;""=AH111&amp;"")*(PHUONG_XA!$C$2:$C$3323&amp;""=AF111&amp;"")*(ROW(PHUONG_XA!$A$2:$A$3323)-ROW(PHUONG_XA!$A$2)+1)))))</f>
        <v/>
      </c>
      <c r="AJ111" s="14"/>
      <c r="AK111" s="14"/>
      <c r="AL111" s="57" t="str">
        <f t="shared" si="2"/>
        <v/>
      </c>
      <c r="AM111" s="14"/>
      <c r="AN111" s="15"/>
      <c r="AO111" s="15"/>
      <c r="AP111" s="48"/>
      <c r="AQ111" s="15"/>
      <c r="AR111" s="15"/>
      <c r="AS111" s="15"/>
      <c r="AT111" s="60" t="str">
        <f>IF(ISNUMBER(MATCH(AU111,LOAI_THE!$B:$B,0)),INDEX(LOAI_THE!$A:$A,MATCH(AU111,LOAI_THE!$B:$B,0)),"")</f>
        <v/>
      </c>
      <c r="AU111" s="48"/>
      <c r="AV111" s="15"/>
      <c r="AW111" s="15"/>
      <c r="AX111" s="15"/>
      <c r="AY111" s="48"/>
    </row>
    <row r="112" spans="1:51" x14ac:dyDescent="0.3">
      <c r="A112" s="13" t="s">
        <v>275</v>
      </c>
      <c r="B112" s="48"/>
      <c r="C112" s="48"/>
      <c r="D112" s="48"/>
      <c r="E112" s="48"/>
      <c r="F112" s="48"/>
      <c r="G112" s="58" t="str">
        <f>IF(ISNUMBER(MATCH(H112,GIOI_TINH!$B:$B,0)),INDEX(GIOI_TINH!$A:$A,MATCH(H112,GIOI_TINH!$B:$B,0)),"")</f>
        <v/>
      </c>
      <c r="H112" s="15"/>
      <c r="I112" s="15"/>
      <c r="J112" s="58" t="str">
        <f>IF(ISNUMBER(MATCH(K112,QUOC_GIA!$B:$B,0)),INDEX(QUOC_GIA!$A:$A,MATCH(K112,QUOC_GIA!$B:$B,0)),"")</f>
        <v/>
      </c>
      <c r="K112" s="50"/>
      <c r="L112" s="15"/>
      <c r="M112" s="58" t="str">
        <f>IF(ISNUMBER(MATCH(N112,LOAI_THUE!$B:$B,0)),INDEX(LOAI_THUE!$A:$A,MATCH(N112,LOAI_THUE!$B:$B,0)),"")</f>
        <v/>
      </c>
      <c r="N112" s="50"/>
      <c r="O112" s="58" t="str">
        <f>IF(ISNUMBER(MATCH(P112,CHI_TIET_LOAI_KH!$B:$B,0)),INDEX(CHI_TIET_LOAI_KH!$A:$A,MATCH(P112,CHI_TIET_LOAI_KH!$B:$B,0)),"")</f>
        <v/>
      </c>
      <c r="P112" s="50"/>
      <c r="Q112" s="58" t="str">
        <f>IF(ISNUMBER(MATCH(R112,NGHE_NGHIEP!$B:$B,0)),INDEX(NGHE_NGHIEP!$A:$A,MATCH(R112,NGHE_NGHIEP!$B:$B,0)),"")</f>
        <v/>
      </c>
      <c r="R112" s="50"/>
      <c r="S112" s="58" t="str">
        <f>IF(ISNUMBER(MATCH(T112,LOAI_ID!$B:$B,0)),INDEX(LOAI_ID!$A:$A,MATCH(T112,LOAI_ID!$B:$B,0)),"")</f>
        <v/>
      </c>
      <c r="T112" s="16"/>
      <c r="U112" s="48"/>
      <c r="V112" s="48"/>
      <c r="W112" s="17"/>
      <c r="X112" s="17"/>
      <c r="Y112" s="15"/>
      <c r="Z112" s="15"/>
      <c r="AA112" s="59" t="str">
        <f>IFERROR(INDEX(NOI_CAP!$B:$B,MATCH(Z112,NOI_CAP!$A:$A,0)),"")</f>
        <v/>
      </c>
      <c r="AB112" s="58" t="str">
        <f>IF(ISNUMBER(MATCH(AC112,LOAI_DIA_CHI!$B:$B,0)),INDEX(LOAI_DIA_CHI!$A:$A,MATCH(AC112,LOAI_DIA_CHI!$B:$B,0)),"")</f>
        <v/>
      </c>
      <c r="AC112" s="16"/>
      <c r="AD112" s="58" t="str">
        <f>IF(ISNUMBER(MATCH(AE112,QUOC_GIA!$B:$B,0)),INDEX(QUOC_GIA!$A:$A,MATCH(AE112,QUOC_GIA!$B:$B,0)),"")</f>
        <v/>
      </c>
      <c r="AE112" s="16"/>
      <c r="AF112" s="48"/>
      <c r="AG112" s="59" t="str">
        <f>IFERROR(INDEX(TINH_TP!$B:$B,MATCH(AF112,TINH_TP!$A:$A,0)),"")</f>
        <v/>
      </c>
      <c r="AH112" s="50"/>
      <c r="AI112" s="59" t="str">
        <f>IF(OR(AF112="",AH112=""),"",IF(COUNTIFS(PHUONG_XA!$A$2:$A$3323,AH112,PHUONG_XA!$C$2:$C$3323,AF112)=0,"",INDEX(PHUONG_XA!$B$2:$B$3323,SUMPRODUCT((PHUONG_XA!$A$2:$A$3323&amp;""=AH112&amp;"")*(PHUONG_XA!$C$2:$C$3323&amp;""=AF112&amp;"")*(ROW(PHUONG_XA!$A$2:$A$3323)-ROW(PHUONG_XA!$A$2)+1)))))</f>
        <v/>
      </c>
      <c r="AJ112" s="14"/>
      <c r="AK112" s="14"/>
      <c r="AL112" s="57" t="str">
        <f t="shared" si="2"/>
        <v/>
      </c>
      <c r="AM112" s="14"/>
      <c r="AN112" s="15"/>
      <c r="AO112" s="15"/>
      <c r="AP112" s="48"/>
      <c r="AQ112" s="15"/>
      <c r="AR112" s="15"/>
      <c r="AS112" s="15"/>
      <c r="AT112" s="60" t="str">
        <f>IF(ISNUMBER(MATCH(AU112,LOAI_THE!$B:$B,0)),INDEX(LOAI_THE!$A:$A,MATCH(AU112,LOAI_THE!$B:$B,0)),"")</f>
        <v/>
      </c>
      <c r="AU112" s="48"/>
      <c r="AV112" s="15"/>
      <c r="AW112" s="15"/>
      <c r="AX112" s="15"/>
      <c r="AY112" s="48"/>
    </row>
    <row r="113" spans="1:51" x14ac:dyDescent="0.3">
      <c r="A113" s="13" t="s">
        <v>277</v>
      </c>
      <c r="B113" s="48"/>
      <c r="C113" s="48"/>
      <c r="D113" s="48"/>
      <c r="E113" s="48"/>
      <c r="F113" s="48"/>
      <c r="G113" s="58" t="str">
        <f>IF(ISNUMBER(MATCH(H113,GIOI_TINH!$B:$B,0)),INDEX(GIOI_TINH!$A:$A,MATCH(H113,GIOI_TINH!$B:$B,0)),"")</f>
        <v/>
      </c>
      <c r="H113" s="15"/>
      <c r="I113" s="15"/>
      <c r="J113" s="58" t="str">
        <f>IF(ISNUMBER(MATCH(K113,QUOC_GIA!$B:$B,0)),INDEX(QUOC_GIA!$A:$A,MATCH(K113,QUOC_GIA!$B:$B,0)),"")</f>
        <v/>
      </c>
      <c r="K113" s="50"/>
      <c r="L113" s="15"/>
      <c r="M113" s="58" t="str">
        <f>IF(ISNUMBER(MATCH(N113,LOAI_THUE!$B:$B,0)),INDEX(LOAI_THUE!$A:$A,MATCH(N113,LOAI_THUE!$B:$B,0)),"")</f>
        <v/>
      </c>
      <c r="N113" s="50"/>
      <c r="O113" s="58" t="str">
        <f>IF(ISNUMBER(MATCH(P113,CHI_TIET_LOAI_KH!$B:$B,0)),INDEX(CHI_TIET_LOAI_KH!$A:$A,MATCH(P113,CHI_TIET_LOAI_KH!$B:$B,0)),"")</f>
        <v/>
      </c>
      <c r="P113" s="50"/>
      <c r="Q113" s="58" t="str">
        <f>IF(ISNUMBER(MATCH(R113,NGHE_NGHIEP!$B:$B,0)),INDEX(NGHE_NGHIEP!$A:$A,MATCH(R113,NGHE_NGHIEP!$B:$B,0)),"")</f>
        <v/>
      </c>
      <c r="R113" s="50"/>
      <c r="S113" s="58" t="str">
        <f>IF(ISNUMBER(MATCH(T113,LOAI_ID!$B:$B,0)),INDEX(LOAI_ID!$A:$A,MATCH(T113,LOAI_ID!$B:$B,0)),"")</f>
        <v/>
      </c>
      <c r="T113" s="16"/>
      <c r="U113" s="48"/>
      <c r="V113" s="48"/>
      <c r="W113" s="17"/>
      <c r="X113" s="17"/>
      <c r="Y113" s="15"/>
      <c r="Z113" s="15"/>
      <c r="AA113" s="59" t="str">
        <f>IFERROR(INDEX(NOI_CAP!$B:$B,MATCH(Z113,NOI_CAP!$A:$A,0)),"")</f>
        <v/>
      </c>
      <c r="AB113" s="58" t="str">
        <f>IF(ISNUMBER(MATCH(AC113,LOAI_DIA_CHI!$B:$B,0)),INDEX(LOAI_DIA_CHI!$A:$A,MATCH(AC113,LOAI_DIA_CHI!$B:$B,0)),"")</f>
        <v/>
      </c>
      <c r="AC113" s="16"/>
      <c r="AD113" s="58" t="str">
        <f>IF(ISNUMBER(MATCH(AE113,QUOC_GIA!$B:$B,0)),INDEX(QUOC_GIA!$A:$A,MATCH(AE113,QUOC_GIA!$B:$B,0)),"")</f>
        <v/>
      </c>
      <c r="AE113" s="16"/>
      <c r="AF113" s="48"/>
      <c r="AG113" s="59" t="str">
        <f>IFERROR(INDEX(TINH_TP!$B:$B,MATCH(AF113,TINH_TP!$A:$A,0)),"")</f>
        <v/>
      </c>
      <c r="AH113" s="50"/>
      <c r="AI113" s="59" t="str">
        <f>IF(OR(AF113="",AH113=""),"",IF(COUNTIFS(PHUONG_XA!$A$2:$A$3323,AH113,PHUONG_XA!$C$2:$C$3323,AF113)=0,"",INDEX(PHUONG_XA!$B$2:$B$3323,SUMPRODUCT((PHUONG_XA!$A$2:$A$3323&amp;""=AH113&amp;"")*(PHUONG_XA!$C$2:$C$3323&amp;""=AF113&amp;"")*(ROW(PHUONG_XA!$A$2:$A$3323)-ROW(PHUONG_XA!$A$2)+1)))))</f>
        <v/>
      </c>
      <c r="AJ113" s="14"/>
      <c r="AK113" s="14"/>
      <c r="AL113" s="57" t="str">
        <f t="shared" si="2"/>
        <v/>
      </c>
      <c r="AM113" s="14"/>
      <c r="AN113" s="15"/>
      <c r="AO113" s="15"/>
      <c r="AP113" s="48"/>
      <c r="AQ113" s="15"/>
      <c r="AR113" s="15"/>
      <c r="AS113" s="15"/>
      <c r="AT113" s="60" t="str">
        <f>IF(ISNUMBER(MATCH(AU113,LOAI_THE!$B:$B,0)),INDEX(LOAI_THE!$A:$A,MATCH(AU113,LOAI_THE!$B:$B,0)),"")</f>
        <v/>
      </c>
      <c r="AU113" s="48"/>
      <c r="AV113" s="15"/>
      <c r="AW113" s="15"/>
      <c r="AX113" s="15"/>
      <c r="AY113" s="48"/>
    </row>
    <row r="114" spans="1:51" x14ac:dyDescent="0.3">
      <c r="A114" s="13" t="s">
        <v>279</v>
      </c>
      <c r="B114" s="48"/>
      <c r="C114" s="48"/>
      <c r="D114" s="48"/>
      <c r="E114" s="48"/>
      <c r="F114" s="48"/>
      <c r="G114" s="58" t="str">
        <f>IF(ISNUMBER(MATCH(H114,GIOI_TINH!$B:$B,0)),INDEX(GIOI_TINH!$A:$A,MATCH(H114,GIOI_TINH!$B:$B,0)),"")</f>
        <v/>
      </c>
      <c r="H114" s="15"/>
      <c r="I114" s="15"/>
      <c r="J114" s="58" t="str">
        <f>IF(ISNUMBER(MATCH(K114,QUOC_GIA!$B:$B,0)),INDEX(QUOC_GIA!$A:$A,MATCH(K114,QUOC_GIA!$B:$B,0)),"")</f>
        <v/>
      </c>
      <c r="K114" s="50"/>
      <c r="L114" s="15"/>
      <c r="M114" s="58" t="str">
        <f>IF(ISNUMBER(MATCH(N114,LOAI_THUE!$B:$B,0)),INDEX(LOAI_THUE!$A:$A,MATCH(N114,LOAI_THUE!$B:$B,0)),"")</f>
        <v/>
      </c>
      <c r="N114" s="50"/>
      <c r="O114" s="58" t="str">
        <f>IF(ISNUMBER(MATCH(P114,CHI_TIET_LOAI_KH!$B:$B,0)),INDEX(CHI_TIET_LOAI_KH!$A:$A,MATCH(P114,CHI_TIET_LOAI_KH!$B:$B,0)),"")</f>
        <v/>
      </c>
      <c r="P114" s="50"/>
      <c r="Q114" s="58" t="str">
        <f>IF(ISNUMBER(MATCH(R114,NGHE_NGHIEP!$B:$B,0)),INDEX(NGHE_NGHIEP!$A:$A,MATCH(R114,NGHE_NGHIEP!$B:$B,0)),"")</f>
        <v/>
      </c>
      <c r="R114" s="50"/>
      <c r="S114" s="58" t="str">
        <f>IF(ISNUMBER(MATCH(T114,LOAI_ID!$B:$B,0)),INDEX(LOAI_ID!$A:$A,MATCH(T114,LOAI_ID!$B:$B,0)),"")</f>
        <v/>
      </c>
      <c r="T114" s="16"/>
      <c r="U114" s="48"/>
      <c r="V114" s="48"/>
      <c r="W114" s="17"/>
      <c r="X114" s="17"/>
      <c r="Y114" s="15"/>
      <c r="Z114" s="15"/>
      <c r="AA114" s="59" t="str">
        <f>IFERROR(INDEX(NOI_CAP!$B:$B,MATCH(Z114,NOI_CAP!$A:$A,0)),"")</f>
        <v/>
      </c>
      <c r="AB114" s="58" t="str">
        <f>IF(ISNUMBER(MATCH(AC114,LOAI_DIA_CHI!$B:$B,0)),INDEX(LOAI_DIA_CHI!$A:$A,MATCH(AC114,LOAI_DIA_CHI!$B:$B,0)),"")</f>
        <v/>
      </c>
      <c r="AC114" s="16"/>
      <c r="AD114" s="58" t="str">
        <f>IF(ISNUMBER(MATCH(AE114,QUOC_GIA!$B:$B,0)),INDEX(QUOC_GIA!$A:$A,MATCH(AE114,QUOC_GIA!$B:$B,0)),"")</f>
        <v/>
      </c>
      <c r="AE114" s="16"/>
      <c r="AF114" s="48"/>
      <c r="AG114" s="59" t="str">
        <f>IFERROR(INDEX(TINH_TP!$B:$B,MATCH(AF114,TINH_TP!$A:$A,0)),"")</f>
        <v/>
      </c>
      <c r="AH114" s="50"/>
      <c r="AI114" s="59" t="str">
        <f>IF(OR(AF114="",AH114=""),"",IF(COUNTIFS(PHUONG_XA!$A$2:$A$3323,AH114,PHUONG_XA!$C$2:$C$3323,AF114)=0,"",INDEX(PHUONG_XA!$B$2:$B$3323,SUMPRODUCT((PHUONG_XA!$A$2:$A$3323&amp;""=AH114&amp;"")*(PHUONG_XA!$C$2:$C$3323&amp;""=AF114&amp;"")*(ROW(PHUONG_XA!$A$2:$A$3323)-ROW(PHUONG_XA!$A$2)+1)))))</f>
        <v/>
      </c>
      <c r="AJ114" s="14"/>
      <c r="AK114" s="14"/>
      <c r="AL114" s="57" t="str">
        <f t="shared" si="2"/>
        <v/>
      </c>
      <c r="AM114" s="14"/>
      <c r="AN114" s="15"/>
      <c r="AO114" s="15"/>
      <c r="AP114" s="48"/>
      <c r="AQ114" s="15"/>
      <c r="AR114" s="15"/>
      <c r="AS114" s="15"/>
      <c r="AT114" s="60" t="str">
        <f>IF(ISNUMBER(MATCH(AU114,LOAI_THE!$B:$B,0)),INDEX(LOAI_THE!$A:$A,MATCH(AU114,LOAI_THE!$B:$B,0)),"")</f>
        <v/>
      </c>
      <c r="AU114" s="48"/>
      <c r="AV114" s="15"/>
      <c r="AW114" s="15"/>
      <c r="AX114" s="15"/>
      <c r="AY114" s="48"/>
    </row>
    <row r="115" spans="1:51" x14ac:dyDescent="0.3">
      <c r="A115" s="13" t="s">
        <v>281</v>
      </c>
      <c r="B115" s="48"/>
      <c r="C115" s="48"/>
      <c r="D115" s="48"/>
      <c r="E115" s="48"/>
      <c r="F115" s="48"/>
      <c r="G115" s="58" t="str">
        <f>IF(ISNUMBER(MATCH(H115,GIOI_TINH!$B:$B,0)),INDEX(GIOI_TINH!$A:$A,MATCH(H115,GIOI_TINH!$B:$B,0)),"")</f>
        <v/>
      </c>
      <c r="H115" s="15"/>
      <c r="I115" s="15"/>
      <c r="J115" s="58" t="str">
        <f>IF(ISNUMBER(MATCH(K115,QUOC_GIA!$B:$B,0)),INDEX(QUOC_GIA!$A:$A,MATCH(K115,QUOC_GIA!$B:$B,0)),"")</f>
        <v/>
      </c>
      <c r="K115" s="50"/>
      <c r="L115" s="15"/>
      <c r="M115" s="58" t="str">
        <f>IF(ISNUMBER(MATCH(N115,LOAI_THUE!$B:$B,0)),INDEX(LOAI_THUE!$A:$A,MATCH(N115,LOAI_THUE!$B:$B,0)),"")</f>
        <v/>
      </c>
      <c r="N115" s="50"/>
      <c r="O115" s="58" t="str">
        <f>IF(ISNUMBER(MATCH(P115,CHI_TIET_LOAI_KH!$B:$B,0)),INDEX(CHI_TIET_LOAI_KH!$A:$A,MATCH(P115,CHI_TIET_LOAI_KH!$B:$B,0)),"")</f>
        <v/>
      </c>
      <c r="P115" s="50"/>
      <c r="Q115" s="58" t="str">
        <f>IF(ISNUMBER(MATCH(R115,NGHE_NGHIEP!$B:$B,0)),INDEX(NGHE_NGHIEP!$A:$A,MATCH(R115,NGHE_NGHIEP!$B:$B,0)),"")</f>
        <v/>
      </c>
      <c r="R115" s="50"/>
      <c r="S115" s="58" t="str">
        <f>IF(ISNUMBER(MATCH(T115,LOAI_ID!$B:$B,0)),INDEX(LOAI_ID!$A:$A,MATCH(T115,LOAI_ID!$B:$B,0)),"")</f>
        <v/>
      </c>
      <c r="T115" s="16"/>
      <c r="U115" s="48"/>
      <c r="V115" s="48"/>
      <c r="W115" s="17"/>
      <c r="X115" s="17"/>
      <c r="Y115" s="15"/>
      <c r="Z115" s="15"/>
      <c r="AA115" s="59" t="str">
        <f>IFERROR(INDEX(NOI_CAP!$B:$B,MATCH(Z115,NOI_CAP!$A:$A,0)),"")</f>
        <v/>
      </c>
      <c r="AB115" s="58" t="str">
        <f>IF(ISNUMBER(MATCH(AC115,LOAI_DIA_CHI!$B:$B,0)),INDEX(LOAI_DIA_CHI!$A:$A,MATCH(AC115,LOAI_DIA_CHI!$B:$B,0)),"")</f>
        <v/>
      </c>
      <c r="AC115" s="16"/>
      <c r="AD115" s="58" t="str">
        <f>IF(ISNUMBER(MATCH(AE115,QUOC_GIA!$B:$B,0)),INDEX(QUOC_GIA!$A:$A,MATCH(AE115,QUOC_GIA!$B:$B,0)),"")</f>
        <v/>
      </c>
      <c r="AE115" s="16"/>
      <c r="AF115" s="48"/>
      <c r="AG115" s="59" t="str">
        <f>IFERROR(INDEX(TINH_TP!$B:$B,MATCH(AF115,TINH_TP!$A:$A,0)),"")</f>
        <v/>
      </c>
      <c r="AH115" s="50"/>
      <c r="AI115" s="59" t="str">
        <f>IF(OR(AF115="",AH115=""),"",IF(COUNTIFS(PHUONG_XA!$A$2:$A$3323,AH115,PHUONG_XA!$C$2:$C$3323,AF115)=0,"",INDEX(PHUONG_XA!$B$2:$B$3323,SUMPRODUCT((PHUONG_XA!$A$2:$A$3323&amp;""=AH115&amp;"")*(PHUONG_XA!$C$2:$C$3323&amp;""=AF115&amp;"")*(ROW(PHUONG_XA!$A$2:$A$3323)-ROW(PHUONG_XA!$A$2)+1)))))</f>
        <v/>
      </c>
      <c r="AJ115" s="14"/>
      <c r="AK115" s="14"/>
      <c r="AL115" s="57" t="str">
        <f t="shared" si="2"/>
        <v/>
      </c>
      <c r="AM115" s="14"/>
      <c r="AN115" s="15"/>
      <c r="AO115" s="15"/>
      <c r="AP115" s="48"/>
      <c r="AQ115" s="15"/>
      <c r="AR115" s="15"/>
      <c r="AS115" s="15"/>
      <c r="AT115" s="60" t="str">
        <f>IF(ISNUMBER(MATCH(AU115,LOAI_THE!$B:$B,0)),INDEX(LOAI_THE!$A:$A,MATCH(AU115,LOAI_THE!$B:$B,0)),"")</f>
        <v/>
      </c>
      <c r="AU115" s="48"/>
      <c r="AV115" s="15"/>
      <c r="AW115" s="15"/>
      <c r="AX115" s="15"/>
      <c r="AY115" s="48"/>
    </row>
    <row r="116" spans="1:51" x14ac:dyDescent="0.3">
      <c r="A116" s="13" t="s">
        <v>283</v>
      </c>
      <c r="B116" s="48"/>
      <c r="C116" s="48"/>
      <c r="D116" s="48"/>
      <c r="E116" s="48"/>
      <c r="F116" s="48"/>
      <c r="G116" s="58" t="str">
        <f>IF(ISNUMBER(MATCH(H116,GIOI_TINH!$B:$B,0)),INDEX(GIOI_TINH!$A:$A,MATCH(H116,GIOI_TINH!$B:$B,0)),"")</f>
        <v/>
      </c>
      <c r="H116" s="15"/>
      <c r="I116" s="15"/>
      <c r="J116" s="58" t="str">
        <f>IF(ISNUMBER(MATCH(K116,QUOC_GIA!$B:$B,0)),INDEX(QUOC_GIA!$A:$A,MATCH(K116,QUOC_GIA!$B:$B,0)),"")</f>
        <v/>
      </c>
      <c r="K116" s="50"/>
      <c r="L116" s="15"/>
      <c r="M116" s="58" t="str">
        <f>IF(ISNUMBER(MATCH(N116,LOAI_THUE!$B:$B,0)),INDEX(LOAI_THUE!$A:$A,MATCH(N116,LOAI_THUE!$B:$B,0)),"")</f>
        <v/>
      </c>
      <c r="N116" s="50"/>
      <c r="O116" s="58" t="str">
        <f>IF(ISNUMBER(MATCH(P116,CHI_TIET_LOAI_KH!$B:$B,0)),INDEX(CHI_TIET_LOAI_KH!$A:$A,MATCH(P116,CHI_TIET_LOAI_KH!$B:$B,0)),"")</f>
        <v/>
      </c>
      <c r="P116" s="50"/>
      <c r="Q116" s="58" t="str">
        <f>IF(ISNUMBER(MATCH(R116,NGHE_NGHIEP!$B:$B,0)),INDEX(NGHE_NGHIEP!$A:$A,MATCH(R116,NGHE_NGHIEP!$B:$B,0)),"")</f>
        <v/>
      </c>
      <c r="R116" s="50"/>
      <c r="S116" s="58" t="str">
        <f>IF(ISNUMBER(MATCH(T116,LOAI_ID!$B:$B,0)),INDEX(LOAI_ID!$A:$A,MATCH(T116,LOAI_ID!$B:$B,0)),"")</f>
        <v/>
      </c>
      <c r="T116" s="16"/>
      <c r="U116" s="48"/>
      <c r="V116" s="48"/>
      <c r="W116" s="17"/>
      <c r="X116" s="17"/>
      <c r="Y116" s="15"/>
      <c r="Z116" s="15"/>
      <c r="AA116" s="59" t="str">
        <f>IFERROR(INDEX(NOI_CAP!$B:$B,MATCH(Z116,NOI_CAP!$A:$A,0)),"")</f>
        <v/>
      </c>
      <c r="AB116" s="58" t="str">
        <f>IF(ISNUMBER(MATCH(AC116,LOAI_DIA_CHI!$B:$B,0)),INDEX(LOAI_DIA_CHI!$A:$A,MATCH(AC116,LOAI_DIA_CHI!$B:$B,0)),"")</f>
        <v/>
      </c>
      <c r="AC116" s="16"/>
      <c r="AD116" s="58" t="str">
        <f>IF(ISNUMBER(MATCH(AE116,QUOC_GIA!$B:$B,0)),INDEX(QUOC_GIA!$A:$A,MATCH(AE116,QUOC_GIA!$B:$B,0)),"")</f>
        <v/>
      </c>
      <c r="AE116" s="16"/>
      <c r="AF116" s="48"/>
      <c r="AG116" s="59" t="str">
        <f>IFERROR(INDEX(TINH_TP!$B:$B,MATCH(AF116,TINH_TP!$A:$A,0)),"")</f>
        <v/>
      </c>
      <c r="AH116" s="50"/>
      <c r="AI116" s="59" t="str">
        <f>IF(OR(AF116="",AH116=""),"",IF(COUNTIFS(PHUONG_XA!$A$2:$A$3323,AH116,PHUONG_XA!$C$2:$C$3323,AF116)=0,"",INDEX(PHUONG_XA!$B$2:$B$3323,SUMPRODUCT((PHUONG_XA!$A$2:$A$3323&amp;""=AH116&amp;"")*(PHUONG_XA!$C$2:$C$3323&amp;""=AF116&amp;"")*(ROW(PHUONG_XA!$A$2:$A$3323)-ROW(PHUONG_XA!$A$2)+1)))))</f>
        <v/>
      </c>
      <c r="AJ116" s="14"/>
      <c r="AK116" s="14"/>
      <c r="AL116" s="57" t="str">
        <f t="shared" si="2"/>
        <v/>
      </c>
      <c r="AM116" s="14"/>
      <c r="AN116" s="15"/>
      <c r="AO116" s="15"/>
      <c r="AP116" s="48"/>
      <c r="AQ116" s="15"/>
      <c r="AR116" s="15"/>
      <c r="AS116" s="15"/>
      <c r="AT116" s="60" t="str">
        <f>IF(ISNUMBER(MATCH(AU116,LOAI_THE!$B:$B,0)),INDEX(LOAI_THE!$A:$A,MATCH(AU116,LOAI_THE!$B:$B,0)),"")</f>
        <v/>
      </c>
      <c r="AU116" s="48"/>
      <c r="AV116" s="15"/>
      <c r="AW116" s="15"/>
      <c r="AX116" s="15"/>
      <c r="AY116" s="48"/>
    </row>
    <row r="117" spans="1:51" x14ac:dyDescent="0.3">
      <c r="A117" s="13" t="s">
        <v>285</v>
      </c>
      <c r="B117" s="48"/>
      <c r="C117" s="48"/>
      <c r="D117" s="48"/>
      <c r="E117" s="48"/>
      <c r="F117" s="48"/>
      <c r="G117" s="58" t="str">
        <f>IF(ISNUMBER(MATCH(H117,GIOI_TINH!$B:$B,0)),INDEX(GIOI_TINH!$A:$A,MATCH(H117,GIOI_TINH!$B:$B,0)),"")</f>
        <v/>
      </c>
      <c r="H117" s="15"/>
      <c r="I117" s="15"/>
      <c r="J117" s="58" t="str">
        <f>IF(ISNUMBER(MATCH(K117,QUOC_GIA!$B:$B,0)),INDEX(QUOC_GIA!$A:$A,MATCH(K117,QUOC_GIA!$B:$B,0)),"")</f>
        <v/>
      </c>
      <c r="K117" s="50"/>
      <c r="L117" s="15"/>
      <c r="M117" s="58" t="str">
        <f>IF(ISNUMBER(MATCH(N117,LOAI_THUE!$B:$B,0)),INDEX(LOAI_THUE!$A:$A,MATCH(N117,LOAI_THUE!$B:$B,0)),"")</f>
        <v/>
      </c>
      <c r="N117" s="50"/>
      <c r="O117" s="58" t="str">
        <f>IF(ISNUMBER(MATCH(P117,CHI_TIET_LOAI_KH!$B:$B,0)),INDEX(CHI_TIET_LOAI_KH!$A:$A,MATCH(P117,CHI_TIET_LOAI_KH!$B:$B,0)),"")</f>
        <v/>
      </c>
      <c r="P117" s="50"/>
      <c r="Q117" s="58" t="str">
        <f>IF(ISNUMBER(MATCH(R117,NGHE_NGHIEP!$B:$B,0)),INDEX(NGHE_NGHIEP!$A:$A,MATCH(R117,NGHE_NGHIEP!$B:$B,0)),"")</f>
        <v/>
      </c>
      <c r="R117" s="50"/>
      <c r="S117" s="58" t="str">
        <f>IF(ISNUMBER(MATCH(T117,LOAI_ID!$B:$B,0)),INDEX(LOAI_ID!$A:$A,MATCH(T117,LOAI_ID!$B:$B,0)),"")</f>
        <v/>
      </c>
      <c r="T117" s="16"/>
      <c r="U117" s="48"/>
      <c r="V117" s="48"/>
      <c r="W117" s="17"/>
      <c r="X117" s="17"/>
      <c r="Y117" s="15"/>
      <c r="Z117" s="15"/>
      <c r="AA117" s="59" t="str">
        <f>IFERROR(INDEX(NOI_CAP!$B:$B,MATCH(Z117,NOI_CAP!$A:$A,0)),"")</f>
        <v/>
      </c>
      <c r="AB117" s="58" t="str">
        <f>IF(ISNUMBER(MATCH(AC117,LOAI_DIA_CHI!$B:$B,0)),INDEX(LOAI_DIA_CHI!$A:$A,MATCH(AC117,LOAI_DIA_CHI!$B:$B,0)),"")</f>
        <v/>
      </c>
      <c r="AC117" s="16"/>
      <c r="AD117" s="58" t="str">
        <f>IF(ISNUMBER(MATCH(AE117,QUOC_GIA!$B:$B,0)),INDEX(QUOC_GIA!$A:$A,MATCH(AE117,QUOC_GIA!$B:$B,0)),"")</f>
        <v/>
      </c>
      <c r="AE117" s="16"/>
      <c r="AF117" s="48"/>
      <c r="AG117" s="59" t="str">
        <f>IFERROR(INDEX(TINH_TP!$B:$B,MATCH(AF117,TINH_TP!$A:$A,0)),"")</f>
        <v/>
      </c>
      <c r="AH117" s="50"/>
      <c r="AI117" s="59" t="str">
        <f>IF(OR(AF117="",AH117=""),"",IF(COUNTIFS(PHUONG_XA!$A$2:$A$3323,AH117,PHUONG_XA!$C$2:$C$3323,AF117)=0,"",INDEX(PHUONG_XA!$B$2:$B$3323,SUMPRODUCT((PHUONG_XA!$A$2:$A$3323&amp;""=AH117&amp;"")*(PHUONG_XA!$C$2:$C$3323&amp;""=AF117&amp;"")*(ROW(PHUONG_XA!$A$2:$A$3323)-ROW(PHUONG_XA!$A$2)+1)))))</f>
        <v/>
      </c>
      <c r="AJ117" s="14"/>
      <c r="AK117" s="14"/>
      <c r="AL117" s="57" t="str">
        <f t="shared" si="2"/>
        <v/>
      </c>
      <c r="AM117" s="14"/>
      <c r="AN117" s="15"/>
      <c r="AO117" s="15"/>
      <c r="AP117" s="48"/>
      <c r="AQ117" s="15"/>
      <c r="AR117" s="15"/>
      <c r="AS117" s="15"/>
      <c r="AT117" s="60" t="str">
        <f>IF(ISNUMBER(MATCH(AU117,LOAI_THE!$B:$B,0)),INDEX(LOAI_THE!$A:$A,MATCH(AU117,LOAI_THE!$B:$B,0)),"")</f>
        <v/>
      </c>
      <c r="AU117" s="48"/>
      <c r="AV117" s="15"/>
      <c r="AW117" s="15"/>
      <c r="AX117" s="15"/>
      <c r="AY117" s="48"/>
    </row>
    <row r="118" spans="1:51" x14ac:dyDescent="0.3">
      <c r="A118" s="13" t="s">
        <v>287</v>
      </c>
      <c r="B118" s="48"/>
      <c r="C118" s="48"/>
      <c r="D118" s="48"/>
      <c r="E118" s="48"/>
      <c r="F118" s="48"/>
      <c r="G118" s="58" t="str">
        <f>IF(ISNUMBER(MATCH(H118,GIOI_TINH!$B:$B,0)),INDEX(GIOI_TINH!$A:$A,MATCH(H118,GIOI_TINH!$B:$B,0)),"")</f>
        <v/>
      </c>
      <c r="H118" s="15"/>
      <c r="I118" s="15"/>
      <c r="J118" s="58" t="str">
        <f>IF(ISNUMBER(MATCH(K118,QUOC_GIA!$B:$B,0)),INDEX(QUOC_GIA!$A:$A,MATCH(K118,QUOC_GIA!$B:$B,0)),"")</f>
        <v/>
      </c>
      <c r="K118" s="50"/>
      <c r="L118" s="15"/>
      <c r="M118" s="58" t="str">
        <f>IF(ISNUMBER(MATCH(N118,LOAI_THUE!$B:$B,0)),INDEX(LOAI_THUE!$A:$A,MATCH(N118,LOAI_THUE!$B:$B,0)),"")</f>
        <v/>
      </c>
      <c r="N118" s="50"/>
      <c r="O118" s="58" t="str">
        <f>IF(ISNUMBER(MATCH(P118,CHI_TIET_LOAI_KH!$B:$B,0)),INDEX(CHI_TIET_LOAI_KH!$A:$A,MATCH(P118,CHI_TIET_LOAI_KH!$B:$B,0)),"")</f>
        <v/>
      </c>
      <c r="P118" s="50"/>
      <c r="Q118" s="58" t="str">
        <f>IF(ISNUMBER(MATCH(R118,NGHE_NGHIEP!$B:$B,0)),INDEX(NGHE_NGHIEP!$A:$A,MATCH(R118,NGHE_NGHIEP!$B:$B,0)),"")</f>
        <v/>
      </c>
      <c r="R118" s="50"/>
      <c r="S118" s="58" t="str">
        <f>IF(ISNUMBER(MATCH(T118,LOAI_ID!$B:$B,0)),INDEX(LOAI_ID!$A:$A,MATCH(T118,LOAI_ID!$B:$B,0)),"")</f>
        <v/>
      </c>
      <c r="T118" s="16"/>
      <c r="U118" s="48"/>
      <c r="V118" s="48"/>
      <c r="W118" s="17"/>
      <c r="X118" s="17"/>
      <c r="Y118" s="15"/>
      <c r="Z118" s="15"/>
      <c r="AA118" s="59" t="str">
        <f>IFERROR(INDEX(NOI_CAP!$B:$B,MATCH(Z118,NOI_CAP!$A:$A,0)),"")</f>
        <v/>
      </c>
      <c r="AB118" s="58" t="str">
        <f>IF(ISNUMBER(MATCH(AC118,LOAI_DIA_CHI!$B:$B,0)),INDEX(LOAI_DIA_CHI!$A:$A,MATCH(AC118,LOAI_DIA_CHI!$B:$B,0)),"")</f>
        <v/>
      </c>
      <c r="AC118" s="16"/>
      <c r="AD118" s="58" t="str">
        <f>IF(ISNUMBER(MATCH(AE118,QUOC_GIA!$B:$B,0)),INDEX(QUOC_GIA!$A:$A,MATCH(AE118,QUOC_GIA!$B:$B,0)),"")</f>
        <v/>
      </c>
      <c r="AE118" s="16"/>
      <c r="AF118" s="48"/>
      <c r="AG118" s="59" t="str">
        <f>IFERROR(INDEX(TINH_TP!$B:$B,MATCH(AF118,TINH_TP!$A:$A,0)),"")</f>
        <v/>
      </c>
      <c r="AH118" s="50"/>
      <c r="AI118" s="59" t="str">
        <f>IF(OR(AF118="",AH118=""),"",IF(COUNTIFS(PHUONG_XA!$A$2:$A$3323,AH118,PHUONG_XA!$C$2:$C$3323,AF118)=0,"",INDEX(PHUONG_XA!$B$2:$B$3323,SUMPRODUCT((PHUONG_XA!$A$2:$A$3323&amp;""=AH118&amp;"")*(PHUONG_XA!$C$2:$C$3323&amp;""=AF118&amp;"")*(ROW(PHUONG_XA!$A$2:$A$3323)-ROW(PHUONG_XA!$A$2)+1)))))</f>
        <v/>
      </c>
      <c r="AJ118" s="14"/>
      <c r="AK118" s="14"/>
      <c r="AL118" s="57" t="str">
        <f t="shared" si="2"/>
        <v/>
      </c>
      <c r="AM118" s="14"/>
      <c r="AN118" s="15"/>
      <c r="AO118" s="15"/>
      <c r="AP118" s="48"/>
      <c r="AQ118" s="15"/>
      <c r="AR118" s="15"/>
      <c r="AS118" s="15"/>
      <c r="AT118" s="60" t="str">
        <f>IF(ISNUMBER(MATCH(AU118,LOAI_THE!$B:$B,0)),INDEX(LOAI_THE!$A:$A,MATCH(AU118,LOAI_THE!$B:$B,0)),"")</f>
        <v/>
      </c>
      <c r="AU118" s="48"/>
      <c r="AV118" s="15"/>
      <c r="AW118" s="15"/>
      <c r="AX118" s="15"/>
      <c r="AY118" s="48"/>
    </row>
    <row r="119" spans="1:51" x14ac:dyDescent="0.3">
      <c r="A119" s="13" t="s">
        <v>289</v>
      </c>
      <c r="B119" s="48"/>
      <c r="C119" s="48"/>
      <c r="D119" s="48"/>
      <c r="E119" s="48"/>
      <c r="F119" s="48"/>
      <c r="G119" s="58" t="str">
        <f>IF(ISNUMBER(MATCH(H119,GIOI_TINH!$B:$B,0)),INDEX(GIOI_TINH!$A:$A,MATCH(H119,GIOI_TINH!$B:$B,0)),"")</f>
        <v/>
      </c>
      <c r="H119" s="15"/>
      <c r="I119" s="15"/>
      <c r="J119" s="58" t="str">
        <f>IF(ISNUMBER(MATCH(K119,QUOC_GIA!$B:$B,0)),INDEX(QUOC_GIA!$A:$A,MATCH(K119,QUOC_GIA!$B:$B,0)),"")</f>
        <v/>
      </c>
      <c r="K119" s="50"/>
      <c r="L119" s="15"/>
      <c r="M119" s="58" t="str">
        <f>IF(ISNUMBER(MATCH(N119,LOAI_THUE!$B:$B,0)),INDEX(LOAI_THUE!$A:$A,MATCH(N119,LOAI_THUE!$B:$B,0)),"")</f>
        <v/>
      </c>
      <c r="N119" s="50"/>
      <c r="O119" s="58" t="str">
        <f>IF(ISNUMBER(MATCH(P119,CHI_TIET_LOAI_KH!$B:$B,0)),INDEX(CHI_TIET_LOAI_KH!$A:$A,MATCH(P119,CHI_TIET_LOAI_KH!$B:$B,0)),"")</f>
        <v/>
      </c>
      <c r="P119" s="50"/>
      <c r="Q119" s="58" t="str">
        <f>IF(ISNUMBER(MATCH(R119,NGHE_NGHIEP!$B:$B,0)),INDEX(NGHE_NGHIEP!$A:$A,MATCH(R119,NGHE_NGHIEP!$B:$B,0)),"")</f>
        <v/>
      </c>
      <c r="R119" s="50"/>
      <c r="S119" s="58" t="str">
        <f>IF(ISNUMBER(MATCH(T119,LOAI_ID!$B:$B,0)),INDEX(LOAI_ID!$A:$A,MATCH(T119,LOAI_ID!$B:$B,0)),"")</f>
        <v/>
      </c>
      <c r="T119" s="16"/>
      <c r="U119" s="48"/>
      <c r="V119" s="48"/>
      <c r="W119" s="17"/>
      <c r="X119" s="17"/>
      <c r="Y119" s="15"/>
      <c r="Z119" s="15"/>
      <c r="AA119" s="59" t="str">
        <f>IFERROR(INDEX(NOI_CAP!$B:$B,MATCH(Z119,NOI_CAP!$A:$A,0)),"")</f>
        <v/>
      </c>
      <c r="AB119" s="58" t="str">
        <f>IF(ISNUMBER(MATCH(AC119,LOAI_DIA_CHI!$B:$B,0)),INDEX(LOAI_DIA_CHI!$A:$A,MATCH(AC119,LOAI_DIA_CHI!$B:$B,0)),"")</f>
        <v/>
      </c>
      <c r="AC119" s="16"/>
      <c r="AD119" s="58" t="str">
        <f>IF(ISNUMBER(MATCH(AE119,QUOC_GIA!$B:$B,0)),INDEX(QUOC_GIA!$A:$A,MATCH(AE119,QUOC_GIA!$B:$B,0)),"")</f>
        <v/>
      </c>
      <c r="AE119" s="16"/>
      <c r="AF119" s="48"/>
      <c r="AG119" s="59" t="str">
        <f>IFERROR(INDEX(TINH_TP!$B:$B,MATCH(AF119,TINH_TP!$A:$A,0)),"")</f>
        <v/>
      </c>
      <c r="AH119" s="50"/>
      <c r="AI119" s="59" t="str">
        <f>IF(OR(AF119="",AH119=""),"",IF(COUNTIFS(PHUONG_XA!$A$2:$A$3323,AH119,PHUONG_XA!$C$2:$C$3323,AF119)=0,"",INDEX(PHUONG_XA!$B$2:$B$3323,SUMPRODUCT((PHUONG_XA!$A$2:$A$3323&amp;""=AH119&amp;"")*(PHUONG_XA!$C$2:$C$3323&amp;""=AF119&amp;"")*(ROW(PHUONG_XA!$A$2:$A$3323)-ROW(PHUONG_XA!$A$2)+1)))))</f>
        <v/>
      </c>
      <c r="AJ119" s="14"/>
      <c r="AK119" s="14"/>
      <c r="AL119" s="57" t="str">
        <f t="shared" si="2"/>
        <v/>
      </c>
      <c r="AM119" s="14"/>
      <c r="AN119" s="15"/>
      <c r="AO119" s="15"/>
      <c r="AP119" s="48"/>
      <c r="AQ119" s="15"/>
      <c r="AR119" s="15"/>
      <c r="AS119" s="15"/>
      <c r="AT119" s="60" t="str">
        <f>IF(ISNUMBER(MATCH(AU119,LOAI_THE!$B:$B,0)),INDEX(LOAI_THE!$A:$A,MATCH(AU119,LOAI_THE!$B:$B,0)),"")</f>
        <v/>
      </c>
      <c r="AU119" s="48"/>
      <c r="AV119" s="15"/>
      <c r="AW119" s="15"/>
      <c r="AX119" s="15"/>
      <c r="AY119" s="48"/>
    </row>
    <row r="120" spans="1:51" x14ac:dyDescent="0.3">
      <c r="A120" s="13" t="s">
        <v>291</v>
      </c>
      <c r="B120" s="48"/>
      <c r="C120" s="48"/>
      <c r="D120" s="48"/>
      <c r="E120" s="48"/>
      <c r="F120" s="48"/>
      <c r="G120" s="58" t="str">
        <f>IF(ISNUMBER(MATCH(H120,GIOI_TINH!$B:$B,0)),INDEX(GIOI_TINH!$A:$A,MATCH(H120,GIOI_TINH!$B:$B,0)),"")</f>
        <v/>
      </c>
      <c r="H120" s="15"/>
      <c r="I120" s="15"/>
      <c r="J120" s="58" t="str">
        <f>IF(ISNUMBER(MATCH(K120,QUOC_GIA!$B:$B,0)),INDEX(QUOC_GIA!$A:$A,MATCH(K120,QUOC_GIA!$B:$B,0)),"")</f>
        <v/>
      </c>
      <c r="K120" s="50"/>
      <c r="L120" s="15"/>
      <c r="M120" s="58" t="str">
        <f>IF(ISNUMBER(MATCH(N120,LOAI_THUE!$B:$B,0)),INDEX(LOAI_THUE!$A:$A,MATCH(N120,LOAI_THUE!$B:$B,0)),"")</f>
        <v/>
      </c>
      <c r="N120" s="50"/>
      <c r="O120" s="58" t="str">
        <f>IF(ISNUMBER(MATCH(P120,CHI_TIET_LOAI_KH!$B:$B,0)),INDEX(CHI_TIET_LOAI_KH!$A:$A,MATCH(P120,CHI_TIET_LOAI_KH!$B:$B,0)),"")</f>
        <v/>
      </c>
      <c r="P120" s="50"/>
      <c r="Q120" s="58" t="str">
        <f>IF(ISNUMBER(MATCH(R120,NGHE_NGHIEP!$B:$B,0)),INDEX(NGHE_NGHIEP!$A:$A,MATCH(R120,NGHE_NGHIEP!$B:$B,0)),"")</f>
        <v/>
      </c>
      <c r="R120" s="50"/>
      <c r="S120" s="58" t="str">
        <f>IF(ISNUMBER(MATCH(T120,LOAI_ID!$B:$B,0)),INDEX(LOAI_ID!$A:$A,MATCH(T120,LOAI_ID!$B:$B,0)),"")</f>
        <v/>
      </c>
      <c r="T120" s="16"/>
      <c r="U120" s="48"/>
      <c r="V120" s="48"/>
      <c r="W120" s="17"/>
      <c r="X120" s="17"/>
      <c r="Y120" s="15"/>
      <c r="Z120" s="15"/>
      <c r="AA120" s="59" t="str">
        <f>IFERROR(INDEX(NOI_CAP!$B:$B,MATCH(Z120,NOI_CAP!$A:$A,0)),"")</f>
        <v/>
      </c>
      <c r="AB120" s="58" t="str">
        <f>IF(ISNUMBER(MATCH(AC120,LOAI_DIA_CHI!$B:$B,0)),INDEX(LOAI_DIA_CHI!$A:$A,MATCH(AC120,LOAI_DIA_CHI!$B:$B,0)),"")</f>
        <v/>
      </c>
      <c r="AC120" s="16"/>
      <c r="AD120" s="58" t="str">
        <f>IF(ISNUMBER(MATCH(AE120,QUOC_GIA!$B:$B,0)),INDEX(QUOC_GIA!$A:$A,MATCH(AE120,QUOC_GIA!$B:$B,0)),"")</f>
        <v/>
      </c>
      <c r="AE120" s="16"/>
      <c r="AF120" s="48"/>
      <c r="AG120" s="59" t="str">
        <f>IFERROR(INDEX(TINH_TP!$B:$B,MATCH(AF120,TINH_TP!$A:$A,0)),"")</f>
        <v/>
      </c>
      <c r="AH120" s="50"/>
      <c r="AI120" s="59" t="str">
        <f>IF(OR(AF120="",AH120=""),"",IF(COUNTIFS(PHUONG_XA!$A$2:$A$3323,AH120,PHUONG_XA!$C$2:$C$3323,AF120)=0,"",INDEX(PHUONG_XA!$B$2:$B$3323,SUMPRODUCT((PHUONG_XA!$A$2:$A$3323&amp;""=AH120&amp;"")*(PHUONG_XA!$C$2:$C$3323&amp;""=AF120&amp;"")*(ROW(PHUONG_XA!$A$2:$A$3323)-ROW(PHUONG_XA!$A$2)+1)))))</f>
        <v/>
      </c>
      <c r="AJ120" s="14"/>
      <c r="AK120" s="14"/>
      <c r="AL120" s="57" t="str">
        <f t="shared" si="2"/>
        <v/>
      </c>
      <c r="AM120" s="14"/>
      <c r="AN120" s="15"/>
      <c r="AO120" s="15"/>
      <c r="AP120" s="48"/>
      <c r="AQ120" s="15"/>
      <c r="AR120" s="15"/>
      <c r="AS120" s="15"/>
      <c r="AT120" s="60" t="str">
        <f>IF(ISNUMBER(MATCH(AU120,LOAI_THE!$B:$B,0)),INDEX(LOAI_THE!$A:$A,MATCH(AU120,LOAI_THE!$B:$B,0)),"")</f>
        <v/>
      </c>
      <c r="AU120" s="48"/>
      <c r="AV120" s="15"/>
      <c r="AW120" s="15"/>
      <c r="AX120" s="15"/>
      <c r="AY120" s="48"/>
    </row>
    <row r="121" spans="1:51" x14ac:dyDescent="0.3">
      <c r="A121" s="13" t="s">
        <v>293</v>
      </c>
      <c r="B121" s="48"/>
      <c r="C121" s="48"/>
      <c r="D121" s="48"/>
      <c r="E121" s="48"/>
      <c r="F121" s="48"/>
      <c r="G121" s="58" t="str">
        <f>IF(ISNUMBER(MATCH(H121,GIOI_TINH!$B:$B,0)),INDEX(GIOI_TINH!$A:$A,MATCH(H121,GIOI_TINH!$B:$B,0)),"")</f>
        <v/>
      </c>
      <c r="H121" s="15"/>
      <c r="I121" s="15"/>
      <c r="J121" s="58" t="str">
        <f>IF(ISNUMBER(MATCH(K121,QUOC_GIA!$B:$B,0)),INDEX(QUOC_GIA!$A:$A,MATCH(K121,QUOC_GIA!$B:$B,0)),"")</f>
        <v/>
      </c>
      <c r="K121" s="50"/>
      <c r="L121" s="15"/>
      <c r="M121" s="58" t="str">
        <f>IF(ISNUMBER(MATCH(N121,LOAI_THUE!$B:$B,0)),INDEX(LOAI_THUE!$A:$A,MATCH(N121,LOAI_THUE!$B:$B,0)),"")</f>
        <v/>
      </c>
      <c r="N121" s="50"/>
      <c r="O121" s="58" t="str">
        <f>IF(ISNUMBER(MATCH(P121,CHI_TIET_LOAI_KH!$B:$B,0)),INDEX(CHI_TIET_LOAI_KH!$A:$A,MATCH(P121,CHI_TIET_LOAI_KH!$B:$B,0)),"")</f>
        <v/>
      </c>
      <c r="P121" s="50"/>
      <c r="Q121" s="58" t="str">
        <f>IF(ISNUMBER(MATCH(R121,NGHE_NGHIEP!$B:$B,0)),INDEX(NGHE_NGHIEP!$A:$A,MATCH(R121,NGHE_NGHIEP!$B:$B,0)),"")</f>
        <v/>
      </c>
      <c r="R121" s="50"/>
      <c r="S121" s="58" t="str">
        <f>IF(ISNUMBER(MATCH(T121,LOAI_ID!$B:$B,0)),INDEX(LOAI_ID!$A:$A,MATCH(T121,LOAI_ID!$B:$B,0)),"")</f>
        <v/>
      </c>
      <c r="T121" s="16"/>
      <c r="U121" s="48"/>
      <c r="V121" s="48"/>
      <c r="W121" s="17"/>
      <c r="X121" s="17"/>
      <c r="Y121" s="15"/>
      <c r="Z121" s="15"/>
      <c r="AA121" s="59" t="str">
        <f>IFERROR(INDEX(NOI_CAP!$B:$B,MATCH(Z121,NOI_CAP!$A:$A,0)),"")</f>
        <v/>
      </c>
      <c r="AB121" s="58" t="str">
        <f>IF(ISNUMBER(MATCH(AC121,LOAI_DIA_CHI!$B:$B,0)),INDEX(LOAI_DIA_CHI!$A:$A,MATCH(AC121,LOAI_DIA_CHI!$B:$B,0)),"")</f>
        <v/>
      </c>
      <c r="AC121" s="16"/>
      <c r="AD121" s="58" t="str">
        <f>IF(ISNUMBER(MATCH(AE121,QUOC_GIA!$B:$B,0)),INDEX(QUOC_GIA!$A:$A,MATCH(AE121,QUOC_GIA!$B:$B,0)),"")</f>
        <v/>
      </c>
      <c r="AE121" s="16"/>
      <c r="AF121" s="48"/>
      <c r="AG121" s="59" t="str">
        <f>IFERROR(INDEX(TINH_TP!$B:$B,MATCH(AF121,TINH_TP!$A:$A,0)),"")</f>
        <v/>
      </c>
      <c r="AH121" s="50"/>
      <c r="AI121" s="59" t="str">
        <f>IF(OR(AF121="",AH121=""),"",IF(COUNTIFS(PHUONG_XA!$A$2:$A$3323,AH121,PHUONG_XA!$C$2:$C$3323,AF121)=0,"",INDEX(PHUONG_XA!$B$2:$B$3323,SUMPRODUCT((PHUONG_XA!$A$2:$A$3323&amp;""=AH121&amp;"")*(PHUONG_XA!$C$2:$C$3323&amp;""=AF121&amp;"")*(ROW(PHUONG_XA!$A$2:$A$3323)-ROW(PHUONG_XA!$A$2)+1)))))</f>
        <v/>
      </c>
      <c r="AJ121" s="14"/>
      <c r="AK121" s="14"/>
      <c r="AL121" s="57" t="str">
        <f t="shared" si="2"/>
        <v/>
      </c>
      <c r="AM121" s="14"/>
      <c r="AN121" s="15"/>
      <c r="AO121" s="15"/>
      <c r="AP121" s="48"/>
      <c r="AQ121" s="15"/>
      <c r="AR121" s="15"/>
      <c r="AS121" s="15"/>
      <c r="AT121" s="60" t="str">
        <f>IF(ISNUMBER(MATCH(AU121,LOAI_THE!$B:$B,0)),INDEX(LOAI_THE!$A:$A,MATCH(AU121,LOAI_THE!$B:$B,0)),"")</f>
        <v/>
      </c>
      <c r="AU121" s="48"/>
      <c r="AV121" s="15"/>
      <c r="AW121" s="15"/>
      <c r="AX121" s="15"/>
      <c r="AY121" s="48"/>
    </row>
    <row r="122" spans="1:51" x14ac:dyDescent="0.3">
      <c r="A122" s="13" t="s">
        <v>295</v>
      </c>
      <c r="B122" s="48"/>
      <c r="C122" s="48"/>
      <c r="D122" s="48"/>
      <c r="E122" s="48"/>
      <c r="F122" s="48"/>
      <c r="G122" s="58" t="str">
        <f>IF(ISNUMBER(MATCH(H122,GIOI_TINH!$B:$B,0)),INDEX(GIOI_TINH!$A:$A,MATCH(H122,GIOI_TINH!$B:$B,0)),"")</f>
        <v/>
      </c>
      <c r="H122" s="15"/>
      <c r="I122" s="15"/>
      <c r="J122" s="58" t="str">
        <f>IF(ISNUMBER(MATCH(K122,QUOC_GIA!$B:$B,0)),INDEX(QUOC_GIA!$A:$A,MATCH(K122,QUOC_GIA!$B:$B,0)),"")</f>
        <v/>
      </c>
      <c r="K122" s="50"/>
      <c r="L122" s="15"/>
      <c r="M122" s="58" t="str">
        <f>IF(ISNUMBER(MATCH(N122,LOAI_THUE!$B:$B,0)),INDEX(LOAI_THUE!$A:$A,MATCH(N122,LOAI_THUE!$B:$B,0)),"")</f>
        <v/>
      </c>
      <c r="N122" s="50"/>
      <c r="O122" s="58" t="str">
        <f>IF(ISNUMBER(MATCH(P122,CHI_TIET_LOAI_KH!$B:$B,0)),INDEX(CHI_TIET_LOAI_KH!$A:$A,MATCH(P122,CHI_TIET_LOAI_KH!$B:$B,0)),"")</f>
        <v/>
      </c>
      <c r="P122" s="50"/>
      <c r="Q122" s="58" t="str">
        <f>IF(ISNUMBER(MATCH(R122,NGHE_NGHIEP!$B:$B,0)),INDEX(NGHE_NGHIEP!$A:$A,MATCH(R122,NGHE_NGHIEP!$B:$B,0)),"")</f>
        <v/>
      </c>
      <c r="R122" s="50"/>
      <c r="S122" s="58" t="str">
        <f>IF(ISNUMBER(MATCH(T122,LOAI_ID!$B:$B,0)),INDEX(LOAI_ID!$A:$A,MATCH(T122,LOAI_ID!$B:$B,0)),"")</f>
        <v/>
      </c>
      <c r="T122" s="16"/>
      <c r="U122" s="48"/>
      <c r="V122" s="48"/>
      <c r="W122" s="17"/>
      <c r="X122" s="17"/>
      <c r="Y122" s="15"/>
      <c r="Z122" s="15"/>
      <c r="AA122" s="59" t="str">
        <f>IFERROR(INDEX(NOI_CAP!$B:$B,MATCH(Z122,NOI_CAP!$A:$A,0)),"")</f>
        <v/>
      </c>
      <c r="AB122" s="58" t="str">
        <f>IF(ISNUMBER(MATCH(AC122,LOAI_DIA_CHI!$B:$B,0)),INDEX(LOAI_DIA_CHI!$A:$A,MATCH(AC122,LOAI_DIA_CHI!$B:$B,0)),"")</f>
        <v/>
      </c>
      <c r="AC122" s="16"/>
      <c r="AD122" s="58" t="str">
        <f>IF(ISNUMBER(MATCH(AE122,QUOC_GIA!$B:$B,0)),INDEX(QUOC_GIA!$A:$A,MATCH(AE122,QUOC_GIA!$B:$B,0)),"")</f>
        <v/>
      </c>
      <c r="AE122" s="16"/>
      <c r="AF122" s="48"/>
      <c r="AG122" s="59" t="str">
        <f>IFERROR(INDEX(TINH_TP!$B:$B,MATCH(AF122,TINH_TP!$A:$A,0)),"")</f>
        <v/>
      </c>
      <c r="AH122" s="50"/>
      <c r="AI122" s="59" t="str">
        <f>IF(OR(AF122="",AH122=""),"",IF(COUNTIFS(PHUONG_XA!$A$2:$A$3323,AH122,PHUONG_XA!$C$2:$C$3323,AF122)=0,"",INDEX(PHUONG_XA!$B$2:$B$3323,SUMPRODUCT((PHUONG_XA!$A$2:$A$3323&amp;""=AH122&amp;"")*(PHUONG_XA!$C$2:$C$3323&amp;""=AF122&amp;"")*(ROW(PHUONG_XA!$A$2:$A$3323)-ROW(PHUONG_XA!$A$2)+1)))))</f>
        <v/>
      </c>
      <c r="AJ122" s="14"/>
      <c r="AK122" s="14"/>
      <c r="AL122" s="57" t="str">
        <f t="shared" si="2"/>
        <v/>
      </c>
      <c r="AM122" s="14"/>
      <c r="AN122" s="15"/>
      <c r="AO122" s="15"/>
      <c r="AP122" s="48"/>
      <c r="AQ122" s="15"/>
      <c r="AR122" s="15"/>
      <c r="AS122" s="15"/>
      <c r="AT122" s="60" t="str">
        <f>IF(ISNUMBER(MATCH(AU122,LOAI_THE!$B:$B,0)),INDEX(LOAI_THE!$A:$A,MATCH(AU122,LOAI_THE!$B:$B,0)),"")</f>
        <v/>
      </c>
      <c r="AU122" s="48"/>
      <c r="AV122" s="15"/>
      <c r="AW122" s="15"/>
      <c r="AX122" s="15"/>
      <c r="AY122" s="48"/>
    </row>
    <row r="123" spans="1:51" x14ac:dyDescent="0.3">
      <c r="A123" s="13" t="s">
        <v>297</v>
      </c>
      <c r="B123" s="48"/>
      <c r="C123" s="48"/>
      <c r="D123" s="48"/>
      <c r="E123" s="48"/>
      <c r="F123" s="48"/>
      <c r="G123" s="58" t="str">
        <f>IF(ISNUMBER(MATCH(H123,GIOI_TINH!$B:$B,0)),INDEX(GIOI_TINH!$A:$A,MATCH(H123,GIOI_TINH!$B:$B,0)),"")</f>
        <v/>
      </c>
      <c r="H123" s="15"/>
      <c r="I123" s="15"/>
      <c r="J123" s="58" t="str">
        <f>IF(ISNUMBER(MATCH(K123,QUOC_GIA!$B:$B,0)),INDEX(QUOC_GIA!$A:$A,MATCH(K123,QUOC_GIA!$B:$B,0)),"")</f>
        <v/>
      </c>
      <c r="K123" s="50"/>
      <c r="L123" s="15"/>
      <c r="M123" s="58" t="str">
        <f>IF(ISNUMBER(MATCH(N123,LOAI_THUE!$B:$B,0)),INDEX(LOAI_THUE!$A:$A,MATCH(N123,LOAI_THUE!$B:$B,0)),"")</f>
        <v/>
      </c>
      <c r="N123" s="50"/>
      <c r="O123" s="58" t="str">
        <f>IF(ISNUMBER(MATCH(P123,CHI_TIET_LOAI_KH!$B:$B,0)),INDEX(CHI_TIET_LOAI_KH!$A:$A,MATCH(P123,CHI_TIET_LOAI_KH!$B:$B,0)),"")</f>
        <v/>
      </c>
      <c r="P123" s="50"/>
      <c r="Q123" s="58" t="str">
        <f>IF(ISNUMBER(MATCH(R123,NGHE_NGHIEP!$B:$B,0)),INDEX(NGHE_NGHIEP!$A:$A,MATCH(R123,NGHE_NGHIEP!$B:$B,0)),"")</f>
        <v/>
      </c>
      <c r="R123" s="50"/>
      <c r="S123" s="58" t="str">
        <f>IF(ISNUMBER(MATCH(T123,LOAI_ID!$B:$B,0)),INDEX(LOAI_ID!$A:$A,MATCH(T123,LOAI_ID!$B:$B,0)),"")</f>
        <v/>
      </c>
      <c r="T123" s="16"/>
      <c r="U123" s="48"/>
      <c r="V123" s="48"/>
      <c r="W123" s="17"/>
      <c r="X123" s="17"/>
      <c r="Y123" s="15"/>
      <c r="Z123" s="15"/>
      <c r="AA123" s="59" t="str">
        <f>IFERROR(INDEX(NOI_CAP!$B:$B,MATCH(Z123,NOI_CAP!$A:$A,0)),"")</f>
        <v/>
      </c>
      <c r="AB123" s="58" t="str">
        <f>IF(ISNUMBER(MATCH(AC123,LOAI_DIA_CHI!$B:$B,0)),INDEX(LOAI_DIA_CHI!$A:$A,MATCH(AC123,LOAI_DIA_CHI!$B:$B,0)),"")</f>
        <v/>
      </c>
      <c r="AC123" s="16"/>
      <c r="AD123" s="58" t="str">
        <f>IF(ISNUMBER(MATCH(AE123,QUOC_GIA!$B:$B,0)),INDEX(QUOC_GIA!$A:$A,MATCH(AE123,QUOC_GIA!$B:$B,0)),"")</f>
        <v/>
      </c>
      <c r="AE123" s="16"/>
      <c r="AF123" s="48"/>
      <c r="AG123" s="59" t="str">
        <f>IFERROR(INDEX(TINH_TP!$B:$B,MATCH(AF123,TINH_TP!$A:$A,0)),"")</f>
        <v/>
      </c>
      <c r="AH123" s="50"/>
      <c r="AI123" s="59" t="str">
        <f>IF(OR(AF123="",AH123=""),"",IF(COUNTIFS(PHUONG_XA!$A$2:$A$3323,AH123,PHUONG_XA!$C$2:$C$3323,AF123)=0,"",INDEX(PHUONG_XA!$B$2:$B$3323,SUMPRODUCT((PHUONG_XA!$A$2:$A$3323&amp;""=AH123&amp;"")*(PHUONG_XA!$C$2:$C$3323&amp;""=AF123&amp;"")*(ROW(PHUONG_XA!$A$2:$A$3323)-ROW(PHUONG_XA!$A$2)+1)))))</f>
        <v/>
      </c>
      <c r="AJ123" s="14"/>
      <c r="AK123" s="14"/>
      <c r="AL123" s="57" t="str">
        <f t="shared" si="2"/>
        <v/>
      </c>
      <c r="AM123" s="14"/>
      <c r="AN123" s="15"/>
      <c r="AO123" s="15"/>
      <c r="AP123" s="48"/>
      <c r="AQ123" s="15"/>
      <c r="AR123" s="15"/>
      <c r="AS123" s="15"/>
      <c r="AT123" s="60" t="str">
        <f>IF(ISNUMBER(MATCH(AU123,LOAI_THE!$B:$B,0)),INDEX(LOAI_THE!$A:$A,MATCH(AU123,LOAI_THE!$B:$B,0)),"")</f>
        <v/>
      </c>
      <c r="AU123" s="48"/>
      <c r="AV123" s="15"/>
      <c r="AW123" s="15"/>
      <c r="AX123" s="15"/>
      <c r="AY123" s="48"/>
    </row>
    <row r="124" spans="1:51" x14ac:dyDescent="0.3">
      <c r="A124" s="13" t="s">
        <v>299</v>
      </c>
      <c r="B124" s="48"/>
      <c r="C124" s="48"/>
      <c r="D124" s="48"/>
      <c r="E124" s="48"/>
      <c r="F124" s="48"/>
      <c r="G124" s="58" t="str">
        <f>IF(ISNUMBER(MATCH(H124,GIOI_TINH!$B:$B,0)),INDEX(GIOI_TINH!$A:$A,MATCH(H124,GIOI_TINH!$B:$B,0)),"")</f>
        <v/>
      </c>
      <c r="H124" s="15"/>
      <c r="I124" s="15"/>
      <c r="J124" s="58" t="str">
        <f>IF(ISNUMBER(MATCH(K124,QUOC_GIA!$B:$B,0)),INDEX(QUOC_GIA!$A:$A,MATCH(K124,QUOC_GIA!$B:$B,0)),"")</f>
        <v/>
      </c>
      <c r="K124" s="50"/>
      <c r="L124" s="15"/>
      <c r="M124" s="58" t="str">
        <f>IF(ISNUMBER(MATCH(N124,LOAI_THUE!$B:$B,0)),INDEX(LOAI_THUE!$A:$A,MATCH(N124,LOAI_THUE!$B:$B,0)),"")</f>
        <v/>
      </c>
      <c r="N124" s="50"/>
      <c r="O124" s="58" t="str">
        <f>IF(ISNUMBER(MATCH(P124,CHI_TIET_LOAI_KH!$B:$B,0)),INDEX(CHI_TIET_LOAI_KH!$A:$A,MATCH(P124,CHI_TIET_LOAI_KH!$B:$B,0)),"")</f>
        <v/>
      </c>
      <c r="P124" s="50"/>
      <c r="Q124" s="58" t="str">
        <f>IF(ISNUMBER(MATCH(R124,NGHE_NGHIEP!$B:$B,0)),INDEX(NGHE_NGHIEP!$A:$A,MATCH(R124,NGHE_NGHIEP!$B:$B,0)),"")</f>
        <v/>
      </c>
      <c r="R124" s="50"/>
      <c r="S124" s="58" t="str">
        <f>IF(ISNUMBER(MATCH(T124,LOAI_ID!$B:$B,0)),INDEX(LOAI_ID!$A:$A,MATCH(T124,LOAI_ID!$B:$B,0)),"")</f>
        <v/>
      </c>
      <c r="T124" s="16"/>
      <c r="U124" s="48"/>
      <c r="V124" s="48"/>
      <c r="W124" s="17"/>
      <c r="X124" s="17"/>
      <c r="Y124" s="15"/>
      <c r="Z124" s="15"/>
      <c r="AA124" s="59" t="str">
        <f>IFERROR(INDEX(NOI_CAP!$B:$B,MATCH(Z124,NOI_CAP!$A:$A,0)),"")</f>
        <v/>
      </c>
      <c r="AB124" s="58" t="str">
        <f>IF(ISNUMBER(MATCH(AC124,LOAI_DIA_CHI!$B:$B,0)),INDEX(LOAI_DIA_CHI!$A:$A,MATCH(AC124,LOAI_DIA_CHI!$B:$B,0)),"")</f>
        <v/>
      </c>
      <c r="AC124" s="16"/>
      <c r="AD124" s="58" t="str">
        <f>IF(ISNUMBER(MATCH(AE124,QUOC_GIA!$B:$B,0)),INDEX(QUOC_GIA!$A:$A,MATCH(AE124,QUOC_GIA!$B:$B,0)),"")</f>
        <v/>
      </c>
      <c r="AE124" s="16"/>
      <c r="AF124" s="48"/>
      <c r="AG124" s="59" t="str">
        <f>IFERROR(INDEX(TINH_TP!$B:$B,MATCH(AF124,TINH_TP!$A:$A,0)),"")</f>
        <v/>
      </c>
      <c r="AH124" s="50"/>
      <c r="AI124" s="59" t="str">
        <f>IF(OR(AF124="",AH124=""),"",IF(COUNTIFS(PHUONG_XA!$A$2:$A$3323,AH124,PHUONG_XA!$C$2:$C$3323,AF124)=0,"",INDEX(PHUONG_XA!$B$2:$B$3323,SUMPRODUCT((PHUONG_XA!$A$2:$A$3323&amp;""=AH124&amp;"")*(PHUONG_XA!$C$2:$C$3323&amp;""=AF124&amp;"")*(ROW(PHUONG_XA!$A$2:$A$3323)-ROW(PHUONG_XA!$A$2)+1)))))</f>
        <v/>
      </c>
      <c r="AJ124" s="14"/>
      <c r="AK124" s="14"/>
      <c r="AL124" s="57" t="str">
        <f t="shared" si="2"/>
        <v/>
      </c>
      <c r="AM124" s="14"/>
      <c r="AN124" s="15"/>
      <c r="AO124" s="15"/>
      <c r="AP124" s="48"/>
      <c r="AQ124" s="15"/>
      <c r="AR124" s="15"/>
      <c r="AS124" s="15"/>
      <c r="AT124" s="60" t="str">
        <f>IF(ISNUMBER(MATCH(AU124,LOAI_THE!$B:$B,0)),INDEX(LOAI_THE!$A:$A,MATCH(AU124,LOAI_THE!$B:$B,0)),"")</f>
        <v/>
      </c>
      <c r="AU124" s="48"/>
      <c r="AV124" s="15"/>
      <c r="AW124" s="15"/>
      <c r="AX124" s="15"/>
      <c r="AY124" s="48"/>
    </row>
    <row r="125" spans="1:51" x14ac:dyDescent="0.3">
      <c r="A125" s="13" t="s">
        <v>301</v>
      </c>
      <c r="B125" s="48"/>
      <c r="C125" s="48"/>
      <c r="D125" s="48"/>
      <c r="E125" s="48"/>
      <c r="F125" s="48"/>
      <c r="G125" s="58" t="str">
        <f>IF(ISNUMBER(MATCH(H125,GIOI_TINH!$B:$B,0)),INDEX(GIOI_TINH!$A:$A,MATCH(H125,GIOI_TINH!$B:$B,0)),"")</f>
        <v/>
      </c>
      <c r="H125" s="15"/>
      <c r="I125" s="15"/>
      <c r="J125" s="58" t="str">
        <f>IF(ISNUMBER(MATCH(K125,QUOC_GIA!$B:$B,0)),INDEX(QUOC_GIA!$A:$A,MATCH(K125,QUOC_GIA!$B:$B,0)),"")</f>
        <v/>
      </c>
      <c r="K125" s="50"/>
      <c r="L125" s="15"/>
      <c r="M125" s="58" t="str">
        <f>IF(ISNUMBER(MATCH(N125,LOAI_THUE!$B:$B,0)),INDEX(LOAI_THUE!$A:$A,MATCH(N125,LOAI_THUE!$B:$B,0)),"")</f>
        <v/>
      </c>
      <c r="N125" s="50"/>
      <c r="O125" s="58" t="str">
        <f>IF(ISNUMBER(MATCH(P125,CHI_TIET_LOAI_KH!$B:$B,0)),INDEX(CHI_TIET_LOAI_KH!$A:$A,MATCH(P125,CHI_TIET_LOAI_KH!$B:$B,0)),"")</f>
        <v/>
      </c>
      <c r="P125" s="50"/>
      <c r="Q125" s="58" t="str">
        <f>IF(ISNUMBER(MATCH(R125,NGHE_NGHIEP!$B:$B,0)),INDEX(NGHE_NGHIEP!$A:$A,MATCH(R125,NGHE_NGHIEP!$B:$B,0)),"")</f>
        <v/>
      </c>
      <c r="R125" s="50"/>
      <c r="S125" s="58" t="str">
        <f>IF(ISNUMBER(MATCH(T125,LOAI_ID!$B:$B,0)),INDEX(LOAI_ID!$A:$A,MATCH(T125,LOAI_ID!$B:$B,0)),"")</f>
        <v/>
      </c>
      <c r="T125" s="16"/>
      <c r="U125" s="48"/>
      <c r="V125" s="48"/>
      <c r="W125" s="17"/>
      <c r="X125" s="17"/>
      <c r="Y125" s="15"/>
      <c r="Z125" s="15"/>
      <c r="AA125" s="59" t="str">
        <f>IFERROR(INDEX(NOI_CAP!$B:$B,MATCH(Z125,NOI_CAP!$A:$A,0)),"")</f>
        <v/>
      </c>
      <c r="AB125" s="58" t="str">
        <f>IF(ISNUMBER(MATCH(AC125,LOAI_DIA_CHI!$B:$B,0)),INDEX(LOAI_DIA_CHI!$A:$A,MATCH(AC125,LOAI_DIA_CHI!$B:$B,0)),"")</f>
        <v/>
      </c>
      <c r="AC125" s="16"/>
      <c r="AD125" s="58" t="str">
        <f>IF(ISNUMBER(MATCH(AE125,QUOC_GIA!$B:$B,0)),INDEX(QUOC_GIA!$A:$A,MATCH(AE125,QUOC_GIA!$B:$B,0)),"")</f>
        <v/>
      </c>
      <c r="AE125" s="16"/>
      <c r="AF125" s="48"/>
      <c r="AG125" s="59" t="str">
        <f>IFERROR(INDEX(TINH_TP!$B:$B,MATCH(AF125,TINH_TP!$A:$A,0)),"")</f>
        <v/>
      </c>
      <c r="AH125" s="50"/>
      <c r="AI125" s="59" t="str">
        <f>IF(OR(AF125="",AH125=""),"",IF(COUNTIFS(PHUONG_XA!$A$2:$A$3323,AH125,PHUONG_XA!$C$2:$C$3323,AF125)=0,"",INDEX(PHUONG_XA!$B$2:$B$3323,SUMPRODUCT((PHUONG_XA!$A$2:$A$3323&amp;""=AH125&amp;"")*(PHUONG_XA!$C$2:$C$3323&amp;""=AF125&amp;"")*(ROW(PHUONG_XA!$A$2:$A$3323)-ROW(PHUONG_XA!$A$2)+1)))))</f>
        <v/>
      </c>
      <c r="AJ125" s="14"/>
      <c r="AK125" s="14"/>
      <c r="AL125" s="57" t="str">
        <f t="shared" si="2"/>
        <v/>
      </c>
      <c r="AM125" s="14"/>
      <c r="AN125" s="15"/>
      <c r="AO125" s="15"/>
      <c r="AP125" s="48"/>
      <c r="AQ125" s="15"/>
      <c r="AR125" s="15"/>
      <c r="AS125" s="15"/>
      <c r="AT125" s="60" t="str">
        <f>IF(ISNUMBER(MATCH(AU125,LOAI_THE!$B:$B,0)),INDEX(LOAI_THE!$A:$A,MATCH(AU125,LOAI_THE!$B:$B,0)),"")</f>
        <v/>
      </c>
      <c r="AU125" s="48"/>
      <c r="AV125" s="15"/>
      <c r="AW125" s="15"/>
      <c r="AX125" s="15"/>
      <c r="AY125" s="48"/>
    </row>
    <row r="126" spans="1:51" x14ac:dyDescent="0.3">
      <c r="A126" s="13" t="s">
        <v>303</v>
      </c>
      <c r="B126" s="48"/>
      <c r="C126" s="48"/>
      <c r="D126" s="48"/>
      <c r="E126" s="48"/>
      <c r="F126" s="48"/>
      <c r="G126" s="58" t="str">
        <f>IF(ISNUMBER(MATCH(H126,GIOI_TINH!$B:$B,0)),INDEX(GIOI_TINH!$A:$A,MATCH(H126,GIOI_TINH!$B:$B,0)),"")</f>
        <v/>
      </c>
      <c r="H126" s="15"/>
      <c r="I126" s="15"/>
      <c r="J126" s="58" t="str">
        <f>IF(ISNUMBER(MATCH(K126,QUOC_GIA!$B:$B,0)),INDEX(QUOC_GIA!$A:$A,MATCH(K126,QUOC_GIA!$B:$B,0)),"")</f>
        <v/>
      </c>
      <c r="K126" s="50"/>
      <c r="L126" s="15"/>
      <c r="M126" s="58" t="str">
        <f>IF(ISNUMBER(MATCH(N126,LOAI_THUE!$B:$B,0)),INDEX(LOAI_THUE!$A:$A,MATCH(N126,LOAI_THUE!$B:$B,0)),"")</f>
        <v/>
      </c>
      <c r="N126" s="50"/>
      <c r="O126" s="58" t="str">
        <f>IF(ISNUMBER(MATCH(P126,CHI_TIET_LOAI_KH!$B:$B,0)),INDEX(CHI_TIET_LOAI_KH!$A:$A,MATCH(P126,CHI_TIET_LOAI_KH!$B:$B,0)),"")</f>
        <v/>
      </c>
      <c r="P126" s="50"/>
      <c r="Q126" s="58" t="str">
        <f>IF(ISNUMBER(MATCH(R126,NGHE_NGHIEP!$B:$B,0)),INDEX(NGHE_NGHIEP!$A:$A,MATCH(R126,NGHE_NGHIEP!$B:$B,0)),"")</f>
        <v/>
      </c>
      <c r="R126" s="50"/>
      <c r="S126" s="58" t="str">
        <f>IF(ISNUMBER(MATCH(T126,LOAI_ID!$B:$B,0)),INDEX(LOAI_ID!$A:$A,MATCH(T126,LOAI_ID!$B:$B,0)),"")</f>
        <v/>
      </c>
      <c r="T126" s="16"/>
      <c r="U126" s="48"/>
      <c r="V126" s="48"/>
      <c r="W126" s="17"/>
      <c r="X126" s="17"/>
      <c r="Y126" s="15"/>
      <c r="Z126" s="15"/>
      <c r="AA126" s="59" t="str">
        <f>IFERROR(INDEX(NOI_CAP!$B:$B,MATCH(Z126,NOI_CAP!$A:$A,0)),"")</f>
        <v/>
      </c>
      <c r="AB126" s="58" t="str">
        <f>IF(ISNUMBER(MATCH(AC126,LOAI_DIA_CHI!$B:$B,0)),INDEX(LOAI_DIA_CHI!$A:$A,MATCH(AC126,LOAI_DIA_CHI!$B:$B,0)),"")</f>
        <v/>
      </c>
      <c r="AC126" s="16"/>
      <c r="AD126" s="58" t="str">
        <f>IF(ISNUMBER(MATCH(AE126,QUOC_GIA!$B:$B,0)),INDEX(QUOC_GIA!$A:$A,MATCH(AE126,QUOC_GIA!$B:$B,0)),"")</f>
        <v/>
      </c>
      <c r="AE126" s="16"/>
      <c r="AF126" s="48"/>
      <c r="AG126" s="59" t="str">
        <f>IFERROR(INDEX(TINH_TP!$B:$B,MATCH(AF126,TINH_TP!$A:$A,0)),"")</f>
        <v/>
      </c>
      <c r="AH126" s="50"/>
      <c r="AI126" s="59" t="str">
        <f>IF(OR(AF126="",AH126=""),"",IF(COUNTIFS(PHUONG_XA!$A$2:$A$3323,AH126,PHUONG_XA!$C$2:$C$3323,AF126)=0,"",INDEX(PHUONG_XA!$B$2:$B$3323,SUMPRODUCT((PHUONG_XA!$A$2:$A$3323&amp;""=AH126&amp;"")*(PHUONG_XA!$C$2:$C$3323&amp;""=AF126&amp;"")*(ROW(PHUONG_XA!$A$2:$A$3323)-ROW(PHUONG_XA!$A$2)+1)))))</f>
        <v/>
      </c>
      <c r="AJ126" s="14"/>
      <c r="AK126" s="14"/>
      <c r="AL126" s="57" t="str">
        <f t="shared" si="2"/>
        <v/>
      </c>
      <c r="AM126" s="14"/>
      <c r="AN126" s="15"/>
      <c r="AO126" s="15"/>
      <c r="AP126" s="48"/>
      <c r="AQ126" s="15"/>
      <c r="AR126" s="15"/>
      <c r="AS126" s="15"/>
      <c r="AT126" s="60" t="str">
        <f>IF(ISNUMBER(MATCH(AU126,LOAI_THE!$B:$B,0)),INDEX(LOAI_THE!$A:$A,MATCH(AU126,LOAI_THE!$B:$B,0)),"")</f>
        <v/>
      </c>
      <c r="AU126" s="48"/>
      <c r="AV126" s="15"/>
      <c r="AW126" s="15"/>
      <c r="AX126" s="15"/>
      <c r="AY126" s="48"/>
    </row>
    <row r="127" spans="1:51" x14ac:dyDescent="0.3">
      <c r="A127" s="13" t="s">
        <v>305</v>
      </c>
      <c r="B127" s="48"/>
      <c r="C127" s="48"/>
      <c r="D127" s="48"/>
      <c r="E127" s="48"/>
      <c r="F127" s="48"/>
      <c r="G127" s="58" t="str">
        <f>IF(ISNUMBER(MATCH(H127,GIOI_TINH!$B:$B,0)),INDEX(GIOI_TINH!$A:$A,MATCH(H127,GIOI_TINH!$B:$B,0)),"")</f>
        <v/>
      </c>
      <c r="H127" s="15"/>
      <c r="I127" s="15"/>
      <c r="J127" s="58" t="str">
        <f>IF(ISNUMBER(MATCH(K127,QUOC_GIA!$B:$B,0)),INDEX(QUOC_GIA!$A:$A,MATCH(K127,QUOC_GIA!$B:$B,0)),"")</f>
        <v/>
      </c>
      <c r="K127" s="50"/>
      <c r="L127" s="15"/>
      <c r="M127" s="58" t="str">
        <f>IF(ISNUMBER(MATCH(N127,LOAI_THUE!$B:$B,0)),INDEX(LOAI_THUE!$A:$A,MATCH(N127,LOAI_THUE!$B:$B,0)),"")</f>
        <v/>
      </c>
      <c r="N127" s="50"/>
      <c r="O127" s="58" t="str">
        <f>IF(ISNUMBER(MATCH(P127,CHI_TIET_LOAI_KH!$B:$B,0)),INDEX(CHI_TIET_LOAI_KH!$A:$A,MATCH(P127,CHI_TIET_LOAI_KH!$B:$B,0)),"")</f>
        <v/>
      </c>
      <c r="P127" s="50"/>
      <c r="Q127" s="58" t="str">
        <f>IF(ISNUMBER(MATCH(R127,NGHE_NGHIEP!$B:$B,0)),INDEX(NGHE_NGHIEP!$A:$A,MATCH(R127,NGHE_NGHIEP!$B:$B,0)),"")</f>
        <v/>
      </c>
      <c r="R127" s="50"/>
      <c r="S127" s="58" t="str">
        <f>IF(ISNUMBER(MATCH(T127,LOAI_ID!$B:$B,0)),INDEX(LOAI_ID!$A:$A,MATCH(T127,LOAI_ID!$B:$B,0)),"")</f>
        <v/>
      </c>
      <c r="T127" s="16"/>
      <c r="U127" s="48"/>
      <c r="V127" s="48"/>
      <c r="W127" s="17"/>
      <c r="X127" s="17"/>
      <c r="Y127" s="15"/>
      <c r="Z127" s="15"/>
      <c r="AA127" s="59" t="str">
        <f>IFERROR(INDEX(NOI_CAP!$B:$B,MATCH(Z127,NOI_CAP!$A:$A,0)),"")</f>
        <v/>
      </c>
      <c r="AB127" s="58" t="str">
        <f>IF(ISNUMBER(MATCH(AC127,LOAI_DIA_CHI!$B:$B,0)),INDEX(LOAI_DIA_CHI!$A:$A,MATCH(AC127,LOAI_DIA_CHI!$B:$B,0)),"")</f>
        <v/>
      </c>
      <c r="AC127" s="16"/>
      <c r="AD127" s="58" t="str">
        <f>IF(ISNUMBER(MATCH(AE127,QUOC_GIA!$B:$B,0)),INDEX(QUOC_GIA!$A:$A,MATCH(AE127,QUOC_GIA!$B:$B,0)),"")</f>
        <v/>
      </c>
      <c r="AE127" s="16"/>
      <c r="AF127" s="48"/>
      <c r="AG127" s="59" t="str">
        <f>IFERROR(INDEX(TINH_TP!$B:$B,MATCH(AF127,TINH_TP!$A:$A,0)),"")</f>
        <v/>
      </c>
      <c r="AH127" s="50"/>
      <c r="AI127" s="59" t="str">
        <f>IF(OR(AF127="",AH127=""),"",IF(COUNTIFS(PHUONG_XA!$A$2:$A$3323,AH127,PHUONG_XA!$C$2:$C$3323,AF127)=0,"",INDEX(PHUONG_XA!$B$2:$B$3323,SUMPRODUCT((PHUONG_XA!$A$2:$A$3323&amp;""=AH127&amp;"")*(PHUONG_XA!$C$2:$C$3323&amp;""=AF127&amp;"")*(ROW(PHUONG_XA!$A$2:$A$3323)-ROW(PHUONG_XA!$A$2)+1)))))</f>
        <v/>
      </c>
      <c r="AJ127" s="14"/>
      <c r="AK127" s="14"/>
      <c r="AL127" s="57" t="str">
        <f t="shared" si="2"/>
        <v/>
      </c>
      <c r="AM127" s="14"/>
      <c r="AN127" s="15"/>
      <c r="AO127" s="15"/>
      <c r="AP127" s="48"/>
      <c r="AQ127" s="15"/>
      <c r="AR127" s="15"/>
      <c r="AS127" s="15"/>
      <c r="AT127" s="60" t="str">
        <f>IF(ISNUMBER(MATCH(AU127,LOAI_THE!$B:$B,0)),INDEX(LOAI_THE!$A:$A,MATCH(AU127,LOAI_THE!$B:$B,0)),"")</f>
        <v/>
      </c>
      <c r="AU127" s="48"/>
      <c r="AV127" s="15"/>
      <c r="AW127" s="15"/>
      <c r="AX127" s="15"/>
      <c r="AY127" s="48"/>
    </row>
    <row r="128" spans="1:51" x14ac:dyDescent="0.3">
      <c r="A128" s="13" t="s">
        <v>307</v>
      </c>
      <c r="B128" s="48"/>
      <c r="C128" s="48"/>
      <c r="D128" s="48"/>
      <c r="E128" s="48"/>
      <c r="F128" s="48"/>
      <c r="G128" s="58" t="str">
        <f>IF(ISNUMBER(MATCH(H128,GIOI_TINH!$B:$B,0)),INDEX(GIOI_TINH!$A:$A,MATCH(H128,GIOI_TINH!$B:$B,0)),"")</f>
        <v/>
      </c>
      <c r="H128" s="15"/>
      <c r="I128" s="15"/>
      <c r="J128" s="58" t="str">
        <f>IF(ISNUMBER(MATCH(K128,QUOC_GIA!$B:$B,0)),INDEX(QUOC_GIA!$A:$A,MATCH(K128,QUOC_GIA!$B:$B,0)),"")</f>
        <v/>
      </c>
      <c r="K128" s="50"/>
      <c r="L128" s="15"/>
      <c r="M128" s="58" t="str">
        <f>IF(ISNUMBER(MATCH(N128,LOAI_THUE!$B:$B,0)),INDEX(LOAI_THUE!$A:$A,MATCH(N128,LOAI_THUE!$B:$B,0)),"")</f>
        <v/>
      </c>
      <c r="N128" s="50"/>
      <c r="O128" s="58" t="str">
        <f>IF(ISNUMBER(MATCH(P128,CHI_TIET_LOAI_KH!$B:$B,0)),INDEX(CHI_TIET_LOAI_KH!$A:$A,MATCH(P128,CHI_TIET_LOAI_KH!$B:$B,0)),"")</f>
        <v/>
      </c>
      <c r="P128" s="50"/>
      <c r="Q128" s="58" t="str">
        <f>IF(ISNUMBER(MATCH(R128,NGHE_NGHIEP!$B:$B,0)),INDEX(NGHE_NGHIEP!$A:$A,MATCH(R128,NGHE_NGHIEP!$B:$B,0)),"")</f>
        <v/>
      </c>
      <c r="R128" s="50"/>
      <c r="S128" s="58" t="str">
        <f>IF(ISNUMBER(MATCH(T128,LOAI_ID!$B:$B,0)),INDEX(LOAI_ID!$A:$A,MATCH(T128,LOAI_ID!$B:$B,0)),"")</f>
        <v/>
      </c>
      <c r="T128" s="16"/>
      <c r="U128" s="48"/>
      <c r="V128" s="48"/>
      <c r="W128" s="17"/>
      <c r="X128" s="17"/>
      <c r="Y128" s="15"/>
      <c r="Z128" s="15"/>
      <c r="AA128" s="59" t="str">
        <f>IFERROR(INDEX(NOI_CAP!$B:$B,MATCH(Z128,NOI_CAP!$A:$A,0)),"")</f>
        <v/>
      </c>
      <c r="AB128" s="58" t="str">
        <f>IF(ISNUMBER(MATCH(AC128,LOAI_DIA_CHI!$B:$B,0)),INDEX(LOAI_DIA_CHI!$A:$A,MATCH(AC128,LOAI_DIA_CHI!$B:$B,0)),"")</f>
        <v/>
      </c>
      <c r="AC128" s="16"/>
      <c r="AD128" s="58" t="str">
        <f>IF(ISNUMBER(MATCH(AE128,QUOC_GIA!$B:$B,0)),INDEX(QUOC_GIA!$A:$A,MATCH(AE128,QUOC_GIA!$B:$B,0)),"")</f>
        <v/>
      </c>
      <c r="AE128" s="16"/>
      <c r="AF128" s="48"/>
      <c r="AG128" s="59" t="str">
        <f>IFERROR(INDEX(TINH_TP!$B:$B,MATCH(AF128,TINH_TP!$A:$A,0)),"")</f>
        <v/>
      </c>
      <c r="AH128" s="50"/>
      <c r="AI128" s="59" t="str">
        <f>IF(OR(AF128="",AH128=""),"",IF(COUNTIFS(PHUONG_XA!$A$2:$A$3323,AH128,PHUONG_XA!$C$2:$C$3323,AF128)=0,"",INDEX(PHUONG_XA!$B$2:$B$3323,SUMPRODUCT((PHUONG_XA!$A$2:$A$3323&amp;""=AH128&amp;"")*(PHUONG_XA!$C$2:$C$3323&amp;""=AF128&amp;"")*(ROW(PHUONG_XA!$A$2:$A$3323)-ROW(PHUONG_XA!$A$2)+1)))))</f>
        <v/>
      </c>
      <c r="AJ128" s="14"/>
      <c r="AK128" s="14"/>
      <c r="AL128" s="57" t="str">
        <f t="shared" si="2"/>
        <v/>
      </c>
      <c r="AM128" s="14"/>
      <c r="AN128" s="15"/>
      <c r="AO128" s="15"/>
      <c r="AP128" s="48"/>
      <c r="AQ128" s="15"/>
      <c r="AR128" s="15"/>
      <c r="AS128" s="15"/>
      <c r="AT128" s="60" t="str">
        <f>IF(ISNUMBER(MATCH(AU128,LOAI_THE!$B:$B,0)),INDEX(LOAI_THE!$A:$A,MATCH(AU128,LOAI_THE!$B:$B,0)),"")</f>
        <v/>
      </c>
      <c r="AU128" s="48"/>
      <c r="AV128" s="15"/>
      <c r="AW128" s="15"/>
      <c r="AX128" s="15"/>
      <c r="AY128" s="48"/>
    </row>
    <row r="129" spans="1:51" x14ac:dyDescent="0.3">
      <c r="A129" s="13" t="s">
        <v>309</v>
      </c>
      <c r="B129" s="48"/>
      <c r="C129" s="48"/>
      <c r="D129" s="48"/>
      <c r="E129" s="48"/>
      <c r="F129" s="48"/>
      <c r="G129" s="58" t="str">
        <f>IF(ISNUMBER(MATCH(H129,GIOI_TINH!$B:$B,0)),INDEX(GIOI_TINH!$A:$A,MATCH(H129,GIOI_TINH!$B:$B,0)),"")</f>
        <v/>
      </c>
      <c r="H129" s="15"/>
      <c r="I129" s="15"/>
      <c r="J129" s="58" t="str">
        <f>IF(ISNUMBER(MATCH(K129,QUOC_GIA!$B:$B,0)),INDEX(QUOC_GIA!$A:$A,MATCH(K129,QUOC_GIA!$B:$B,0)),"")</f>
        <v/>
      </c>
      <c r="K129" s="50"/>
      <c r="L129" s="15"/>
      <c r="M129" s="58" t="str">
        <f>IF(ISNUMBER(MATCH(N129,LOAI_THUE!$B:$B,0)),INDEX(LOAI_THUE!$A:$A,MATCH(N129,LOAI_THUE!$B:$B,0)),"")</f>
        <v/>
      </c>
      <c r="N129" s="50"/>
      <c r="O129" s="58" t="str">
        <f>IF(ISNUMBER(MATCH(P129,CHI_TIET_LOAI_KH!$B:$B,0)),INDEX(CHI_TIET_LOAI_KH!$A:$A,MATCH(P129,CHI_TIET_LOAI_KH!$B:$B,0)),"")</f>
        <v/>
      </c>
      <c r="P129" s="50"/>
      <c r="Q129" s="58" t="str">
        <f>IF(ISNUMBER(MATCH(R129,NGHE_NGHIEP!$B:$B,0)),INDEX(NGHE_NGHIEP!$A:$A,MATCH(R129,NGHE_NGHIEP!$B:$B,0)),"")</f>
        <v/>
      </c>
      <c r="R129" s="50"/>
      <c r="S129" s="58" t="str">
        <f>IF(ISNUMBER(MATCH(T129,LOAI_ID!$B:$B,0)),INDEX(LOAI_ID!$A:$A,MATCH(T129,LOAI_ID!$B:$B,0)),"")</f>
        <v/>
      </c>
      <c r="T129" s="16"/>
      <c r="U129" s="48"/>
      <c r="V129" s="48"/>
      <c r="W129" s="17"/>
      <c r="X129" s="17"/>
      <c r="Y129" s="15"/>
      <c r="Z129" s="15"/>
      <c r="AA129" s="59" t="str">
        <f>IFERROR(INDEX(NOI_CAP!$B:$B,MATCH(Z129,NOI_CAP!$A:$A,0)),"")</f>
        <v/>
      </c>
      <c r="AB129" s="58" t="str">
        <f>IF(ISNUMBER(MATCH(AC129,LOAI_DIA_CHI!$B:$B,0)),INDEX(LOAI_DIA_CHI!$A:$A,MATCH(AC129,LOAI_DIA_CHI!$B:$B,0)),"")</f>
        <v/>
      </c>
      <c r="AC129" s="16"/>
      <c r="AD129" s="58" t="str">
        <f>IF(ISNUMBER(MATCH(AE129,QUOC_GIA!$B:$B,0)),INDEX(QUOC_GIA!$A:$A,MATCH(AE129,QUOC_GIA!$B:$B,0)),"")</f>
        <v/>
      </c>
      <c r="AE129" s="16"/>
      <c r="AF129" s="48"/>
      <c r="AG129" s="59" t="str">
        <f>IFERROR(INDEX(TINH_TP!$B:$B,MATCH(AF129,TINH_TP!$A:$A,0)),"")</f>
        <v/>
      </c>
      <c r="AH129" s="50"/>
      <c r="AI129" s="59" t="str">
        <f>IF(OR(AF129="",AH129=""),"",IF(COUNTIFS(PHUONG_XA!$A$2:$A$3323,AH129,PHUONG_XA!$C$2:$C$3323,AF129)=0,"",INDEX(PHUONG_XA!$B$2:$B$3323,SUMPRODUCT((PHUONG_XA!$A$2:$A$3323&amp;""=AH129&amp;"")*(PHUONG_XA!$C$2:$C$3323&amp;""=AF129&amp;"")*(ROW(PHUONG_XA!$A$2:$A$3323)-ROW(PHUONG_XA!$A$2)+1)))))</f>
        <v/>
      </c>
      <c r="AJ129" s="14"/>
      <c r="AK129" s="14"/>
      <c r="AL129" s="57" t="str">
        <f t="shared" si="2"/>
        <v/>
      </c>
      <c r="AM129" s="14"/>
      <c r="AN129" s="15"/>
      <c r="AO129" s="15"/>
      <c r="AP129" s="48"/>
      <c r="AQ129" s="15"/>
      <c r="AR129" s="15"/>
      <c r="AS129" s="15"/>
      <c r="AT129" s="60" t="str">
        <f>IF(ISNUMBER(MATCH(AU129,LOAI_THE!$B:$B,0)),INDEX(LOAI_THE!$A:$A,MATCH(AU129,LOAI_THE!$B:$B,0)),"")</f>
        <v/>
      </c>
      <c r="AU129" s="48"/>
      <c r="AV129" s="15"/>
      <c r="AW129" s="15"/>
      <c r="AX129" s="15"/>
      <c r="AY129" s="48"/>
    </row>
    <row r="130" spans="1:51" x14ac:dyDescent="0.3">
      <c r="A130" s="13" t="s">
        <v>311</v>
      </c>
      <c r="B130" s="48"/>
      <c r="C130" s="48"/>
      <c r="D130" s="48"/>
      <c r="E130" s="48"/>
      <c r="F130" s="48"/>
      <c r="G130" s="58" t="str">
        <f>IF(ISNUMBER(MATCH(H130,GIOI_TINH!$B:$B,0)),INDEX(GIOI_TINH!$A:$A,MATCH(H130,GIOI_TINH!$B:$B,0)),"")</f>
        <v/>
      </c>
      <c r="H130" s="15"/>
      <c r="I130" s="15"/>
      <c r="J130" s="58" t="str">
        <f>IF(ISNUMBER(MATCH(K130,QUOC_GIA!$B:$B,0)),INDEX(QUOC_GIA!$A:$A,MATCH(K130,QUOC_GIA!$B:$B,0)),"")</f>
        <v/>
      </c>
      <c r="K130" s="50"/>
      <c r="L130" s="15"/>
      <c r="M130" s="58" t="str">
        <f>IF(ISNUMBER(MATCH(N130,LOAI_THUE!$B:$B,0)),INDEX(LOAI_THUE!$A:$A,MATCH(N130,LOAI_THUE!$B:$B,0)),"")</f>
        <v/>
      </c>
      <c r="N130" s="50"/>
      <c r="O130" s="58" t="str">
        <f>IF(ISNUMBER(MATCH(P130,CHI_TIET_LOAI_KH!$B:$B,0)),INDEX(CHI_TIET_LOAI_KH!$A:$A,MATCH(P130,CHI_TIET_LOAI_KH!$B:$B,0)),"")</f>
        <v/>
      </c>
      <c r="P130" s="50"/>
      <c r="Q130" s="58" t="str">
        <f>IF(ISNUMBER(MATCH(R130,NGHE_NGHIEP!$B:$B,0)),INDEX(NGHE_NGHIEP!$A:$A,MATCH(R130,NGHE_NGHIEP!$B:$B,0)),"")</f>
        <v/>
      </c>
      <c r="R130" s="50"/>
      <c r="S130" s="58" t="str">
        <f>IF(ISNUMBER(MATCH(T130,LOAI_ID!$B:$B,0)),INDEX(LOAI_ID!$A:$A,MATCH(T130,LOAI_ID!$B:$B,0)),"")</f>
        <v/>
      </c>
      <c r="T130" s="16"/>
      <c r="U130" s="48"/>
      <c r="V130" s="48"/>
      <c r="W130" s="17"/>
      <c r="X130" s="17"/>
      <c r="Y130" s="15"/>
      <c r="Z130" s="15"/>
      <c r="AA130" s="59" t="str">
        <f>IFERROR(INDEX(NOI_CAP!$B:$B,MATCH(Z130,NOI_CAP!$A:$A,0)),"")</f>
        <v/>
      </c>
      <c r="AB130" s="58" t="str">
        <f>IF(ISNUMBER(MATCH(AC130,LOAI_DIA_CHI!$B:$B,0)),INDEX(LOAI_DIA_CHI!$A:$A,MATCH(AC130,LOAI_DIA_CHI!$B:$B,0)),"")</f>
        <v/>
      </c>
      <c r="AC130" s="16"/>
      <c r="AD130" s="58" t="str">
        <f>IF(ISNUMBER(MATCH(AE130,QUOC_GIA!$B:$B,0)),INDEX(QUOC_GIA!$A:$A,MATCH(AE130,QUOC_GIA!$B:$B,0)),"")</f>
        <v/>
      </c>
      <c r="AE130" s="16"/>
      <c r="AF130" s="48"/>
      <c r="AG130" s="59" t="str">
        <f>IFERROR(INDEX(TINH_TP!$B:$B,MATCH(AF130,TINH_TP!$A:$A,0)),"")</f>
        <v/>
      </c>
      <c r="AH130" s="50"/>
      <c r="AI130" s="59" t="str">
        <f>IF(OR(AF130="",AH130=""),"",IF(COUNTIFS(PHUONG_XA!$A$2:$A$3323,AH130,PHUONG_XA!$C$2:$C$3323,AF130)=0,"",INDEX(PHUONG_XA!$B$2:$B$3323,SUMPRODUCT((PHUONG_XA!$A$2:$A$3323&amp;""=AH130&amp;"")*(PHUONG_XA!$C$2:$C$3323&amp;""=AF130&amp;"")*(ROW(PHUONG_XA!$A$2:$A$3323)-ROW(PHUONG_XA!$A$2)+1)))))</f>
        <v/>
      </c>
      <c r="AJ130" s="14"/>
      <c r="AK130" s="14"/>
      <c r="AL130" s="57" t="str">
        <f t="shared" si="2"/>
        <v/>
      </c>
      <c r="AM130" s="14"/>
      <c r="AN130" s="15"/>
      <c r="AO130" s="15"/>
      <c r="AP130" s="48"/>
      <c r="AQ130" s="15"/>
      <c r="AR130" s="15"/>
      <c r="AS130" s="15"/>
      <c r="AT130" s="60" t="str">
        <f>IF(ISNUMBER(MATCH(AU130,LOAI_THE!$B:$B,0)),INDEX(LOAI_THE!$A:$A,MATCH(AU130,LOAI_THE!$B:$B,0)),"")</f>
        <v/>
      </c>
      <c r="AU130" s="48"/>
      <c r="AV130" s="15"/>
      <c r="AW130" s="15"/>
      <c r="AX130" s="15"/>
      <c r="AY130" s="48"/>
    </row>
    <row r="131" spans="1:51" x14ac:dyDescent="0.3">
      <c r="A131" s="13" t="s">
        <v>313</v>
      </c>
      <c r="B131" s="48"/>
      <c r="C131" s="48"/>
      <c r="D131" s="48"/>
      <c r="E131" s="48"/>
      <c r="F131" s="48"/>
      <c r="G131" s="58" t="str">
        <f>IF(ISNUMBER(MATCH(H131,GIOI_TINH!$B:$B,0)),INDEX(GIOI_TINH!$A:$A,MATCH(H131,GIOI_TINH!$B:$B,0)),"")</f>
        <v/>
      </c>
      <c r="H131" s="15"/>
      <c r="I131" s="15"/>
      <c r="J131" s="58" t="str">
        <f>IF(ISNUMBER(MATCH(K131,QUOC_GIA!$B:$B,0)),INDEX(QUOC_GIA!$A:$A,MATCH(K131,QUOC_GIA!$B:$B,0)),"")</f>
        <v/>
      </c>
      <c r="K131" s="50"/>
      <c r="L131" s="15"/>
      <c r="M131" s="58" t="str">
        <f>IF(ISNUMBER(MATCH(N131,LOAI_THUE!$B:$B,0)),INDEX(LOAI_THUE!$A:$A,MATCH(N131,LOAI_THUE!$B:$B,0)),"")</f>
        <v/>
      </c>
      <c r="N131" s="50"/>
      <c r="O131" s="58" t="str">
        <f>IF(ISNUMBER(MATCH(P131,CHI_TIET_LOAI_KH!$B:$B,0)),INDEX(CHI_TIET_LOAI_KH!$A:$A,MATCH(P131,CHI_TIET_LOAI_KH!$B:$B,0)),"")</f>
        <v/>
      </c>
      <c r="P131" s="50"/>
      <c r="Q131" s="58" t="str">
        <f>IF(ISNUMBER(MATCH(R131,NGHE_NGHIEP!$B:$B,0)),INDEX(NGHE_NGHIEP!$A:$A,MATCH(R131,NGHE_NGHIEP!$B:$B,0)),"")</f>
        <v/>
      </c>
      <c r="R131" s="50"/>
      <c r="S131" s="58" t="str">
        <f>IF(ISNUMBER(MATCH(T131,LOAI_ID!$B:$B,0)),INDEX(LOAI_ID!$A:$A,MATCH(T131,LOAI_ID!$B:$B,0)),"")</f>
        <v/>
      </c>
      <c r="T131" s="16"/>
      <c r="U131" s="48"/>
      <c r="V131" s="48"/>
      <c r="W131" s="17"/>
      <c r="X131" s="17"/>
      <c r="Y131" s="15"/>
      <c r="Z131" s="15"/>
      <c r="AA131" s="59" t="str">
        <f>IFERROR(INDEX(NOI_CAP!$B:$B,MATCH(Z131,NOI_CAP!$A:$A,0)),"")</f>
        <v/>
      </c>
      <c r="AB131" s="58" t="str">
        <f>IF(ISNUMBER(MATCH(AC131,LOAI_DIA_CHI!$B:$B,0)),INDEX(LOAI_DIA_CHI!$A:$A,MATCH(AC131,LOAI_DIA_CHI!$B:$B,0)),"")</f>
        <v/>
      </c>
      <c r="AC131" s="16"/>
      <c r="AD131" s="58" t="str">
        <f>IF(ISNUMBER(MATCH(AE131,QUOC_GIA!$B:$B,0)),INDEX(QUOC_GIA!$A:$A,MATCH(AE131,QUOC_GIA!$B:$B,0)),"")</f>
        <v/>
      </c>
      <c r="AE131" s="16"/>
      <c r="AF131" s="48"/>
      <c r="AG131" s="59" t="str">
        <f>IFERROR(INDEX(TINH_TP!$B:$B,MATCH(AF131,TINH_TP!$A:$A,0)),"")</f>
        <v/>
      </c>
      <c r="AH131" s="50"/>
      <c r="AI131" s="59" t="str">
        <f>IF(OR(AF131="",AH131=""),"",IF(COUNTIFS(PHUONG_XA!$A$2:$A$3323,AH131,PHUONG_XA!$C$2:$C$3323,AF131)=0,"",INDEX(PHUONG_XA!$B$2:$B$3323,SUMPRODUCT((PHUONG_XA!$A$2:$A$3323&amp;""=AH131&amp;"")*(PHUONG_XA!$C$2:$C$3323&amp;""=AF131&amp;"")*(ROW(PHUONG_XA!$A$2:$A$3323)-ROW(PHUONG_XA!$A$2)+1)))))</f>
        <v/>
      </c>
      <c r="AJ131" s="14"/>
      <c r="AK131" s="14"/>
      <c r="AL131" s="57" t="str">
        <f t="shared" si="2"/>
        <v/>
      </c>
      <c r="AM131" s="14"/>
      <c r="AN131" s="15"/>
      <c r="AO131" s="15"/>
      <c r="AP131" s="48"/>
      <c r="AQ131" s="15"/>
      <c r="AR131" s="15"/>
      <c r="AS131" s="15"/>
      <c r="AT131" s="60" t="str">
        <f>IF(ISNUMBER(MATCH(AU131,LOAI_THE!$B:$B,0)),INDEX(LOAI_THE!$A:$A,MATCH(AU131,LOAI_THE!$B:$B,0)),"")</f>
        <v/>
      </c>
      <c r="AU131" s="48"/>
      <c r="AV131" s="15"/>
      <c r="AW131" s="15"/>
      <c r="AX131" s="15"/>
      <c r="AY131" s="48"/>
    </row>
    <row r="132" spans="1:51" x14ac:dyDescent="0.3">
      <c r="A132" s="13" t="s">
        <v>315</v>
      </c>
      <c r="B132" s="48"/>
      <c r="C132" s="48"/>
      <c r="D132" s="48"/>
      <c r="E132" s="48"/>
      <c r="F132" s="48"/>
      <c r="G132" s="58" t="str">
        <f>IF(ISNUMBER(MATCH(H132,GIOI_TINH!$B:$B,0)),INDEX(GIOI_TINH!$A:$A,MATCH(H132,GIOI_TINH!$B:$B,0)),"")</f>
        <v/>
      </c>
      <c r="H132" s="15"/>
      <c r="I132" s="15"/>
      <c r="J132" s="58" t="str">
        <f>IF(ISNUMBER(MATCH(K132,QUOC_GIA!$B:$B,0)),INDEX(QUOC_GIA!$A:$A,MATCH(K132,QUOC_GIA!$B:$B,0)),"")</f>
        <v/>
      </c>
      <c r="K132" s="50"/>
      <c r="L132" s="15"/>
      <c r="M132" s="58" t="str">
        <f>IF(ISNUMBER(MATCH(N132,LOAI_THUE!$B:$B,0)),INDEX(LOAI_THUE!$A:$A,MATCH(N132,LOAI_THUE!$B:$B,0)),"")</f>
        <v/>
      </c>
      <c r="N132" s="50"/>
      <c r="O132" s="58" t="str">
        <f>IF(ISNUMBER(MATCH(P132,CHI_TIET_LOAI_KH!$B:$B,0)),INDEX(CHI_TIET_LOAI_KH!$A:$A,MATCH(P132,CHI_TIET_LOAI_KH!$B:$B,0)),"")</f>
        <v/>
      </c>
      <c r="P132" s="50"/>
      <c r="Q132" s="58" t="str">
        <f>IF(ISNUMBER(MATCH(R132,NGHE_NGHIEP!$B:$B,0)),INDEX(NGHE_NGHIEP!$A:$A,MATCH(R132,NGHE_NGHIEP!$B:$B,0)),"")</f>
        <v/>
      </c>
      <c r="R132" s="50"/>
      <c r="S132" s="58" t="str">
        <f>IF(ISNUMBER(MATCH(T132,LOAI_ID!$B:$B,0)),INDEX(LOAI_ID!$A:$A,MATCH(T132,LOAI_ID!$B:$B,0)),"")</f>
        <v/>
      </c>
      <c r="T132" s="16"/>
      <c r="U132" s="48"/>
      <c r="V132" s="48"/>
      <c r="W132" s="17"/>
      <c r="X132" s="17"/>
      <c r="Y132" s="15"/>
      <c r="Z132" s="15"/>
      <c r="AA132" s="59" t="str">
        <f>IFERROR(INDEX(NOI_CAP!$B:$B,MATCH(Z132,NOI_CAP!$A:$A,0)),"")</f>
        <v/>
      </c>
      <c r="AB132" s="58" t="str">
        <f>IF(ISNUMBER(MATCH(AC132,LOAI_DIA_CHI!$B:$B,0)),INDEX(LOAI_DIA_CHI!$A:$A,MATCH(AC132,LOAI_DIA_CHI!$B:$B,0)),"")</f>
        <v/>
      </c>
      <c r="AC132" s="16"/>
      <c r="AD132" s="58" t="str">
        <f>IF(ISNUMBER(MATCH(AE132,QUOC_GIA!$B:$B,0)),INDEX(QUOC_GIA!$A:$A,MATCH(AE132,QUOC_GIA!$B:$B,0)),"")</f>
        <v/>
      </c>
      <c r="AE132" s="16"/>
      <c r="AF132" s="48"/>
      <c r="AG132" s="59" t="str">
        <f>IFERROR(INDEX(TINH_TP!$B:$B,MATCH(AF132,TINH_TP!$A:$A,0)),"")</f>
        <v/>
      </c>
      <c r="AH132" s="50"/>
      <c r="AI132" s="59" t="str">
        <f>IF(OR(AF132="",AH132=""),"",IF(COUNTIFS(PHUONG_XA!$A$2:$A$3323,AH132,PHUONG_XA!$C$2:$C$3323,AF132)=0,"",INDEX(PHUONG_XA!$B$2:$B$3323,SUMPRODUCT((PHUONG_XA!$A$2:$A$3323&amp;""=AH132&amp;"")*(PHUONG_XA!$C$2:$C$3323&amp;""=AF132&amp;"")*(ROW(PHUONG_XA!$A$2:$A$3323)-ROW(PHUONG_XA!$A$2)+1)))))</f>
        <v/>
      </c>
      <c r="AJ132" s="14"/>
      <c r="AK132" s="14"/>
      <c r="AL132" s="57" t="str">
        <f t="shared" si="2"/>
        <v/>
      </c>
      <c r="AM132" s="14"/>
      <c r="AN132" s="15"/>
      <c r="AO132" s="15"/>
      <c r="AP132" s="48"/>
      <c r="AQ132" s="15"/>
      <c r="AR132" s="15"/>
      <c r="AS132" s="15"/>
      <c r="AT132" s="60" t="str">
        <f>IF(ISNUMBER(MATCH(AU132,LOAI_THE!$B:$B,0)),INDEX(LOAI_THE!$A:$A,MATCH(AU132,LOAI_THE!$B:$B,0)),"")</f>
        <v/>
      </c>
      <c r="AU132" s="48"/>
      <c r="AV132" s="15"/>
      <c r="AW132" s="15"/>
      <c r="AX132" s="15"/>
      <c r="AY132" s="48"/>
    </row>
    <row r="133" spans="1:51" x14ac:dyDescent="0.3">
      <c r="A133" s="13" t="s">
        <v>317</v>
      </c>
      <c r="B133" s="48"/>
      <c r="C133" s="48"/>
      <c r="D133" s="48"/>
      <c r="E133" s="48"/>
      <c r="F133" s="48"/>
      <c r="G133" s="58" t="str">
        <f>IF(ISNUMBER(MATCH(H133,GIOI_TINH!$B:$B,0)),INDEX(GIOI_TINH!$A:$A,MATCH(H133,GIOI_TINH!$B:$B,0)),"")</f>
        <v/>
      </c>
      <c r="H133" s="15"/>
      <c r="I133" s="15"/>
      <c r="J133" s="58" t="str">
        <f>IF(ISNUMBER(MATCH(K133,QUOC_GIA!$B:$B,0)),INDEX(QUOC_GIA!$A:$A,MATCH(K133,QUOC_GIA!$B:$B,0)),"")</f>
        <v/>
      </c>
      <c r="K133" s="50"/>
      <c r="L133" s="15"/>
      <c r="M133" s="58" t="str">
        <f>IF(ISNUMBER(MATCH(N133,LOAI_THUE!$B:$B,0)),INDEX(LOAI_THUE!$A:$A,MATCH(N133,LOAI_THUE!$B:$B,0)),"")</f>
        <v/>
      </c>
      <c r="N133" s="50"/>
      <c r="O133" s="58" t="str">
        <f>IF(ISNUMBER(MATCH(P133,CHI_TIET_LOAI_KH!$B:$B,0)),INDEX(CHI_TIET_LOAI_KH!$A:$A,MATCH(P133,CHI_TIET_LOAI_KH!$B:$B,0)),"")</f>
        <v/>
      </c>
      <c r="P133" s="50"/>
      <c r="Q133" s="58" t="str">
        <f>IF(ISNUMBER(MATCH(R133,NGHE_NGHIEP!$B:$B,0)),INDEX(NGHE_NGHIEP!$A:$A,MATCH(R133,NGHE_NGHIEP!$B:$B,0)),"")</f>
        <v/>
      </c>
      <c r="R133" s="50"/>
      <c r="S133" s="58" t="str">
        <f>IF(ISNUMBER(MATCH(T133,LOAI_ID!$B:$B,0)),INDEX(LOAI_ID!$A:$A,MATCH(T133,LOAI_ID!$B:$B,0)),"")</f>
        <v/>
      </c>
      <c r="T133" s="16"/>
      <c r="U133" s="48"/>
      <c r="V133" s="48"/>
      <c r="W133" s="17"/>
      <c r="X133" s="17"/>
      <c r="Y133" s="15"/>
      <c r="Z133" s="15"/>
      <c r="AA133" s="59" t="str">
        <f>IFERROR(INDEX(NOI_CAP!$B:$B,MATCH(Z133,NOI_CAP!$A:$A,0)),"")</f>
        <v/>
      </c>
      <c r="AB133" s="58" t="str">
        <f>IF(ISNUMBER(MATCH(AC133,LOAI_DIA_CHI!$B:$B,0)),INDEX(LOAI_DIA_CHI!$A:$A,MATCH(AC133,LOAI_DIA_CHI!$B:$B,0)),"")</f>
        <v/>
      </c>
      <c r="AC133" s="16"/>
      <c r="AD133" s="58" t="str">
        <f>IF(ISNUMBER(MATCH(AE133,QUOC_GIA!$B:$B,0)),INDEX(QUOC_GIA!$A:$A,MATCH(AE133,QUOC_GIA!$B:$B,0)),"")</f>
        <v/>
      </c>
      <c r="AE133" s="16"/>
      <c r="AF133" s="48"/>
      <c r="AG133" s="59" t="str">
        <f>IFERROR(INDEX(TINH_TP!$B:$B,MATCH(AF133,TINH_TP!$A:$A,0)),"")</f>
        <v/>
      </c>
      <c r="AH133" s="50"/>
      <c r="AI133" s="59" t="str">
        <f>IF(OR(AF133="",AH133=""),"",IF(COUNTIFS(PHUONG_XA!$A$2:$A$3323,AH133,PHUONG_XA!$C$2:$C$3323,AF133)=0,"",INDEX(PHUONG_XA!$B$2:$B$3323,SUMPRODUCT((PHUONG_XA!$A$2:$A$3323&amp;""=AH133&amp;"")*(PHUONG_XA!$C$2:$C$3323&amp;""=AF133&amp;"")*(ROW(PHUONG_XA!$A$2:$A$3323)-ROW(PHUONG_XA!$A$2)+1)))))</f>
        <v/>
      </c>
      <c r="AJ133" s="14"/>
      <c r="AK133" s="14"/>
      <c r="AL133" s="57" t="str">
        <f t="shared" si="2"/>
        <v/>
      </c>
      <c r="AM133" s="14"/>
      <c r="AN133" s="15"/>
      <c r="AO133" s="15"/>
      <c r="AP133" s="48"/>
      <c r="AQ133" s="15"/>
      <c r="AR133" s="15"/>
      <c r="AS133" s="15"/>
      <c r="AT133" s="60" t="str">
        <f>IF(ISNUMBER(MATCH(AU133,LOAI_THE!$B:$B,0)),INDEX(LOAI_THE!$A:$A,MATCH(AU133,LOAI_THE!$B:$B,0)),"")</f>
        <v/>
      </c>
      <c r="AU133" s="48"/>
      <c r="AV133" s="15"/>
      <c r="AW133" s="15"/>
      <c r="AX133" s="15"/>
      <c r="AY133" s="48"/>
    </row>
    <row r="134" spans="1:51" x14ac:dyDescent="0.3">
      <c r="A134" s="13" t="s">
        <v>319</v>
      </c>
      <c r="B134" s="48"/>
      <c r="C134" s="48"/>
      <c r="D134" s="48"/>
      <c r="E134" s="48"/>
      <c r="F134" s="48"/>
      <c r="G134" s="58" t="str">
        <f>IF(ISNUMBER(MATCH(H134,GIOI_TINH!$B:$B,0)),INDEX(GIOI_TINH!$A:$A,MATCH(H134,GIOI_TINH!$B:$B,0)),"")</f>
        <v/>
      </c>
      <c r="H134" s="15"/>
      <c r="I134" s="15"/>
      <c r="J134" s="58" t="str">
        <f>IF(ISNUMBER(MATCH(K134,QUOC_GIA!$B:$B,0)),INDEX(QUOC_GIA!$A:$A,MATCH(K134,QUOC_GIA!$B:$B,0)),"")</f>
        <v/>
      </c>
      <c r="K134" s="50"/>
      <c r="L134" s="15"/>
      <c r="M134" s="58" t="str">
        <f>IF(ISNUMBER(MATCH(N134,LOAI_THUE!$B:$B,0)),INDEX(LOAI_THUE!$A:$A,MATCH(N134,LOAI_THUE!$B:$B,0)),"")</f>
        <v/>
      </c>
      <c r="N134" s="50"/>
      <c r="O134" s="58" t="str">
        <f>IF(ISNUMBER(MATCH(P134,CHI_TIET_LOAI_KH!$B:$B,0)),INDEX(CHI_TIET_LOAI_KH!$A:$A,MATCH(P134,CHI_TIET_LOAI_KH!$B:$B,0)),"")</f>
        <v/>
      </c>
      <c r="P134" s="50"/>
      <c r="Q134" s="58" t="str">
        <f>IF(ISNUMBER(MATCH(R134,NGHE_NGHIEP!$B:$B,0)),INDEX(NGHE_NGHIEP!$A:$A,MATCH(R134,NGHE_NGHIEP!$B:$B,0)),"")</f>
        <v/>
      </c>
      <c r="R134" s="50"/>
      <c r="S134" s="58" t="str">
        <f>IF(ISNUMBER(MATCH(T134,LOAI_ID!$B:$B,0)),INDEX(LOAI_ID!$A:$A,MATCH(T134,LOAI_ID!$B:$B,0)),"")</f>
        <v/>
      </c>
      <c r="T134" s="16"/>
      <c r="U134" s="48"/>
      <c r="V134" s="48"/>
      <c r="W134" s="17"/>
      <c r="X134" s="17"/>
      <c r="Y134" s="15"/>
      <c r="Z134" s="15"/>
      <c r="AA134" s="59" t="str">
        <f>IFERROR(INDEX(NOI_CAP!$B:$B,MATCH(Z134,NOI_CAP!$A:$A,0)),"")</f>
        <v/>
      </c>
      <c r="AB134" s="58" t="str">
        <f>IF(ISNUMBER(MATCH(AC134,LOAI_DIA_CHI!$B:$B,0)),INDEX(LOAI_DIA_CHI!$A:$A,MATCH(AC134,LOAI_DIA_CHI!$B:$B,0)),"")</f>
        <v/>
      </c>
      <c r="AC134" s="16"/>
      <c r="AD134" s="58" t="str">
        <f>IF(ISNUMBER(MATCH(AE134,QUOC_GIA!$B:$B,0)),INDEX(QUOC_GIA!$A:$A,MATCH(AE134,QUOC_GIA!$B:$B,0)),"")</f>
        <v/>
      </c>
      <c r="AE134" s="16"/>
      <c r="AF134" s="48"/>
      <c r="AG134" s="59" t="str">
        <f>IFERROR(INDEX(TINH_TP!$B:$B,MATCH(AF134,TINH_TP!$A:$A,0)),"")</f>
        <v/>
      </c>
      <c r="AH134" s="50"/>
      <c r="AI134" s="59" t="str">
        <f>IF(OR(AF134="",AH134=""),"",IF(COUNTIFS(PHUONG_XA!$A$2:$A$3323,AH134,PHUONG_XA!$C$2:$C$3323,AF134)=0,"",INDEX(PHUONG_XA!$B$2:$B$3323,SUMPRODUCT((PHUONG_XA!$A$2:$A$3323&amp;""=AH134&amp;"")*(PHUONG_XA!$C$2:$C$3323&amp;""=AF134&amp;"")*(ROW(PHUONG_XA!$A$2:$A$3323)-ROW(PHUONG_XA!$A$2)+1)))))</f>
        <v/>
      </c>
      <c r="AJ134" s="14"/>
      <c r="AK134" s="14"/>
      <c r="AL134" s="57" t="str">
        <f t="shared" si="2"/>
        <v/>
      </c>
      <c r="AM134" s="14"/>
      <c r="AN134" s="15"/>
      <c r="AO134" s="15"/>
      <c r="AP134" s="48"/>
      <c r="AQ134" s="15"/>
      <c r="AR134" s="15"/>
      <c r="AS134" s="15"/>
      <c r="AT134" s="60" t="str">
        <f>IF(ISNUMBER(MATCH(AU134,LOAI_THE!$B:$B,0)),INDEX(LOAI_THE!$A:$A,MATCH(AU134,LOAI_THE!$B:$B,0)),"")</f>
        <v/>
      </c>
      <c r="AU134" s="48"/>
      <c r="AV134" s="15"/>
      <c r="AW134" s="15"/>
      <c r="AX134" s="15"/>
      <c r="AY134" s="48"/>
    </row>
    <row r="135" spans="1:51" x14ac:dyDescent="0.3">
      <c r="A135" s="13" t="s">
        <v>321</v>
      </c>
      <c r="B135" s="48"/>
      <c r="C135" s="48"/>
      <c r="D135" s="48"/>
      <c r="E135" s="48"/>
      <c r="F135" s="48"/>
      <c r="G135" s="58" t="str">
        <f>IF(ISNUMBER(MATCH(H135,GIOI_TINH!$B:$B,0)),INDEX(GIOI_TINH!$A:$A,MATCH(H135,GIOI_TINH!$B:$B,0)),"")</f>
        <v/>
      </c>
      <c r="H135" s="15"/>
      <c r="I135" s="15"/>
      <c r="J135" s="58" t="str">
        <f>IF(ISNUMBER(MATCH(K135,QUOC_GIA!$B:$B,0)),INDEX(QUOC_GIA!$A:$A,MATCH(K135,QUOC_GIA!$B:$B,0)),"")</f>
        <v/>
      </c>
      <c r="K135" s="50"/>
      <c r="L135" s="15"/>
      <c r="M135" s="58" t="str">
        <f>IF(ISNUMBER(MATCH(N135,LOAI_THUE!$B:$B,0)),INDEX(LOAI_THUE!$A:$A,MATCH(N135,LOAI_THUE!$B:$B,0)),"")</f>
        <v/>
      </c>
      <c r="N135" s="50"/>
      <c r="O135" s="58" t="str">
        <f>IF(ISNUMBER(MATCH(P135,CHI_TIET_LOAI_KH!$B:$B,0)),INDEX(CHI_TIET_LOAI_KH!$A:$A,MATCH(P135,CHI_TIET_LOAI_KH!$B:$B,0)),"")</f>
        <v/>
      </c>
      <c r="P135" s="50"/>
      <c r="Q135" s="58" t="str">
        <f>IF(ISNUMBER(MATCH(R135,NGHE_NGHIEP!$B:$B,0)),INDEX(NGHE_NGHIEP!$A:$A,MATCH(R135,NGHE_NGHIEP!$B:$B,0)),"")</f>
        <v/>
      </c>
      <c r="R135" s="50"/>
      <c r="S135" s="58" t="str">
        <f>IF(ISNUMBER(MATCH(T135,LOAI_ID!$B:$B,0)),INDEX(LOAI_ID!$A:$A,MATCH(T135,LOAI_ID!$B:$B,0)),"")</f>
        <v/>
      </c>
      <c r="T135" s="16"/>
      <c r="U135" s="48"/>
      <c r="V135" s="48"/>
      <c r="W135" s="17"/>
      <c r="X135" s="17"/>
      <c r="Y135" s="15"/>
      <c r="Z135" s="15"/>
      <c r="AA135" s="59" t="str">
        <f>IFERROR(INDEX(NOI_CAP!$B:$B,MATCH(Z135,NOI_CAP!$A:$A,0)),"")</f>
        <v/>
      </c>
      <c r="AB135" s="58" t="str">
        <f>IF(ISNUMBER(MATCH(AC135,LOAI_DIA_CHI!$B:$B,0)),INDEX(LOAI_DIA_CHI!$A:$A,MATCH(AC135,LOAI_DIA_CHI!$B:$B,0)),"")</f>
        <v/>
      </c>
      <c r="AC135" s="16"/>
      <c r="AD135" s="58" t="str">
        <f>IF(ISNUMBER(MATCH(AE135,QUOC_GIA!$B:$B,0)),INDEX(QUOC_GIA!$A:$A,MATCH(AE135,QUOC_GIA!$B:$B,0)),"")</f>
        <v/>
      </c>
      <c r="AE135" s="16"/>
      <c r="AF135" s="48"/>
      <c r="AG135" s="59" t="str">
        <f>IFERROR(INDEX(TINH_TP!$B:$B,MATCH(AF135,TINH_TP!$A:$A,0)),"")</f>
        <v/>
      </c>
      <c r="AH135" s="50"/>
      <c r="AI135" s="59" t="str">
        <f>IF(OR(AF135="",AH135=""),"",IF(COUNTIFS(PHUONG_XA!$A$2:$A$3323,AH135,PHUONG_XA!$C$2:$C$3323,AF135)=0,"",INDEX(PHUONG_XA!$B$2:$B$3323,SUMPRODUCT((PHUONG_XA!$A$2:$A$3323&amp;""=AH135&amp;"")*(PHUONG_XA!$C$2:$C$3323&amp;""=AF135&amp;"")*(ROW(PHUONG_XA!$A$2:$A$3323)-ROW(PHUONG_XA!$A$2)+1)))))</f>
        <v/>
      </c>
      <c r="AJ135" s="14"/>
      <c r="AK135" s="14"/>
      <c r="AL135" s="57" t="str">
        <f t="shared" ref="AL135:AL198" si="3">IF(OR(AI135="",AG135=""),"",SUBSTITUTE(SUBSTITUTE(AI135,"Phường","P."),"Xã","X.")&amp;", "&amp;SUBSTITUTE(SUBSTITUTE(AG135,"Thành phố","TP."),"Tỉnh","T."))</f>
        <v/>
      </c>
      <c r="AM135" s="14"/>
      <c r="AN135" s="15"/>
      <c r="AO135" s="15"/>
      <c r="AP135" s="48"/>
      <c r="AQ135" s="15"/>
      <c r="AR135" s="15"/>
      <c r="AS135" s="15"/>
      <c r="AT135" s="60" t="str">
        <f>IF(ISNUMBER(MATCH(AU135,LOAI_THE!$B:$B,0)),INDEX(LOAI_THE!$A:$A,MATCH(AU135,LOAI_THE!$B:$B,0)),"")</f>
        <v/>
      </c>
      <c r="AU135" s="48"/>
      <c r="AV135" s="15"/>
      <c r="AW135" s="15"/>
      <c r="AX135" s="15"/>
      <c r="AY135" s="48"/>
    </row>
    <row r="136" spans="1:51" x14ac:dyDescent="0.3">
      <c r="A136" s="13" t="s">
        <v>323</v>
      </c>
      <c r="B136" s="48"/>
      <c r="C136" s="48"/>
      <c r="D136" s="48"/>
      <c r="E136" s="48"/>
      <c r="F136" s="48"/>
      <c r="G136" s="58" t="str">
        <f>IF(ISNUMBER(MATCH(H136,GIOI_TINH!$B:$B,0)),INDEX(GIOI_TINH!$A:$A,MATCH(H136,GIOI_TINH!$B:$B,0)),"")</f>
        <v/>
      </c>
      <c r="H136" s="15"/>
      <c r="I136" s="15"/>
      <c r="J136" s="58" t="str">
        <f>IF(ISNUMBER(MATCH(K136,QUOC_GIA!$B:$B,0)),INDEX(QUOC_GIA!$A:$A,MATCH(K136,QUOC_GIA!$B:$B,0)),"")</f>
        <v/>
      </c>
      <c r="K136" s="50"/>
      <c r="L136" s="15"/>
      <c r="M136" s="58" t="str">
        <f>IF(ISNUMBER(MATCH(N136,LOAI_THUE!$B:$B,0)),INDEX(LOAI_THUE!$A:$A,MATCH(N136,LOAI_THUE!$B:$B,0)),"")</f>
        <v/>
      </c>
      <c r="N136" s="50"/>
      <c r="O136" s="58" t="str">
        <f>IF(ISNUMBER(MATCH(P136,CHI_TIET_LOAI_KH!$B:$B,0)),INDEX(CHI_TIET_LOAI_KH!$A:$A,MATCH(P136,CHI_TIET_LOAI_KH!$B:$B,0)),"")</f>
        <v/>
      </c>
      <c r="P136" s="50"/>
      <c r="Q136" s="58" t="str">
        <f>IF(ISNUMBER(MATCH(R136,NGHE_NGHIEP!$B:$B,0)),INDEX(NGHE_NGHIEP!$A:$A,MATCH(R136,NGHE_NGHIEP!$B:$B,0)),"")</f>
        <v/>
      </c>
      <c r="R136" s="50"/>
      <c r="S136" s="58" t="str">
        <f>IF(ISNUMBER(MATCH(T136,LOAI_ID!$B:$B,0)),INDEX(LOAI_ID!$A:$A,MATCH(T136,LOAI_ID!$B:$B,0)),"")</f>
        <v/>
      </c>
      <c r="T136" s="16"/>
      <c r="U136" s="48"/>
      <c r="V136" s="48"/>
      <c r="W136" s="17"/>
      <c r="X136" s="17"/>
      <c r="Y136" s="15"/>
      <c r="Z136" s="15"/>
      <c r="AA136" s="59" t="str">
        <f>IFERROR(INDEX(NOI_CAP!$B:$B,MATCH(Z136,NOI_CAP!$A:$A,0)),"")</f>
        <v/>
      </c>
      <c r="AB136" s="58" t="str">
        <f>IF(ISNUMBER(MATCH(AC136,LOAI_DIA_CHI!$B:$B,0)),INDEX(LOAI_DIA_CHI!$A:$A,MATCH(AC136,LOAI_DIA_CHI!$B:$B,0)),"")</f>
        <v/>
      </c>
      <c r="AC136" s="16"/>
      <c r="AD136" s="58" t="str">
        <f>IF(ISNUMBER(MATCH(AE136,QUOC_GIA!$B:$B,0)),INDEX(QUOC_GIA!$A:$A,MATCH(AE136,QUOC_GIA!$B:$B,0)),"")</f>
        <v/>
      </c>
      <c r="AE136" s="16"/>
      <c r="AF136" s="48"/>
      <c r="AG136" s="59" t="str">
        <f>IFERROR(INDEX(TINH_TP!$B:$B,MATCH(AF136,TINH_TP!$A:$A,0)),"")</f>
        <v/>
      </c>
      <c r="AH136" s="50"/>
      <c r="AI136" s="59" t="str">
        <f>IF(OR(AF136="",AH136=""),"",IF(COUNTIFS(PHUONG_XA!$A$2:$A$3323,AH136,PHUONG_XA!$C$2:$C$3323,AF136)=0,"",INDEX(PHUONG_XA!$B$2:$B$3323,SUMPRODUCT((PHUONG_XA!$A$2:$A$3323&amp;""=AH136&amp;"")*(PHUONG_XA!$C$2:$C$3323&amp;""=AF136&amp;"")*(ROW(PHUONG_XA!$A$2:$A$3323)-ROW(PHUONG_XA!$A$2)+1)))))</f>
        <v/>
      </c>
      <c r="AJ136" s="14"/>
      <c r="AK136" s="14"/>
      <c r="AL136" s="57" t="str">
        <f t="shared" si="3"/>
        <v/>
      </c>
      <c r="AM136" s="14"/>
      <c r="AN136" s="15"/>
      <c r="AO136" s="15"/>
      <c r="AP136" s="48"/>
      <c r="AQ136" s="15"/>
      <c r="AR136" s="15"/>
      <c r="AS136" s="15"/>
      <c r="AT136" s="60" t="str">
        <f>IF(ISNUMBER(MATCH(AU136,LOAI_THE!$B:$B,0)),INDEX(LOAI_THE!$A:$A,MATCH(AU136,LOAI_THE!$B:$B,0)),"")</f>
        <v/>
      </c>
      <c r="AU136" s="48"/>
      <c r="AV136" s="15"/>
      <c r="AW136" s="15"/>
      <c r="AX136" s="15"/>
      <c r="AY136" s="48"/>
    </row>
    <row r="137" spans="1:51" x14ac:dyDescent="0.3">
      <c r="A137" s="13" t="s">
        <v>325</v>
      </c>
      <c r="B137" s="48"/>
      <c r="C137" s="48"/>
      <c r="D137" s="48"/>
      <c r="E137" s="48"/>
      <c r="F137" s="48"/>
      <c r="G137" s="58" t="str">
        <f>IF(ISNUMBER(MATCH(H137,GIOI_TINH!$B:$B,0)),INDEX(GIOI_TINH!$A:$A,MATCH(H137,GIOI_TINH!$B:$B,0)),"")</f>
        <v/>
      </c>
      <c r="H137" s="15"/>
      <c r="I137" s="15"/>
      <c r="J137" s="58" t="str">
        <f>IF(ISNUMBER(MATCH(K137,QUOC_GIA!$B:$B,0)),INDEX(QUOC_GIA!$A:$A,MATCH(K137,QUOC_GIA!$B:$B,0)),"")</f>
        <v/>
      </c>
      <c r="K137" s="50"/>
      <c r="L137" s="15"/>
      <c r="M137" s="58" t="str">
        <f>IF(ISNUMBER(MATCH(N137,LOAI_THUE!$B:$B,0)),INDEX(LOAI_THUE!$A:$A,MATCH(N137,LOAI_THUE!$B:$B,0)),"")</f>
        <v/>
      </c>
      <c r="N137" s="50"/>
      <c r="O137" s="58" t="str">
        <f>IF(ISNUMBER(MATCH(P137,CHI_TIET_LOAI_KH!$B:$B,0)),INDEX(CHI_TIET_LOAI_KH!$A:$A,MATCH(P137,CHI_TIET_LOAI_KH!$B:$B,0)),"")</f>
        <v/>
      </c>
      <c r="P137" s="50"/>
      <c r="Q137" s="58" t="str">
        <f>IF(ISNUMBER(MATCH(R137,NGHE_NGHIEP!$B:$B,0)),INDEX(NGHE_NGHIEP!$A:$A,MATCH(R137,NGHE_NGHIEP!$B:$B,0)),"")</f>
        <v/>
      </c>
      <c r="R137" s="50"/>
      <c r="S137" s="58" t="str">
        <f>IF(ISNUMBER(MATCH(T137,LOAI_ID!$B:$B,0)),INDEX(LOAI_ID!$A:$A,MATCH(T137,LOAI_ID!$B:$B,0)),"")</f>
        <v/>
      </c>
      <c r="T137" s="16"/>
      <c r="U137" s="48"/>
      <c r="V137" s="48"/>
      <c r="W137" s="17"/>
      <c r="X137" s="17"/>
      <c r="Y137" s="15"/>
      <c r="Z137" s="15"/>
      <c r="AA137" s="59" t="str">
        <f>IFERROR(INDEX(NOI_CAP!$B:$B,MATCH(Z137,NOI_CAP!$A:$A,0)),"")</f>
        <v/>
      </c>
      <c r="AB137" s="58" t="str">
        <f>IF(ISNUMBER(MATCH(AC137,LOAI_DIA_CHI!$B:$B,0)),INDEX(LOAI_DIA_CHI!$A:$A,MATCH(AC137,LOAI_DIA_CHI!$B:$B,0)),"")</f>
        <v/>
      </c>
      <c r="AC137" s="16"/>
      <c r="AD137" s="58" t="str">
        <f>IF(ISNUMBER(MATCH(AE137,QUOC_GIA!$B:$B,0)),INDEX(QUOC_GIA!$A:$A,MATCH(AE137,QUOC_GIA!$B:$B,0)),"")</f>
        <v/>
      </c>
      <c r="AE137" s="16"/>
      <c r="AF137" s="48"/>
      <c r="AG137" s="59" t="str">
        <f>IFERROR(INDEX(TINH_TP!$B:$B,MATCH(AF137,TINH_TP!$A:$A,0)),"")</f>
        <v/>
      </c>
      <c r="AH137" s="50"/>
      <c r="AI137" s="59" t="str">
        <f>IF(OR(AF137="",AH137=""),"",IF(COUNTIFS(PHUONG_XA!$A$2:$A$3323,AH137,PHUONG_XA!$C$2:$C$3323,AF137)=0,"",INDEX(PHUONG_XA!$B$2:$B$3323,SUMPRODUCT((PHUONG_XA!$A$2:$A$3323&amp;""=AH137&amp;"")*(PHUONG_XA!$C$2:$C$3323&amp;""=AF137&amp;"")*(ROW(PHUONG_XA!$A$2:$A$3323)-ROW(PHUONG_XA!$A$2)+1)))))</f>
        <v/>
      </c>
      <c r="AJ137" s="14"/>
      <c r="AK137" s="14"/>
      <c r="AL137" s="57" t="str">
        <f t="shared" si="3"/>
        <v/>
      </c>
      <c r="AM137" s="14"/>
      <c r="AN137" s="15"/>
      <c r="AO137" s="15"/>
      <c r="AP137" s="48"/>
      <c r="AQ137" s="15"/>
      <c r="AR137" s="15"/>
      <c r="AS137" s="15"/>
      <c r="AT137" s="60" t="str">
        <f>IF(ISNUMBER(MATCH(AU137,LOAI_THE!$B:$B,0)),INDEX(LOAI_THE!$A:$A,MATCH(AU137,LOAI_THE!$B:$B,0)),"")</f>
        <v/>
      </c>
      <c r="AU137" s="48"/>
      <c r="AV137" s="15"/>
      <c r="AW137" s="15"/>
      <c r="AX137" s="15"/>
      <c r="AY137" s="48"/>
    </row>
    <row r="138" spans="1:51" x14ac:dyDescent="0.3">
      <c r="A138" s="13" t="s">
        <v>327</v>
      </c>
      <c r="B138" s="48"/>
      <c r="C138" s="48"/>
      <c r="D138" s="48"/>
      <c r="E138" s="48"/>
      <c r="F138" s="48"/>
      <c r="G138" s="58" t="str">
        <f>IF(ISNUMBER(MATCH(H138,GIOI_TINH!$B:$B,0)),INDEX(GIOI_TINH!$A:$A,MATCH(H138,GIOI_TINH!$B:$B,0)),"")</f>
        <v/>
      </c>
      <c r="H138" s="15"/>
      <c r="I138" s="15"/>
      <c r="J138" s="58" t="str">
        <f>IF(ISNUMBER(MATCH(K138,QUOC_GIA!$B:$B,0)),INDEX(QUOC_GIA!$A:$A,MATCH(K138,QUOC_GIA!$B:$B,0)),"")</f>
        <v/>
      </c>
      <c r="K138" s="50"/>
      <c r="L138" s="15"/>
      <c r="M138" s="58" t="str">
        <f>IF(ISNUMBER(MATCH(N138,LOAI_THUE!$B:$B,0)),INDEX(LOAI_THUE!$A:$A,MATCH(N138,LOAI_THUE!$B:$B,0)),"")</f>
        <v/>
      </c>
      <c r="N138" s="50"/>
      <c r="O138" s="58" t="str">
        <f>IF(ISNUMBER(MATCH(P138,CHI_TIET_LOAI_KH!$B:$B,0)),INDEX(CHI_TIET_LOAI_KH!$A:$A,MATCH(P138,CHI_TIET_LOAI_KH!$B:$B,0)),"")</f>
        <v/>
      </c>
      <c r="P138" s="50"/>
      <c r="Q138" s="58" t="str">
        <f>IF(ISNUMBER(MATCH(R138,NGHE_NGHIEP!$B:$B,0)),INDEX(NGHE_NGHIEP!$A:$A,MATCH(R138,NGHE_NGHIEP!$B:$B,0)),"")</f>
        <v/>
      </c>
      <c r="R138" s="50"/>
      <c r="S138" s="58" t="str">
        <f>IF(ISNUMBER(MATCH(T138,LOAI_ID!$B:$B,0)),INDEX(LOAI_ID!$A:$A,MATCH(T138,LOAI_ID!$B:$B,0)),"")</f>
        <v/>
      </c>
      <c r="T138" s="16"/>
      <c r="U138" s="48"/>
      <c r="V138" s="48"/>
      <c r="W138" s="17"/>
      <c r="X138" s="17"/>
      <c r="Y138" s="15"/>
      <c r="Z138" s="15"/>
      <c r="AA138" s="59" t="str">
        <f>IFERROR(INDEX(NOI_CAP!$B:$B,MATCH(Z138,NOI_CAP!$A:$A,0)),"")</f>
        <v/>
      </c>
      <c r="AB138" s="58" t="str">
        <f>IF(ISNUMBER(MATCH(AC138,LOAI_DIA_CHI!$B:$B,0)),INDEX(LOAI_DIA_CHI!$A:$A,MATCH(AC138,LOAI_DIA_CHI!$B:$B,0)),"")</f>
        <v/>
      </c>
      <c r="AC138" s="16"/>
      <c r="AD138" s="58" t="str">
        <f>IF(ISNUMBER(MATCH(AE138,QUOC_GIA!$B:$B,0)),INDEX(QUOC_GIA!$A:$A,MATCH(AE138,QUOC_GIA!$B:$B,0)),"")</f>
        <v/>
      </c>
      <c r="AE138" s="16"/>
      <c r="AF138" s="48"/>
      <c r="AG138" s="59" t="str">
        <f>IFERROR(INDEX(TINH_TP!$B:$B,MATCH(AF138,TINH_TP!$A:$A,0)),"")</f>
        <v/>
      </c>
      <c r="AH138" s="50"/>
      <c r="AI138" s="59" t="str">
        <f>IF(OR(AF138="",AH138=""),"",IF(COUNTIFS(PHUONG_XA!$A$2:$A$3323,AH138,PHUONG_XA!$C$2:$C$3323,AF138)=0,"",INDEX(PHUONG_XA!$B$2:$B$3323,SUMPRODUCT((PHUONG_XA!$A$2:$A$3323&amp;""=AH138&amp;"")*(PHUONG_XA!$C$2:$C$3323&amp;""=AF138&amp;"")*(ROW(PHUONG_XA!$A$2:$A$3323)-ROW(PHUONG_XA!$A$2)+1)))))</f>
        <v/>
      </c>
      <c r="AJ138" s="14"/>
      <c r="AK138" s="14"/>
      <c r="AL138" s="57" t="str">
        <f t="shared" si="3"/>
        <v/>
      </c>
      <c r="AM138" s="14"/>
      <c r="AN138" s="15"/>
      <c r="AO138" s="15"/>
      <c r="AP138" s="48"/>
      <c r="AQ138" s="15"/>
      <c r="AR138" s="15"/>
      <c r="AS138" s="15"/>
      <c r="AT138" s="60" t="str">
        <f>IF(ISNUMBER(MATCH(AU138,LOAI_THE!$B:$B,0)),INDEX(LOAI_THE!$A:$A,MATCH(AU138,LOAI_THE!$B:$B,0)),"")</f>
        <v/>
      </c>
      <c r="AU138" s="48"/>
      <c r="AV138" s="15"/>
      <c r="AW138" s="15"/>
      <c r="AX138" s="15"/>
      <c r="AY138" s="48"/>
    </row>
    <row r="139" spans="1:51" x14ac:dyDescent="0.3">
      <c r="A139" s="13" t="s">
        <v>329</v>
      </c>
      <c r="B139" s="48"/>
      <c r="C139" s="48"/>
      <c r="D139" s="48"/>
      <c r="E139" s="48"/>
      <c r="F139" s="48"/>
      <c r="G139" s="58" t="str">
        <f>IF(ISNUMBER(MATCH(H139,GIOI_TINH!$B:$B,0)),INDEX(GIOI_TINH!$A:$A,MATCH(H139,GIOI_TINH!$B:$B,0)),"")</f>
        <v/>
      </c>
      <c r="H139" s="15"/>
      <c r="I139" s="15"/>
      <c r="J139" s="58" t="str">
        <f>IF(ISNUMBER(MATCH(K139,QUOC_GIA!$B:$B,0)),INDEX(QUOC_GIA!$A:$A,MATCH(K139,QUOC_GIA!$B:$B,0)),"")</f>
        <v/>
      </c>
      <c r="K139" s="50"/>
      <c r="L139" s="15"/>
      <c r="M139" s="58" t="str">
        <f>IF(ISNUMBER(MATCH(N139,LOAI_THUE!$B:$B,0)),INDEX(LOAI_THUE!$A:$A,MATCH(N139,LOAI_THUE!$B:$B,0)),"")</f>
        <v/>
      </c>
      <c r="N139" s="50"/>
      <c r="O139" s="58" t="str">
        <f>IF(ISNUMBER(MATCH(P139,CHI_TIET_LOAI_KH!$B:$B,0)),INDEX(CHI_TIET_LOAI_KH!$A:$A,MATCH(P139,CHI_TIET_LOAI_KH!$B:$B,0)),"")</f>
        <v/>
      </c>
      <c r="P139" s="50"/>
      <c r="Q139" s="58" t="str">
        <f>IF(ISNUMBER(MATCH(R139,NGHE_NGHIEP!$B:$B,0)),INDEX(NGHE_NGHIEP!$A:$A,MATCH(R139,NGHE_NGHIEP!$B:$B,0)),"")</f>
        <v/>
      </c>
      <c r="R139" s="50"/>
      <c r="S139" s="58" t="str">
        <f>IF(ISNUMBER(MATCH(T139,LOAI_ID!$B:$B,0)),INDEX(LOAI_ID!$A:$A,MATCH(T139,LOAI_ID!$B:$B,0)),"")</f>
        <v/>
      </c>
      <c r="T139" s="16"/>
      <c r="U139" s="48"/>
      <c r="V139" s="48"/>
      <c r="W139" s="17"/>
      <c r="X139" s="17"/>
      <c r="Y139" s="15"/>
      <c r="Z139" s="15"/>
      <c r="AA139" s="59" t="str">
        <f>IFERROR(INDEX(NOI_CAP!$B:$B,MATCH(Z139,NOI_CAP!$A:$A,0)),"")</f>
        <v/>
      </c>
      <c r="AB139" s="58" t="str">
        <f>IF(ISNUMBER(MATCH(AC139,LOAI_DIA_CHI!$B:$B,0)),INDEX(LOAI_DIA_CHI!$A:$A,MATCH(AC139,LOAI_DIA_CHI!$B:$B,0)),"")</f>
        <v/>
      </c>
      <c r="AC139" s="16"/>
      <c r="AD139" s="58" t="str">
        <f>IF(ISNUMBER(MATCH(AE139,QUOC_GIA!$B:$B,0)),INDEX(QUOC_GIA!$A:$A,MATCH(AE139,QUOC_GIA!$B:$B,0)),"")</f>
        <v/>
      </c>
      <c r="AE139" s="16"/>
      <c r="AF139" s="48"/>
      <c r="AG139" s="59" t="str">
        <f>IFERROR(INDEX(TINH_TP!$B:$B,MATCH(AF139,TINH_TP!$A:$A,0)),"")</f>
        <v/>
      </c>
      <c r="AH139" s="50"/>
      <c r="AI139" s="59" t="str">
        <f>IF(OR(AF139="",AH139=""),"",IF(COUNTIFS(PHUONG_XA!$A$2:$A$3323,AH139,PHUONG_XA!$C$2:$C$3323,AF139)=0,"",INDEX(PHUONG_XA!$B$2:$B$3323,SUMPRODUCT((PHUONG_XA!$A$2:$A$3323&amp;""=AH139&amp;"")*(PHUONG_XA!$C$2:$C$3323&amp;""=AF139&amp;"")*(ROW(PHUONG_XA!$A$2:$A$3323)-ROW(PHUONG_XA!$A$2)+1)))))</f>
        <v/>
      </c>
      <c r="AJ139" s="14"/>
      <c r="AK139" s="14"/>
      <c r="AL139" s="57" t="str">
        <f t="shared" si="3"/>
        <v/>
      </c>
      <c r="AM139" s="14"/>
      <c r="AN139" s="15"/>
      <c r="AO139" s="15"/>
      <c r="AP139" s="48"/>
      <c r="AQ139" s="15"/>
      <c r="AR139" s="15"/>
      <c r="AS139" s="15"/>
      <c r="AT139" s="60" t="str">
        <f>IF(ISNUMBER(MATCH(AU139,LOAI_THE!$B:$B,0)),INDEX(LOAI_THE!$A:$A,MATCH(AU139,LOAI_THE!$B:$B,0)),"")</f>
        <v/>
      </c>
      <c r="AU139" s="48"/>
      <c r="AV139" s="15"/>
      <c r="AW139" s="15"/>
      <c r="AX139" s="15"/>
      <c r="AY139" s="48"/>
    </row>
    <row r="140" spans="1:51" x14ac:dyDescent="0.3">
      <c r="A140" s="13" t="s">
        <v>331</v>
      </c>
      <c r="B140" s="48"/>
      <c r="C140" s="48"/>
      <c r="D140" s="48"/>
      <c r="E140" s="48"/>
      <c r="F140" s="48"/>
      <c r="G140" s="58" t="str">
        <f>IF(ISNUMBER(MATCH(H140,GIOI_TINH!$B:$B,0)),INDEX(GIOI_TINH!$A:$A,MATCH(H140,GIOI_TINH!$B:$B,0)),"")</f>
        <v/>
      </c>
      <c r="H140" s="15"/>
      <c r="I140" s="15"/>
      <c r="J140" s="58" t="str">
        <f>IF(ISNUMBER(MATCH(K140,QUOC_GIA!$B:$B,0)),INDEX(QUOC_GIA!$A:$A,MATCH(K140,QUOC_GIA!$B:$B,0)),"")</f>
        <v/>
      </c>
      <c r="K140" s="50"/>
      <c r="L140" s="15"/>
      <c r="M140" s="58" t="str">
        <f>IF(ISNUMBER(MATCH(N140,LOAI_THUE!$B:$B,0)),INDEX(LOAI_THUE!$A:$A,MATCH(N140,LOAI_THUE!$B:$B,0)),"")</f>
        <v/>
      </c>
      <c r="N140" s="50"/>
      <c r="O140" s="58" t="str">
        <f>IF(ISNUMBER(MATCH(P140,CHI_TIET_LOAI_KH!$B:$B,0)),INDEX(CHI_TIET_LOAI_KH!$A:$A,MATCH(P140,CHI_TIET_LOAI_KH!$B:$B,0)),"")</f>
        <v/>
      </c>
      <c r="P140" s="50"/>
      <c r="Q140" s="58" t="str">
        <f>IF(ISNUMBER(MATCH(R140,NGHE_NGHIEP!$B:$B,0)),INDEX(NGHE_NGHIEP!$A:$A,MATCH(R140,NGHE_NGHIEP!$B:$B,0)),"")</f>
        <v/>
      </c>
      <c r="R140" s="50"/>
      <c r="S140" s="58" t="str">
        <f>IF(ISNUMBER(MATCH(T140,LOAI_ID!$B:$B,0)),INDEX(LOAI_ID!$A:$A,MATCH(T140,LOAI_ID!$B:$B,0)),"")</f>
        <v/>
      </c>
      <c r="T140" s="16"/>
      <c r="U140" s="48"/>
      <c r="V140" s="48"/>
      <c r="W140" s="17"/>
      <c r="X140" s="17"/>
      <c r="Y140" s="15"/>
      <c r="Z140" s="15"/>
      <c r="AA140" s="59" t="str">
        <f>IFERROR(INDEX(NOI_CAP!$B:$B,MATCH(Z140,NOI_CAP!$A:$A,0)),"")</f>
        <v/>
      </c>
      <c r="AB140" s="58" t="str">
        <f>IF(ISNUMBER(MATCH(AC140,LOAI_DIA_CHI!$B:$B,0)),INDEX(LOAI_DIA_CHI!$A:$A,MATCH(AC140,LOAI_DIA_CHI!$B:$B,0)),"")</f>
        <v/>
      </c>
      <c r="AC140" s="16"/>
      <c r="AD140" s="58" t="str">
        <f>IF(ISNUMBER(MATCH(AE140,QUOC_GIA!$B:$B,0)),INDEX(QUOC_GIA!$A:$A,MATCH(AE140,QUOC_GIA!$B:$B,0)),"")</f>
        <v/>
      </c>
      <c r="AE140" s="16"/>
      <c r="AF140" s="48"/>
      <c r="AG140" s="59" t="str">
        <f>IFERROR(INDEX(TINH_TP!$B:$B,MATCH(AF140,TINH_TP!$A:$A,0)),"")</f>
        <v/>
      </c>
      <c r="AH140" s="50"/>
      <c r="AI140" s="59" t="str">
        <f>IF(OR(AF140="",AH140=""),"",IF(COUNTIFS(PHUONG_XA!$A$2:$A$3323,AH140,PHUONG_XA!$C$2:$C$3323,AF140)=0,"",INDEX(PHUONG_XA!$B$2:$B$3323,SUMPRODUCT((PHUONG_XA!$A$2:$A$3323&amp;""=AH140&amp;"")*(PHUONG_XA!$C$2:$C$3323&amp;""=AF140&amp;"")*(ROW(PHUONG_XA!$A$2:$A$3323)-ROW(PHUONG_XA!$A$2)+1)))))</f>
        <v/>
      </c>
      <c r="AJ140" s="14"/>
      <c r="AK140" s="14"/>
      <c r="AL140" s="57" t="str">
        <f t="shared" si="3"/>
        <v/>
      </c>
      <c r="AM140" s="14"/>
      <c r="AN140" s="15"/>
      <c r="AO140" s="15"/>
      <c r="AP140" s="48"/>
      <c r="AQ140" s="15"/>
      <c r="AR140" s="15"/>
      <c r="AS140" s="15"/>
      <c r="AT140" s="60" t="str">
        <f>IF(ISNUMBER(MATCH(AU140,LOAI_THE!$B:$B,0)),INDEX(LOAI_THE!$A:$A,MATCH(AU140,LOAI_THE!$B:$B,0)),"")</f>
        <v/>
      </c>
      <c r="AU140" s="48"/>
      <c r="AV140" s="15"/>
      <c r="AW140" s="15"/>
      <c r="AX140" s="15"/>
      <c r="AY140" s="48"/>
    </row>
    <row r="141" spans="1:51" x14ac:dyDescent="0.3">
      <c r="A141" s="13" t="s">
        <v>333</v>
      </c>
      <c r="B141" s="48"/>
      <c r="C141" s="48"/>
      <c r="D141" s="48"/>
      <c r="E141" s="48"/>
      <c r="F141" s="48"/>
      <c r="G141" s="58" t="str">
        <f>IF(ISNUMBER(MATCH(H141,GIOI_TINH!$B:$B,0)),INDEX(GIOI_TINH!$A:$A,MATCH(H141,GIOI_TINH!$B:$B,0)),"")</f>
        <v/>
      </c>
      <c r="H141" s="15"/>
      <c r="I141" s="15"/>
      <c r="J141" s="58" t="str">
        <f>IF(ISNUMBER(MATCH(K141,QUOC_GIA!$B:$B,0)),INDEX(QUOC_GIA!$A:$A,MATCH(K141,QUOC_GIA!$B:$B,0)),"")</f>
        <v/>
      </c>
      <c r="K141" s="50"/>
      <c r="L141" s="15"/>
      <c r="M141" s="58" t="str">
        <f>IF(ISNUMBER(MATCH(N141,LOAI_THUE!$B:$B,0)),INDEX(LOAI_THUE!$A:$A,MATCH(N141,LOAI_THUE!$B:$B,0)),"")</f>
        <v/>
      </c>
      <c r="N141" s="50"/>
      <c r="O141" s="58" t="str">
        <f>IF(ISNUMBER(MATCH(P141,CHI_TIET_LOAI_KH!$B:$B,0)),INDEX(CHI_TIET_LOAI_KH!$A:$A,MATCH(P141,CHI_TIET_LOAI_KH!$B:$B,0)),"")</f>
        <v/>
      </c>
      <c r="P141" s="50"/>
      <c r="Q141" s="58" t="str">
        <f>IF(ISNUMBER(MATCH(R141,NGHE_NGHIEP!$B:$B,0)),INDEX(NGHE_NGHIEP!$A:$A,MATCH(R141,NGHE_NGHIEP!$B:$B,0)),"")</f>
        <v/>
      </c>
      <c r="R141" s="50"/>
      <c r="S141" s="58" t="str">
        <f>IF(ISNUMBER(MATCH(T141,LOAI_ID!$B:$B,0)),INDEX(LOAI_ID!$A:$A,MATCH(T141,LOAI_ID!$B:$B,0)),"")</f>
        <v/>
      </c>
      <c r="T141" s="16"/>
      <c r="U141" s="48"/>
      <c r="V141" s="48"/>
      <c r="W141" s="17"/>
      <c r="X141" s="17"/>
      <c r="Y141" s="15"/>
      <c r="Z141" s="15"/>
      <c r="AA141" s="59" t="str">
        <f>IFERROR(INDEX(NOI_CAP!$B:$B,MATCH(Z141,NOI_CAP!$A:$A,0)),"")</f>
        <v/>
      </c>
      <c r="AB141" s="58" t="str">
        <f>IF(ISNUMBER(MATCH(AC141,LOAI_DIA_CHI!$B:$B,0)),INDEX(LOAI_DIA_CHI!$A:$A,MATCH(AC141,LOAI_DIA_CHI!$B:$B,0)),"")</f>
        <v/>
      </c>
      <c r="AC141" s="16"/>
      <c r="AD141" s="58" t="str">
        <f>IF(ISNUMBER(MATCH(AE141,QUOC_GIA!$B:$B,0)),INDEX(QUOC_GIA!$A:$A,MATCH(AE141,QUOC_GIA!$B:$B,0)),"")</f>
        <v/>
      </c>
      <c r="AE141" s="16"/>
      <c r="AF141" s="48"/>
      <c r="AG141" s="59" t="str">
        <f>IFERROR(INDEX(TINH_TP!$B:$B,MATCH(AF141,TINH_TP!$A:$A,0)),"")</f>
        <v/>
      </c>
      <c r="AH141" s="50"/>
      <c r="AI141" s="59" t="str">
        <f>IF(OR(AF141="",AH141=""),"",IF(COUNTIFS(PHUONG_XA!$A$2:$A$3323,AH141,PHUONG_XA!$C$2:$C$3323,AF141)=0,"",INDEX(PHUONG_XA!$B$2:$B$3323,SUMPRODUCT((PHUONG_XA!$A$2:$A$3323&amp;""=AH141&amp;"")*(PHUONG_XA!$C$2:$C$3323&amp;""=AF141&amp;"")*(ROW(PHUONG_XA!$A$2:$A$3323)-ROW(PHUONG_XA!$A$2)+1)))))</f>
        <v/>
      </c>
      <c r="AJ141" s="14"/>
      <c r="AK141" s="14"/>
      <c r="AL141" s="57" t="str">
        <f t="shared" si="3"/>
        <v/>
      </c>
      <c r="AM141" s="14"/>
      <c r="AN141" s="15"/>
      <c r="AO141" s="15"/>
      <c r="AP141" s="48"/>
      <c r="AQ141" s="15"/>
      <c r="AR141" s="15"/>
      <c r="AS141" s="15"/>
      <c r="AT141" s="60" t="str">
        <f>IF(ISNUMBER(MATCH(AU141,LOAI_THE!$B:$B,0)),INDEX(LOAI_THE!$A:$A,MATCH(AU141,LOAI_THE!$B:$B,0)),"")</f>
        <v/>
      </c>
      <c r="AU141" s="48"/>
      <c r="AV141" s="15"/>
      <c r="AW141" s="15"/>
      <c r="AX141" s="15"/>
      <c r="AY141" s="48"/>
    </row>
    <row r="142" spans="1:51" x14ac:dyDescent="0.3">
      <c r="A142" s="13" t="s">
        <v>335</v>
      </c>
      <c r="B142" s="48"/>
      <c r="C142" s="48"/>
      <c r="D142" s="48"/>
      <c r="E142" s="48"/>
      <c r="F142" s="48"/>
      <c r="G142" s="58" t="str">
        <f>IF(ISNUMBER(MATCH(H142,GIOI_TINH!$B:$B,0)),INDEX(GIOI_TINH!$A:$A,MATCH(H142,GIOI_TINH!$B:$B,0)),"")</f>
        <v/>
      </c>
      <c r="H142" s="15"/>
      <c r="I142" s="15"/>
      <c r="J142" s="58" t="str">
        <f>IF(ISNUMBER(MATCH(K142,QUOC_GIA!$B:$B,0)),INDEX(QUOC_GIA!$A:$A,MATCH(K142,QUOC_GIA!$B:$B,0)),"")</f>
        <v/>
      </c>
      <c r="K142" s="50"/>
      <c r="L142" s="15"/>
      <c r="M142" s="58" t="str">
        <f>IF(ISNUMBER(MATCH(N142,LOAI_THUE!$B:$B,0)),INDEX(LOAI_THUE!$A:$A,MATCH(N142,LOAI_THUE!$B:$B,0)),"")</f>
        <v/>
      </c>
      <c r="N142" s="50"/>
      <c r="O142" s="58" t="str">
        <f>IF(ISNUMBER(MATCH(P142,CHI_TIET_LOAI_KH!$B:$B,0)),INDEX(CHI_TIET_LOAI_KH!$A:$A,MATCH(P142,CHI_TIET_LOAI_KH!$B:$B,0)),"")</f>
        <v/>
      </c>
      <c r="P142" s="50"/>
      <c r="Q142" s="58" t="str">
        <f>IF(ISNUMBER(MATCH(R142,NGHE_NGHIEP!$B:$B,0)),INDEX(NGHE_NGHIEP!$A:$A,MATCH(R142,NGHE_NGHIEP!$B:$B,0)),"")</f>
        <v/>
      </c>
      <c r="R142" s="50"/>
      <c r="S142" s="58" t="str">
        <f>IF(ISNUMBER(MATCH(T142,LOAI_ID!$B:$B,0)),INDEX(LOAI_ID!$A:$A,MATCH(T142,LOAI_ID!$B:$B,0)),"")</f>
        <v/>
      </c>
      <c r="T142" s="16"/>
      <c r="U142" s="48"/>
      <c r="V142" s="48"/>
      <c r="W142" s="17"/>
      <c r="X142" s="17"/>
      <c r="Y142" s="15"/>
      <c r="Z142" s="15"/>
      <c r="AA142" s="59" t="str">
        <f>IFERROR(INDEX(NOI_CAP!$B:$B,MATCH(Z142,NOI_CAP!$A:$A,0)),"")</f>
        <v/>
      </c>
      <c r="AB142" s="58" t="str">
        <f>IF(ISNUMBER(MATCH(AC142,LOAI_DIA_CHI!$B:$B,0)),INDEX(LOAI_DIA_CHI!$A:$A,MATCH(AC142,LOAI_DIA_CHI!$B:$B,0)),"")</f>
        <v/>
      </c>
      <c r="AC142" s="16"/>
      <c r="AD142" s="58" t="str">
        <f>IF(ISNUMBER(MATCH(AE142,QUOC_GIA!$B:$B,0)),INDEX(QUOC_GIA!$A:$A,MATCH(AE142,QUOC_GIA!$B:$B,0)),"")</f>
        <v/>
      </c>
      <c r="AE142" s="16"/>
      <c r="AF142" s="48"/>
      <c r="AG142" s="59" t="str">
        <f>IFERROR(INDEX(TINH_TP!$B:$B,MATCH(AF142,TINH_TP!$A:$A,0)),"")</f>
        <v/>
      </c>
      <c r="AH142" s="50"/>
      <c r="AI142" s="59" t="str">
        <f>IF(OR(AF142="",AH142=""),"",IF(COUNTIFS(PHUONG_XA!$A$2:$A$3323,AH142,PHUONG_XA!$C$2:$C$3323,AF142)=0,"",INDEX(PHUONG_XA!$B$2:$B$3323,SUMPRODUCT((PHUONG_XA!$A$2:$A$3323&amp;""=AH142&amp;"")*(PHUONG_XA!$C$2:$C$3323&amp;""=AF142&amp;"")*(ROW(PHUONG_XA!$A$2:$A$3323)-ROW(PHUONG_XA!$A$2)+1)))))</f>
        <v/>
      </c>
      <c r="AJ142" s="14"/>
      <c r="AK142" s="14"/>
      <c r="AL142" s="57" t="str">
        <f t="shared" si="3"/>
        <v/>
      </c>
      <c r="AM142" s="14"/>
      <c r="AN142" s="15"/>
      <c r="AO142" s="15"/>
      <c r="AP142" s="48"/>
      <c r="AQ142" s="15"/>
      <c r="AR142" s="15"/>
      <c r="AS142" s="15"/>
      <c r="AT142" s="60" t="str">
        <f>IF(ISNUMBER(MATCH(AU142,LOAI_THE!$B:$B,0)),INDEX(LOAI_THE!$A:$A,MATCH(AU142,LOAI_THE!$B:$B,0)),"")</f>
        <v/>
      </c>
      <c r="AU142" s="48"/>
      <c r="AV142" s="15"/>
      <c r="AW142" s="15"/>
      <c r="AX142" s="15"/>
      <c r="AY142" s="48"/>
    </row>
    <row r="143" spans="1:51" x14ac:dyDescent="0.3">
      <c r="A143" s="13" t="s">
        <v>337</v>
      </c>
      <c r="B143" s="48"/>
      <c r="C143" s="48"/>
      <c r="D143" s="48"/>
      <c r="E143" s="48"/>
      <c r="F143" s="48"/>
      <c r="G143" s="58" t="str">
        <f>IF(ISNUMBER(MATCH(H143,GIOI_TINH!$B:$B,0)),INDEX(GIOI_TINH!$A:$A,MATCH(H143,GIOI_TINH!$B:$B,0)),"")</f>
        <v/>
      </c>
      <c r="H143" s="15"/>
      <c r="I143" s="15"/>
      <c r="J143" s="58" t="str">
        <f>IF(ISNUMBER(MATCH(K143,QUOC_GIA!$B:$B,0)),INDEX(QUOC_GIA!$A:$A,MATCH(K143,QUOC_GIA!$B:$B,0)),"")</f>
        <v/>
      </c>
      <c r="K143" s="50"/>
      <c r="L143" s="15"/>
      <c r="M143" s="58" t="str">
        <f>IF(ISNUMBER(MATCH(N143,LOAI_THUE!$B:$B,0)),INDEX(LOAI_THUE!$A:$A,MATCH(N143,LOAI_THUE!$B:$B,0)),"")</f>
        <v/>
      </c>
      <c r="N143" s="50"/>
      <c r="O143" s="58" t="str">
        <f>IF(ISNUMBER(MATCH(P143,CHI_TIET_LOAI_KH!$B:$B,0)),INDEX(CHI_TIET_LOAI_KH!$A:$A,MATCH(P143,CHI_TIET_LOAI_KH!$B:$B,0)),"")</f>
        <v/>
      </c>
      <c r="P143" s="50"/>
      <c r="Q143" s="58" t="str">
        <f>IF(ISNUMBER(MATCH(R143,NGHE_NGHIEP!$B:$B,0)),INDEX(NGHE_NGHIEP!$A:$A,MATCH(R143,NGHE_NGHIEP!$B:$B,0)),"")</f>
        <v/>
      </c>
      <c r="R143" s="50"/>
      <c r="S143" s="58" t="str">
        <f>IF(ISNUMBER(MATCH(T143,LOAI_ID!$B:$B,0)),INDEX(LOAI_ID!$A:$A,MATCH(T143,LOAI_ID!$B:$B,0)),"")</f>
        <v/>
      </c>
      <c r="T143" s="16"/>
      <c r="U143" s="48"/>
      <c r="V143" s="48"/>
      <c r="W143" s="17"/>
      <c r="X143" s="17"/>
      <c r="Y143" s="15"/>
      <c r="Z143" s="15"/>
      <c r="AA143" s="59" t="str">
        <f>IFERROR(INDEX(NOI_CAP!$B:$B,MATCH(Z143,NOI_CAP!$A:$A,0)),"")</f>
        <v/>
      </c>
      <c r="AB143" s="58" t="str">
        <f>IF(ISNUMBER(MATCH(AC143,LOAI_DIA_CHI!$B:$B,0)),INDEX(LOAI_DIA_CHI!$A:$A,MATCH(AC143,LOAI_DIA_CHI!$B:$B,0)),"")</f>
        <v/>
      </c>
      <c r="AC143" s="16"/>
      <c r="AD143" s="58" t="str">
        <f>IF(ISNUMBER(MATCH(AE143,QUOC_GIA!$B:$B,0)),INDEX(QUOC_GIA!$A:$A,MATCH(AE143,QUOC_GIA!$B:$B,0)),"")</f>
        <v/>
      </c>
      <c r="AE143" s="16"/>
      <c r="AF143" s="48"/>
      <c r="AG143" s="59" t="str">
        <f>IFERROR(INDEX(TINH_TP!$B:$B,MATCH(AF143,TINH_TP!$A:$A,0)),"")</f>
        <v/>
      </c>
      <c r="AH143" s="50"/>
      <c r="AI143" s="59" t="str">
        <f>IF(OR(AF143="",AH143=""),"",IF(COUNTIFS(PHUONG_XA!$A$2:$A$3323,AH143,PHUONG_XA!$C$2:$C$3323,AF143)=0,"",INDEX(PHUONG_XA!$B$2:$B$3323,SUMPRODUCT((PHUONG_XA!$A$2:$A$3323&amp;""=AH143&amp;"")*(PHUONG_XA!$C$2:$C$3323&amp;""=AF143&amp;"")*(ROW(PHUONG_XA!$A$2:$A$3323)-ROW(PHUONG_XA!$A$2)+1)))))</f>
        <v/>
      </c>
      <c r="AJ143" s="14"/>
      <c r="AK143" s="14"/>
      <c r="AL143" s="57" t="str">
        <f t="shared" si="3"/>
        <v/>
      </c>
      <c r="AM143" s="14"/>
      <c r="AN143" s="15"/>
      <c r="AO143" s="15"/>
      <c r="AP143" s="48"/>
      <c r="AQ143" s="15"/>
      <c r="AR143" s="15"/>
      <c r="AS143" s="15"/>
      <c r="AT143" s="60" t="str">
        <f>IF(ISNUMBER(MATCH(AU143,LOAI_THE!$B:$B,0)),INDEX(LOAI_THE!$A:$A,MATCH(AU143,LOAI_THE!$B:$B,0)),"")</f>
        <v/>
      </c>
      <c r="AU143" s="48"/>
      <c r="AV143" s="15"/>
      <c r="AW143" s="15"/>
      <c r="AX143" s="15"/>
      <c r="AY143" s="48"/>
    </row>
    <row r="144" spans="1:51" x14ac:dyDescent="0.3">
      <c r="A144" s="13" t="s">
        <v>339</v>
      </c>
      <c r="B144" s="48"/>
      <c r="C144" s="48"/>
      <c r="D144" s="48"/>
      <c r="E144" s="48"/>
      <c r="F144" s="48"/>
      <c r="G144" s="58" t="str">
        <f>IF(ISNUMBER(MATCH(H144,GIOI_TINH!$B:$B,0)),INDEX(GIOI_TINH!$A:$A,MATCH(H144,GIOI_TINH!$B:$B,0)),"")</f>
        <v/>
      </c>
      <c r="H144" s="15"/>
      <c r="I144" s="15"/>
      <c r="J144" s="58" t="str">
        <f>IF(ISNUMBER(MATCH(K144,QUOC_GIA!$B:$B,0)),INDEX(QUOC_GIA!$A:$A,MATCH(K144,QUOC_GIA!$B:$B,0)),"")</f>
        <v/>
      </c>
      <c r="K144" s="50"/>
      <c r="L144" s="15"/>
      <c r="M144" s="58" t="str">
        <f>IF(ISNUMBER(MATCH(N144,LOAI_THUE!$B:$B,0)),INDEX(LOAI_THUE!$A:$A,MATCH(N144,LOAI_THUE!$B:$B,0)),"")</f>
        <v/>
      </c>
      <c r="N144" s="50"/>
      <c r="O144" s="58" t="str">
        <f>IF(ISNUMBER(MATCH(P144,CHI_TIET_LOAI_KH!$B:$B,0)),INDEX(CHI_TIET_LOAI_KH!$A:$A,MATCH(P144,CHI_TIET_LOAI_KH!$B:$B,0)),"")</f>
        <v/>
      </c>
      <c r="P144" s="50"/>
      <c r="Q144" s="58" t="str">
        <f>IF(ISNUMBER(MATCH(R144,NGHE_NGHIEP!$B:$B,0)),INDEX(NGHE_NGHIEP!$A:$A,MATCH(R144,NGHE_NGHIEP!$B:$B,0)),"")</f>
        <v/>
      </c>
      <c r="R144" s="50"/>
      <c r="S144" s="58" t="str">
        <f>IF(ISNUMBER(MATCH(T144,LOAI_ID!$B:$B,0)),INDEX(LOAI_ID!$A:$A,MATCH(T144,LOAI_ID!$B:$B,0)),"")</f>
        <v/>
      </c>
      <c r="T144" s="16"/>
      <c r="U144" s="48"/>
      <c r="V144" s="48"/>
      <c r="W144" s="17"/>
      <c r="X144" s="17"/>
      <c r="Y144" s="15"/>
      <c r="Z144" s="15"/>
      <c r="AA144" s="59" t="str">
        <f>IFERROR(INDEX(NOI_CAP!$B:$B,MATCH(Z144,NOI_CAP!$A:$A,0)),"")</f>
        <v/>
      </c>
      <c r="AB144" s="58" t="str">
        <f>IF(ISNUMBER(MATCH(AC144,LOAI_DIA_CHI!$B:$B,0)),INDEX(LOAI_DIA_CHI!$A:$A,MATCH(AC144,LOAI_DIA_CHI!$B:$B,0)),"")</f>
        <v/>
      </c>
      <c r="AC144" s="16"/>
      <c r="AD144" s="58" t="str">
        <f>IF(ISNUMBER(MATCH(AE144,QUOC_GIA!$B:$B,0)),INDEX(QUOC_GIA!$A:$A,MATCH(AE144,QUOC_GIA!$B:$B,0)),"")</f>
        <v/>
      </c>
      <c r="AE144" s="16"/>
      <c r="AF144" s="48"/>
      <c r="AG144" s="59" t="str">
        <f>IFERROR(INDEX(TINH_TP!$B:$B,MATCH(AF144,TINH_TP!$A:$A,0)),"")</f>
        <v/>
      </c>
      <c r="AH144" s="50"/>
      <c r="AI144" s="59" t="str">
        <f>IF(OR(AF144="",AH144=""),"",IF(COUNTIFS(PHUONG_XA!$A$2:$A$3323,AH144,PHUONG_XA!$C$2:$C$3323,AF144)=0,"",INDEX(PHUONG_XA!$B$2:$B$3323,SUMPRODUCT((PHUONG_XA!$A$2:$A$3323&amp;""=AH144&amp;"")*(PHUONG_XA!$C$2:$C$3323&amp;""=AF144&amp;"")*(ROW(PHUONG_XA!$A$2:$A$3323)-ROW(PHUONG_XA!$A$2)+1)))))</f>
        <v/>
      </c>
      <c r="AJ144" s="14"/>
      <c r="AK144" s="14"/>
      <c r="AL144" s="57" t="str">
        <f t="shared" si="3"/>
        <v/>
      </c>
      <c r="AM144" s="14"/>
      <c r="AN144" s="15"/>
      <c r="AO144" s="15"/>
      <c r="AP144" s="48"/>
      <c r="AQ144" s="15"/>
      <c r="AR144" s="15"/>
      <c r="AS144" s="15"/>
      <c r="AT144" s="60" t="str">
        <f>IF(ISNUMBER(MATCH(AU144,LOAI_THE!$B:$B,0)),INDEX(LOAI_THE!$A:$A,MATCH(AU144,LOAI_THE!$B:$B,0)),"")</f>
        <v/>
      </c>
      <c r="AU144" s="48"/>
      <c r="AV144" s="15"/>
      <c r="AW144" s="15"/>
      <c r="AX144" s="15"/>
      <c r="AY144" s="48"/>
    </row>
    <row r="145" spans="1:51" x14ac:dyDescent="0.3">
      <c r="A145" s="13" t="s">
        <v>341</v>
      </c>
      <c r="B145" s="48"/>
      <c r="C145" s="48"/>
      <c r="D145" s="48"/>
      <c r="E145" s="48"/>
      <c r="F145" s="48"/>
      <c r="G145" s="58" t="str">
        <f>IF(ISNUMBER(MATCH(H145,GIOI_TINH!$B:$B,0)),INDEX(GIOI_TINH!$A:$A,MATCH(H145,GIOI_TINH!$B:$B,0)),"")</f>
        <v/>
      </c>
      <c r="H145" s="15"/>
      <c r="I145" s="15"/>
      <c r="J145" s="58" t="str">
        <f>IF(ISNUMBER(MATCH(K145,QUOC_GIA!$B:$B,0)),INDEX(QUOC_GIA!$A:$A,MATCH(K145,QUOC_GIA!$B:$B,0)),"")</f>
        <v/>
      </c>
      <c r="K145" s="50"/>
      <c r="L145" s="15"/>
      <c r="M145" s="58" t="str">
        <f>IF(ISNUMBER(MATCH(N145,LOAI_THUE!$B:$B,0)),INDEX(LOAI_THUE!$A:$A,MATCH(N145,LOAI_THUE!$B:$B,0)),"")</f>
        <v/>
      </c>
      <c r="N145" s="50"/>
      <c r="O145" s="58" t="str">
        <f>IF(ISNUMBER(MATCH(P145,CHI_TIET_LOAI_KH!$B:$B,0)),INDEX(CHI_TIET_LOAI_KH!$A:$A,MATCH(P145,CHI_TIET_LOAI_KH!$B:$B,0)),"")</f>
        <v/>
      </c>
      <c r="P145" s="50"/>
      <c r="Q145" s="58" t="str">
        <f>IF(ISNUMBER(MATCH(R145,NGHE_NGHIEP!$B:$B,0)),INDEX(NGHE_NGHIEP!$A:$A,MATCH(R145,NGHE_NGHIEP!$B:$B,0)),"")</f>
        <v/>
      </c>
      <c r="R145" s="50"/>
      <c r="S145" s="58" t="str">
        <f>IF(ISNUMBER(MATCH(T145,LOAI_ID!$B:$B,0)),INDEX(LOAI_ID!$A:$A,MATCH(T145,LOAI_ID!$B:$B,0)),"")</f>
        <v/>
      </c>
      <c r="T145" s="16"/>
      <c r="U145" s="48"/>
      <c r="V145" s="48"/>
      <c r="W145" s="17"/>
      <c r="X145" s="17"/>
      <c r="Y145" s="15"/>
      <c r="Z145" s="15"/>
      <c r="AA145" s="59" t="str">
        <f>IFERROR(INDEX(NOI_CAP!$B:$B,MATCH(Z145,NOI_CAP!$A:$A,0)),"")</f>
        <v/>
      </c>
      <c r="AB145" s="58" t="str">
        <f>IF(ISNUMBER(MATCH(AC145,LOAI_DIA_CHI!$B:$B,0)),INDEX(LOAI_DIA_CHI!$A:$A,MATCH(AC145,LOAI_DIA_CHI!$B:$B,0)),"")</f>
        <v/>
      </c>
      <c r="AC145" s="16"/>
      <c r="AD145" s="58" t="str">
        <f>IF(ISNUMBER(MATCH(AE145,QUOC_GIA!$B:$B,0)),INDEX(QUOC_GIA!$A:$A,MATCH(AE145,QUOC_GIA!$B:$B,0)),"")</f>
        <v/>
      </c>
      <c r="AE145" s="16"/>
      <c r="AF145" s="48"/>
      <c r="AG145" s="59" t="str">
        <f>IFERROR(INDEX(TINH_TP!$B:$B,MATCH(AF145,TINH_TP!$A:$A,0)),"")</f>
        <v/>
      </c>
      <c r="AH145" s="50"/>
      <c r="AI145" s="59" t="str">
        <f>IF(OR(AF145="",AH145=""),"",IF(COUNTIFS(PHUONG_XA!$A$2:$A$3323,AH145,PHUONG_XA!$C$2:$C$3323,AF145)=0,"",INDEX(PHUONG_XA!$B$2:$B$3323,SUMPRODUCT((PHUONG_XA!$A$2:$A$3323&amp;""=AH145&amp;"")*(PHUONG_XA!$C$2:$C$3323&amp;""=AF145&amp;"")*(ROW(PHUONG_XA!$A$2:$A$3323)-ROW(PHUONG_XA!$A$2)+1)))))</f>
        <v/>
      </c>
      <c r="AJ145" s="14"/>
      <c r="AK145" s="14"/>
      <c r="AL145" s="57" t="str">
        <f t="shared" si="3"/>
        <v/>
      </c>
      <c r="AM145" s="14"/>
      <c r="AN145" s="15"/>
      <c r="AO145" s="15"/>
      <c r="AP145" s="48"/>
      <c r="AQ145" s="15"/>
      <c r="AR145" s="15"/>
      <c r="AS145" s="15"/>
      <c r="AT145" s="60" t="str">
        <f>IF(ISNUMBER(MATCH(AU145,LOAI_THE!$B:$B,0)),INDEX(LOAI_THE!$A:$A,MATCH(AU145,LOAI_THE!$B:$B,0)),"")</f>
        <v/>
      </c>
      <c r="AU145" s="48"/>
      <c r="AV145" s="15"/>
      <c r="AW145" s="15"/>
      <c r="AX145" s="15"/>
      <c r="AY145" s="48"/>
    </row>
    <row r="146" spans="1:51" x14ac:dyDescent="0.3">
      <c r="A146" s="13" t="s">
        <v>343</v>
      </c>
      <c r="B146" s="48"/>
      <c r="C146" s="48"/>
      <c r="D146" s="48"/>
      <c r="E146" s="48"/>
      <c r="F146" s="48"/>
      <c r="G146" s="58" t="str">
        <f>IF(ISNUMBER(MATCH(H146,GIOI_TINH!$B:$B,0)),INDEX(GIOI_TINH!$A:$A,MATCH(H146,GIOI_TINH!$B:$B,0)),"")</f>
        <v/>
      </c>
      <c r="H146" s="15"/>
      <c r="I146" s="15"/>
      <c r="J146" s="58" t="str">
        <f>IF(ISNUMBER(MATCH(K146,QUOC_GIA!$B:$B,0)),INDEX(QUOC_GIA!$A:$A,MATCH(K146,QUOC_GIA!$B:$B,0)),"")</f>
        <v/>
      </c>
      <c r="K146" s="50"/>
      <c r="L146" s="15"/>
      <c r="M146" s="58" t="str">
        <f>IF(ISNUMBER(MATCH(N146,LOAI_THUE!$B:$B,0)),INDEX(LOAI_THUE!$A:$A,MATCH(N146,LOAI_THUE!$B:$B,0)),"")</f>
        <v/>
      </c>
      <c r="N146" s="50"/>
      <c r="O146" s="58" t="str">
        <f>IF(ISNUMBER(MATCH(P146,CHI_TIET_LOAI_KH!$B:$B,0)),INDEX(CHI_TIET_LOAI_KH!$A:$A,MATCH(P146,CHI_TIET_LOAI_KH!$B:$B,0)),"")</f>
        <v/>
      </c>
      <c r="P146" s="50"/>
      <c r="Q146" s="58" t="str">
        <f>IF(ISNUMBER(MATCH(R146,NGHE_NGHIEP!$B:$B,0)),INDEX(NGHE_NGHIEP!$A:$A,MATCH(R146,NGHE_NGHIEP!$B:$B,0)),"")</f>
        <v/>
      </c>
      <c r="R146" s="50"/>
      <c r="S146" s="58" t="str">
        <f>IF(ISNUMBER(MATCH(T146,LOAI_ID!$B:$B,0)),INDEX(LOAI_ID!$A:$A,MATCH(T146,LOAI_ID!$B:$B,0)),"")</f>
        <v/>
      </c>
      <c r="T146" s="16"/>
      <c r="U146" s="48"/>
      <c r="V146" s="48"/>
      <c r="W146" s="17"/>
      <c r="X146" s="17"/>
      <c r="Y146" s="15"/>
      <c r="Z146" s="15"/>
      <c r="AA146" s="59" t="str">
        <f>IFERROR(INDEX(NOI_CAP!$B:$B,MATCH(Z146,NOI_CAP!$A:$A,0)),"")</f>
        <v/>
      </c>
      <c r="AB146" s="58" t="str">
        <f>IF(ISNUMBER(MATCH(AC146,LOAI_DIA_CHI!$B:$B,0)),INDEX(LOAI_DIA_CHI!$A:$A,MATCH(AC146,LOAI_DIA_CHI!$B:$B,0)),"")</f>
        <v/>
      </c>
      <c r="AC146" s="16"/>
      <c r="AD146" s="58" t="str">
        <f>IF(ISNUMBER(MATCH(AE146,QUOC_GIA!$B:$B,0)),INDEX(QUOC_GIA!$A:$A,MATCH(AE146,QUOC_GIA!$B:$B,0)),"")</f>
        <v/>
      </c>
      <c r="AE146" s="16"/>
      <c r="AF146" s="48"/>
      <c r="AG146" s="59" t="str">
        <f>IFERROR(INDEX(TINH_TP!$B:$B,MATCH(AF146,TINH_TP!$A:$A,0)),"")</f>
        <v/>
      </c>
      <c r="AH146" s="50"/>
      <c r="AI146" s="59" t="str">
        <f>IF(OR(AF146="",AH146=""),"",IF(COUNTIFS(PHUONG_XA!$A$2:$A$3323,AH146,PHUONG_XA!$C$2:$C$3323,AF146)=0,"",INDEX(PHUONG_XA!$B$2:$B$3323,SUMPRODUCT((PHUONG_XA!$A$2:$A$3323&amp;""=AH146&amp;"")*(PHUONG_XA!$C$2:$C$3323&amp;""=AF146&amp;"")*(ROW(PHUONG_XA!$A$2:$A$3323)-ROW(PHUONG_XA!$A$2)+1)))))</f>
        <v/>
      </c>
      <c r="AJ146" s="14"/>
      <c r="AK146" s="14"/>
      <c r="AL146" s="57" t="str">
        <f t="shared" si="3"/>
        <v/>
      </c>
      <c r="AM146" s="14"/>
      <c r="AN146" s="15"/>
      <c r="AO146" s="15"/>
      <c r="AP146" s="48"/>
      <c r="AQ146" s="15"/>
      <c r="AR146" s="15"/>
      <c r="AS146" s="15"/>
      <c r="AT146" s="60" t="str">
        <f>IF(ISNUMBER(MATCH(AU146,LOAI_THE!$B:$B,0)),INDEX(LOAI_THE!$A:$A,MATCH(AU146,LOAI_THE!$B:$B,0)),"")</f>
        <v/>
      </c>
      <c r="AU146" s="48"/>
      <c r="AV146" s="15"/>
      <c r="AW146" s="15"/>
      <c r="AX146" s="15"/>
      <c r="AY146" s="48"/>
    </row>
    <row r="147" spans="1:51" x14ac:dyDescent="0.3">
      <c r="A147" s="13" t="s">
        <v>345</v>
      </c>
      <c r="B147" s="48"/>
      <c r="C147" s="48"/>
      <c r="D147" s="48"/>
      <c r="E147" s="48"/>
      <c r="F147" s="48"/>
      <c r="G147" s="58" t="str">
        <f>IF(ISNUMBER(MATCH(H147,GIOI_TINH!$B:$B,0)),INDEX(GIOI_TINH!$A:$A,MATCH(H147,GIOI_TINH!$B:$B,0)),"")</f>
        <v/>
      </c>
      <c r="H147" s="15"/>
      <c r="I147" s="15"/>
      <c r="J147" s="58" t="str">
        <f>IF(ISNUMBER(MATCH(K147,QUOC_GIA!$B:$B,0)),INDEX(QUOC_GIA!$A:$A,MATCH(K147,QUOC_GIA!$B:$B,0)),"")</f>
        <v/>
      </c>
      <c r="K147" s="50"/>
      <c r="L147" s="15"/>
      <c r="M147" s="58" t="str">
        <f>IF(ISNUMBER(MATCH(N147,LOAI_THUE!$B:$B,0)),INDEX(LOAI_THUE!$A:$A,MATCH(N147,LOAI_THUE!$B:$B,0)),"")</f>
        <v/>
      </c>
      <c r="N147" s="50"/>
      <c r="O147" s="58" t="str">
        <f>IF(ISNUMBER(MATCH(P147,CHI_TIET_LOAI_KH!$B:$B,0)),INDEX(CHI_TIET_LOAI_KH!$A:$A,MATCH(P147,CHI_TIET_LOAI_KH!$B:$B,0)),"")</f>
        <v/>
      </c>
      <c r="P147" s="50"/>
      <c r="Q147" s="58" t="str">
        <f>IF(ISNUMBER(MATCH(R147,NGHE_NGHIEP!$B:$B,0)),INDEX(NGHE_NGHIEP!$A:$A,MATCH(R147,NGHE_NGHIEP!$B:$B,0)),"")</f>
        <v/>
      </c>
      <c r="R147" s="50"/>
      <c r="S147" s="58" t="str">
        <f>IF(ISNUMBER(MATCH(T147,LOAI_ID!$B:$B,0)),INDEX(LOAI_ID!$A:$A,MATCH(T147,LOAI_ID!$B:$B,0)),"")</f>
        <v/>
      </c>
      <c r="T147" s="16"/>
      <c r="U147" s="48"/>
      <c r="V147" s="48"/>
      <c r="W147" s="17"/>
      <c r="X147" s="17"/>
      <c r="Y147" s="15"/>
      <c r="Z147" s="15"/>
      <c r="AA147" s="59" t="str">
        <f>IFERROR(INDEX(NOI_CAP!$B:$B,MATCH(Z147,NOI_CAP!$A:$A,0)),"")</f>
        <v/>
      </c>
      <c r="AB147" s="58" t="str">
        <f>IF(ISNUMBER(MATCH(AC147,LOAI_DIA_CHI!$B:$B,0)),INDEX(LOAI_DIA_CHI!$A:$A,MATCH(AC147,LOAI_DIA_CHI!$B:$B,0)),"")</f>
        <v/>
      </c>
      <c r="AC147" s="16"/>
      <c r="AD147" s="58" t="str">
        <f>IF(ISNUMBER(MATCH(AE147,QUOC_GIA!$B:$B,0)),INDEX(QUOC_GIA!$A:$A,MATCH(AE147,QUOC_GIA!$B:$B,0)),"")</f>
        <v/>
      </c>
      <c r="AE147" s="16"/>
      <c r="AF147" s="48"/>
      <c r="AG147" s="59" t="str">
        <f>IFERROR(INDEX(TINH_TP!$B:$B,MATCH(AF147,TINH_TP!$A:$A,0)),"")</f>
        <v/>
      </c>
      <c r="AH147" s="50"/>
      <c r="AI147" s="59" t="str">
        <f>IF(OR(AF147="",AH147=""),"",IF(COUNTIFS(PHUONG_XA!$A$2:$A$3323,AH147,PHUONG_XA!$C$2:$C$3323,AF147)=0,"",INDEX(PHUONG_XA!$B$2:$B$3323,SUMPRODUCT((PHUONG_XA!$A$2:$A$3323&amp;""=AH147&amp;"")*(PHUONG_XA!$C$2:$C$3323&amp;""=AF147&amp;"")*(ROW(PHUONG_XA!$A$2:$A$3323)-ROW(PHUONG_XA!$A$2)+1)))))</f>
        <v/>
      </c>
      <c r="AJ147" s="14"/>
      <c r="AK147" s="14"/>
      <c r="AL147" s="57" t="str">
        <f t="shared" si="3"/>
        <v/>
      </c>
      <c r="AM147" s="14"/>
      <c r="AN147" s="15"/>
      <c r="AO147" s="15"/>
      <c r="AP147" s="48"/>
      <c r="AQ147" s="15"/>
      <c r="AR147" s="15"/>
      <c r="AS147" s="15"/>
      <c r="AT147" s="60" t="str">
        <f>IF(ISNUMBER(MATCH(AU147,LOAI_THE!$B:$B,0)),INDEX(LOAI_THE!$A:$A,MATCH(AU147,LOAI_THE!$B:$B,0)),"")</f>
        <v/>
      </c>
      <c r="AU147" s="48"/>
      <c r="AV147" s="15"/>
      <c r="AW147" s="15"/>
      <c r="AX147" s="15"/>
      <c r="AY147" s="48"/>
    </row>
    <row r="148" spans="1:51" x14ac:dyDescent="0.3">
      <c r="A148" s="13" t="s">
        <v>347</v>
      </c>
      <c r="B148" s="48"/>
      <c r="C148" s="48"/>
      <c r="D148" s="48"/>
      <c r="E148" s="48"/>
      <c r="F148" s="48"/>
      <c r="G148" s="58" t="str">
        <f>IF(ISNUMBER(MATCH(H148,GIOI_TINH!$B:$B,0)),INDEX(GIOI_TINH!$A:$A,MATCH(H148,GIOI_TINH!$B:$B,0)),"")</f>
        <v/>
      </c>
      <c r="H148" s="15"/>
      <c r="I148" s="15"/>
      <c r="J148" s="58" t="str">
        <f>IF(ISNUMBER(MATCH(K148,QUOC_GIA!$B:$B,0)),INDEX(QUOC_GIA!$A:$A,MATCH(K148,QUOC_GIA!$B:$B,0)),"")</f>
        <v/>
      </c>
      <c r="K148" s="50"/>
      <c r="L148" s="15"/>
      <c r="M148" s="58" t="str">
        <f>IF(ISNUMBER(MATCH(N148,LOAI_THUE!$B:$B,0)),INDEX(LOAI_THUE!$A:$A,MATCH(N148,LOAI_THUE!$B:$B,0)),"")</f>
        <v/>
      </c>
      <c r="N148" s="50"/>
      <c r="O148" s="58" t="str">
        <f>IF(ISNUMBER(MATCH(P148,CHI_TIET_LOAI_KH!$B:$B,0)),INDEX(CHI_TIET_LOAI_KH!$A:$A,MATCH(P148,CHI_TIET_LOAI_KH!$B:$B,0)),"")</f>
        <v/>
      </c>
      <c r="P148" s="50"/>
      <c r="Q148" s="58" t="str">
        <f>IF(ISNUMBER(MATCH(R148,NGHE_NGHIEP!$B:$B,0)),INDEX(NGHE_NGHIEP!$A:$A,MATCH(R148,NGHE_NGHIEP!$B:$B,0)),"")</f>
        <v/>
      </c>
      <c r="R148" s="50"/>
      <c r="S148" s="58" t="str">
        <f>IF(ISNUMBER(MATCH(T148,LOAI_ID!$B:$B,0)),INDEX(LOAI_ID!$A:$A,MATCH(T148,LOAI_ID!$B:$B,0)),"")</f>
        <v/>
      </c>
      <c r="T148" s="16"/>
      <c r="U148" s="48"/>
      <c r="V148" s="48"/>
      <c r="W148" s="17"/>
      <c r="X148" s="17"/>
      <c r="Y148" s="15"/>
      <c r="Z148" s="15"/>
      <c r="AA148" s="59" t="str">
        <f>IFERROR(INDEX(NOI_CAP!$B:$B,MATCH(Z148,NOI_CAP!$A:$A,0)),"")</f>
        <v/>
      </c>
      <c r="AB148" s="58" t="str">
        <f>IF(ISNUMBER(MATCH(AC148,LOAI_DIA_CHI!$B:$B,0)),INDEX(LOAI_DIA_CHI!$A:$A,MATCH(AC148,LOAI_DIA_CHI!$B:$B,0)),"")</f>
        <v/>
      </c>
      <c r="AC148" s="16"/>
      <c r="AD148" s="58" t="str">
        <f>IF(ISNUMBER(MATCH(AE148,QUOC_GIA!$B:$B,0)),INDEX(QUOC_GIA!$A:$A,MATCH(AE148,QUOC_GIA!$B:$B,0)),"")</f>
        <v/>
      </c>
      <c r="AE148" s="16"/>
      <c r="AF148" s="48"/>
      <c r="AG148" s="59" t="str">
        <f>IFERROR(INDEX(TINH_TP!$B:$B,MATCH(AF148,TINH_TP!$A:$A,0)),"")</f>
        <v/>
      </c>
      <c r="AH148" s="50"/>
      <c r="AI148" s="59" t="str">
        <f>IF(OR(AF148="",AH148=""),"",IF(COUNTIFS(PHUONG_XA!$A$2:$A$3323,AH148,PHUONG_XA!$C$2:$C$3323,AF148)=0,"",INDEX(PHUONG_XA!$B$2:$B$3323,SUMPRODUCT((PHUONG_XA!$A$2:$A$3323&amp;""=AH148&amp;"")*(PHUONG_XA!$C$2:$C$3323&amp;""=AF148&amp;"")*(ROW(PHUONG_XA!$A$2:$A$3323)-ROW(PHUONG_XA!$A$2)+1)))))</f>
        <v/>
      </c>
      <c r="AJ148" s="14"/>
      <c r="AK148" s="14"/>
      <c r="AL148" s="57" t="str">
        <f t="shared" si="3"/>
        <v/>
      </c>
      <c r="AM148" s="14"/>
      <c r="AN148" s="15"/>
      <c r="AO148" s="15"/>
      <c r="AP148" s="48"/>
      <c r="AQ148" s="15"/>
      <c r="AR148" s="15"/>
      <c r="AS148" s="15"/>
      <c r="AT148" s="60" t="str">
        <f>IF(ISNUMBER(MATCH(AU148,LOAI_THE!$B:$B,0)),INDEX(LOAI_THE!$A:$A,MATCH(AU148,LOAI_THE!$B:$B,0)),"")</f>
        <v/>
      </c>
      <c r="AU148" s="48"/>
      <c r="AV148" s="15"/>
      <c r="AW148" s="15"/>
      <c r="AX148" s="15"/>
      <c r="AY148" s="48"/>
    </row>
    <row r="149" spans="1:51" x14ac:dyDescent="0.3">
      <c r="A149" s="13" t="s">
        <v>349</v>
      </c>
      <c r="B149" s="48"/>
      <c r="C149" s="48"/>
      <c r="D149" s="48"/>
      <c r="E149" s="48"/>
      <c r="F149" s="48"/>
      <c r="G149" s="58" t="str">
        <f>IF(ISNUMBER(MATCH(H149,GIOI_TINH!$B:$B,0)),INDEX(GIOI_TINH!$A:$A,MATCH(H149,GIOI_TINH!$B:$B,0)),"")</f>
        <v/>
      </c>
      <c r="H149" s="15"/>
      <c r="I149" s="15"/>
      <c r="J149" s="58" t="str">
        <f>IF(ISNUMBER(MATCH(K149,QUOC_GIA!$B:$B,0)),INDEX(QUOC_GIA!$A:$A,MATCH(K149,QUOC_GIA!$B:$B,0)),"")</f>
        <v/>
      </c>
      <c r="K149" s="50"/>
      <c r="L149" s="15"/>
      <c r="M149" s="58" t="str">
        <f>IF(ISNUMBER(MATCH(N149,LOAI_THUE!$B:$B,0)),INDEX(LOAI_THUE!$A:$A,MATCH(N149,LOAI_THUE!$B:$B,0)),"")</f>
        <v/>
      </c>
      <c r="N149" s="50"/>
      <c r="O149" s="58" t="str">
        <f>IF(ISNUMBER(MATCH(P149,CHI_TIET_LOAI_KH!$B:$B,0)),INDEX(CHI_TIET_LOAI_KH!$A:$A,MATCH(P149,CHI_TIET_LOAI_KH!$B:$B,0)),"")</f>
        <v/>
      </c>
      <c r="P149" s="50"/>
      <c r="Q149" s="58" t="str">
        <f>IF(ISNUMBER(MATCH(R149,NGHE_NGHIEP!$B:$B,0)),INDEX(NGHE_NGHIEP!$A:$A,MATCH(R149,NGHE_NGHIEP!$B:$B,0)),"")</f>
        <v/>
      </c>
      <c r="R149" s="50"/>
      <c r="S149" s="58" t="str">
        <f>IF(ISNUMBER(MATCH(T149,LOAI_ID!$B:$B,0)),INDEX(LOAI_ID!$A:$A,MATCH(T149,LOAI_ID!$B:$B,0)),"")</f>
        <v/>
      </c>
      <c r="T149" s="16"/>
      <c r="U149" s="48"/>
      <c r="V149" s="48"/>
      <c r="W149" s="17"/>
      <c r="X149" s="17"/>
      <c r="Y149" s="15"/>
      <c r="Z149" s="15"/>
      <c r="AA149" s="59" t="str">
        <f>IFERROR(INDEX(NOI_CAP!$B:$B,MATCH(Z149,NOI_CAP!$A:$A,0)),"")</f>
        <v/>
      </c>
      <c r="AB149" s="58" t="str">
        <f>IF(ISNUMBER(MATCH(AC149,LOAI_DIA_CHI!$B:$B,0)),INDEX(LOAI_DIA_CHI!$A:$A,MATCH(AC149,LOAI_DIA_CHI!$B:$B,0)),"")</f>
        <v/>
      </c>
      <c r="AC149" s="16"/>
      <c r="AD149" s="58" t="str">
        <f>IF(ISNUMBER(MATCH(AE149,QUOC_GIA!$B:$B,0)),INDEX(QUOC_GIA!$A:$A,MATCH(AE149,QUOC_GIA!$B:$B,0)),"")</f>
        <v/>
      </c>
      <c r="AE149" s="16"/>
      <c r="AF149" s="48"/>
      <c r="AG149" s="59" t="str">
        <f>IFERROR(INDEX(TINH_TP!$B:$B,MATCH(AF149,TINH_TP!$A:$A,0)),"")</f>
        <v/>
      </c>
      <c r="AH149" s="50"/>
      <c r="AI149" s="59" t="str">
        <f>IF(OR(AF149="",AH149=""),"",IF(COUNTIFS(PHUONG_XA!$A$2:$A$3323,AH149,PHUONG_XA!$C$2:$C$3323,AF149)=0,"",INDEX(PHUONG_XA!$B$2:$B$3323,SUMPRODUCT((PHUONG_XA!$A$2:$A$3323&amp;""=AH149&amp;"")*(PHUONG_XA!$C$2:$C$3323&amp;""=AF149&amp;"")*(ROW(PHUONG_XA!$A$2:$A$3323)-ROW(PHUONG_XA!$A$2)+1)))))</f>
        <v/>
      </c>
      <c r="AJ149" s="14"/>
      <c r="AK149" s="14"/>
      <c r="AL149" s="57" t="str">
        <f t="shared" si="3"/>
        <v/>
      </c>
      <c r="AM149" s="14"/>
      <c r="AN149" s="15"/>
      <c r="AO149" s="15"/>
      <c r="AP149" s="48"/>
      <c r="AQ149" s="15"/>
      <c r="AR149" s="15"/>
      <c r="AS149" s="15"/>
      <c r="AT149" s="60" t="str">
        <f>IF(ISNUMBER(MATCH(AU149,LOAI_THE!$B:$B,0)),INDEX(LOAI_THE!$A:$A,MATCH(AU149,LOAI_THE!$B:$B,0)),"")</f>
        <v/>
      </c>
      <c r="AU149" s="48"/>
      <c r="AV149" s="15"/>
      <c r="AW149" s="15"/>
      <c r="AX149" s="15"/>
      <c r="AY149" s="48"/>
    </row>
    <row r="150" spans="1:51" x14ac:dyDescent="0.3">
      <c r="A150" s="13" t="s">
        <v>351</v>
      </c>
      <c r="B150" s="48"/>
      <c r="C150" s="48"/>
      <c r="D150" s="48"/>
      <c r="E150" s="48"/>
      <c r="F150" s="48"/>
      <c r="G150" s="58" t="str">
        <f>IF(ISNUMBER(MATCH(H150,GIOI_TINH!$B:$B,0)),INDEX(GIOI_TINH!$A:$A,MATCH(H150,GIOI_TINH!$B:$B,0)),"")</f>
        <v/>
      </c>
      <c r="H150" s="15"/>
      <c r="I150" s="15"/>
      <c r="J150" s="58" t="str">
        <f>IF(ISNUMBER(MATCH(K150,QUOC_GIA!$B:$B,0)),INDEX(QUOC_GIA!$A:$A,MATCH(K150,QUOC_GIA!$B:$B,0)),"")</f>
        <v/>
      </c>
      <c r="K150" s="50"/>
      <c r="L150" s="15"/>
      <c r="M150" s="58" t="str">
        <f>IF(ISNUMBER(MATCH(N150,LOAI_THUE!$B:$B,0)),INDEX(LOAI_THUE!$A:$A,MATCH(N150,LOAI_THUE!$B:$B,0)),"")</f>
        <v/>
      </c>
      <c r="N150" s="50"/>
      <c r="O150" s="58" t="str">
        <f>IF(ISNUMBER(MATCH(P150,CHI_TIET_LOAI_KH!$B:$B,0)),INDEX(CHI_TIET_LOAI_KH!$A:$A,MATCH(P150,CHI_TIET_LOAI_KH!$B:$B,0)),"")</f>
        <v/>
      </c>
      <c r="P150" s="50"/>
      <c r="Q150" s="58" t="str">
        <f>IF(ISNUMBER(MATCH(R150,NGHE_NGHIEP!$B:$B,0)),INDEX(NGHE_NGHIEP!$A:$A,MATCH(R150,NGHE_NGHIEP!$B:$B,0)),"")</f>
        <v/>
      </c>
      <c r="R150" s="50"/>
      <c r="S150" s="58" t="str">
        <f>IF(ISNUMBER(MATCH(T150,LOAI_ID!$B:$B,0)),INDEX(LOAI_ID!$A:$A,MATCH(T150,LOAI_ID!$B:$B,0)),"")</f>
        <v/>
      </c>
      <c r="T150" s="16"/>
      <c r="U150" s="48"/>
      <c r="V150" s="48"/>
      <c r="W150" s="17"/>
      <c r="X150" s="17"/>
      <c r="Y150" s="15"/>
      <c r="Z150" s="15"/>
      <c r="AA150" s="59" t="str">
        <f>IFERROR(INDEX(NOI_CAP!$B:$B,MATCH(Z150,NOI_CAP!$A:$A,0)),"")</f>
        <v/>
      </c>
      <c r="AB150" s="58" t="str">
        <f>IF(ISNUMBER(MATCH(AC150,LOAI_DIA_CHI!$B:$B,0)),INDEX(LOAI_DIA_CHI!$A:$A,MATCH(AC150,LOAI_DIA_CHI!$B:$B,0)),"")</f>
        <v/>
      </c>
      <c r="AC150" s="16"/>
      <c r="AD150" s="58" t="str">
        <f>IF(ISNUMBER(MATCH(AE150,QUOC_GIA!$B:$B,0)),INDEX(QUOC_GIA!$A:$A,MATCH(AE150,QUOC_GIA!$B:$B,0)),"")</f>
        <v/>
      </c>
      <c r="AE150" s="16"/>
      <c r="AF150" s="48"/>
      <c r="AG150" s="59" t="str">
        <f>IFERROR(INDEX(TINH_TP!$B:$B,MATCH(AF150,TINH_TP!$A:$A,0)),"")</f>
        <v/>
      </c>
      <c r="AH150" s="50"/>
      <c r="AI150" s="59" t="str">
        <f>IF(OR(AF150="",AH150=""),"",IF(COUNTIFS(PHUONG_XA!$A$2:$A$3323,AH150,PHUONG_XA!$C$2:$C$3323,AF150)=0,"",INDEX(PHUONG_XA!$B$2:$B$3323,SUMPRODUCT((PHUONG_XA!$A$2:$A$3323&amp;""=AH150&amp;"")*(PHUONG_XA!$C$2:$C$3323&amp;""=AF150&amp;"")*(ROW(PHUONG_XA!$A$2:$A$3323)-ROW(PHUONG_XA!$A$2)+1)))))</f>
        <v/>
      </c>
      <c r="AJ150" s="14"/>
      <c r="AK150" s="14"/>
      <c r="AL150" s="57" t="str">
        <f t="shared" si="3"/>
        <v/>
      </c>
      <c r="AM150" s="14"/>
      <c r="AN150" s="15"/>
      <c r="AO150" s="15"/>
      <c r="AP150" s="48"/>
      <c r="AQ150" s="15"/>
      <c r="AR150" s="15"/>
      <c r="AS150" s="15"/>
      <c r="AT150" s="60" t="str">
        <f>IF(ISNUMBER(MATCH(AU150,LOAI_THE!$B:$B,0)),INDEX(LOAI_THE!$A:$A,MATCH(AU150,LOAI_THE!$B:$B,0)),"")</f>
        <v/>
      </c>
      <c r="AU150" s="48"/>
      <c r="AV150" s="15"/>
      <c r="AW150" s="15"/>
      <c r="AX150" s="15"/>
      <c r="AY150" s="48"/>
    </row>
    <row r="151" spans="1:51" x14ac:dyDescent="0.3">
      <c r="A151" s="13" t="s">
        <v>353</v>
      </c>
      <c r="B151" s="48"/>
      <c r="C151" s="48"/>
      <c r="D151" s="48"/>
      <c r="E151" s="48"/>
      <c r="F151" s="48"/>
      <c r="G151" s="58" t="str">
        <f>IF(ISNUMBER(MATCH(H151,GIOI_TINH!$B:$B,0)),INDEX(GIOI_TINH!$A:$A,MATCH(H151,GIOI_TINH!$B:$B,0)),"")</f>
        <v/>
      </c>
      <c r="H151" s="15"/>
      <c r="I151" s="15"/>
      <c r="J151" s="58" t="str">
        <f>IF(ISNUMBER(MATCH(K151,QUOC_GIA!$B:$B,0)),INDEX(QUOC_GIA!$A:$A,MATCH(K151,QUOC_GIA!$B:$B,0)),"")</f>
        <v/>
      </c>
      <c r="K151" s="50"/>
      <c r="L151" s="15"/>
      <c r="M151" s="58" t="str">
        <f>IF(ISNUMBER(MATCH(N151,LOAI_THUE!$B:$B,0)),INDEX(LOAI_THUE!$A:$A,MATCH(N151,LOAI_THUE!$B:$B,0)),"")</f>
        <v/>
      </c>
      <c r="N151" s="50"/>
      <c r="O151" s="58" t="str">
        <f>IF(ISNUMBER(MATCH(P151,CHI_TIET_LOAI_KH!$B:$B,0)),INDEX(CHI_TIET_LOAI_KH!$A:$A,MATCH(P151,CHI_TIET_LOAI_KH!$B:$B,0)),"")</f>
        <v/>
      </c>
      <c r="P151" s="50"/>
      <c r="Q151" s="58" t="str">
        <f>IF(ISNUMBER(MATCH(R151,NGHE_NGHIEP!$B:$B,0)),INDEX(NGHE_NGHIEP!$A:$A,MATCH(R151,NGHE_NGHIEP!$B:$B,0)),"")</f>
        <v/>
      </c>
      <c r="R151" s="50"/>
      <c r="S151" s="58" t="str">
        <f>IF(ISNUMBER(MATCH(T151,LOAI_ID!$B:$B,0)),INDEX(LOAI_ID!$A:$A,MATCH(T151,LOAI_ID!$B:$B,0)),"")</f>
        <v/>
      </c>
      <c r="T151" s="16"/>
      <c r="U151" s="48"/>
      <c r="V151" s="48"/>
      <c r="W151" s="17"/>
      <c r="X151" s="17"/>
      <c r="Y151" s="15"/>
      <c r="Z151" s="15"/>
      <c r="AA151" s="59" t="str">
        <f>IFERROR(INDEX(NOI_CAP!$B:$B,MATCH(Z151,NOI_CAP!$A:$A,0)),"")</f>
        <v/>
      </c>
      <c r="AB151" s="58" t="str">
        <f>IF(ISNUMBER(MATCH(AC151,LOAI_DIA_CHI!$B:$B,0)),INDEX(LOAI_DIA_CHI!$A:$A,MATCH(AC151,LOAI_DIA_CHI!$B:$B,0)),"")</f>
        <v/>
      </c>
      <c r="AC151" s="16"/>
      <c r="AD151" s="58" t="str">
        <f>IF(ISNUMBER(MATCH(AE151,QUOC_GIA!$B:$B,0)),INDEX(QUOC_GIA!$A:$A,MATCH(AE151,QUOC_GIA!$B:$B,0)),"")</f>
        <v/>
      </c>
      <c r="AE151" s="16"/>
      <c r="AF151" s="48"/>
      <c r="AG151" s="59" t="str">
        <f>IFERROR(INDEX(TINH_TP!$B:$B,MATCH(AF151,TINH_TP!$A:$A,0)),"")</f>
        <v/>
      </c>
      <c r="AH151" s="50"/>
      <c r="AI151" s="59" t="str">
        <f>IF(OR(AF151="",AH151=""),"",IF(COUNTIFS(PHUONG_XA!$A$2:$A$3323,AH151,PHUONG_XA!$C$2:$C$3323,AF151)=0,"",INDEX(PHUONG_XA!$B$2:$B$3323,SUMPRODUCT((PHUONG_XA!$A$2:$A$3323&amp;""=AH151&amp;"")*(PHUONG_XA!$C$2:$C$3323&amp;""=AF151&amp;"")*(ROW(PHUONG_XA!$A$2:$A$3323)-ROW(PHUONG_XA!$A$2)+1)))))</f>
        <v/>
      </c>
      <c r="AJ151" s="14"/>
      <c r="AK151" s="14"/>
      <c r="AL151" s="57" t="str">
        <f t="shared" si="3"/>
        <v/>
      </c>
      <c r="AM151" s="14"/>
      <c r="AN151" s="15"/>
      <c r="AO151" s="15"/>
      <c r="AP151" s="48"/>
      <c r="AQ151" s="15"/>
      <c r="AR151" s="15"/>
      <c r="AS151" s="15"/>
      <c r="AT151" s="60" t="str">
        <f>IF(ISNUMBER(MATCH(AU151,LOAI_THE!$B:$B,0)),INDEX(LOAI_THE!$A:$A,MATCH(AU151,LOAI_THE!$B:$B,0)),"")</f>
        <v/>
      </c>
      <c r="AU151" s="48"/>
      <c r="AV151" s="15"/>
      <c r="AW151" s="15"/>
      <c r="AX151" s="15"/>
      <c r="AY151" s="48"/>
    </row>
    <row r="152" spans="1:51" x14ac:dyDescent="0.3">
      <c r="A152" s="13" t="s">
        <v>355</v>
      </c>
      <c r="B152" s="48"/>
      <c r="C152" s="48"/>
      <c r="D152" s="48"/>
      <c r="E152" s="48"/>
      <c r="F152" s="48"/>
      <c r="G152" s="58" t="str">
        <f>IF(ISNUMBER(MATCH(H152,GIOI_TINH!$B:$B,0)),INDEX(GIOI_TINH!$A:$A,MATCH(H152,GIOI_TINH!$B:$B,0)),"")</f>
        <v/>
      </c>
      <c r="H152" s="15"/>
      <c r="I152" s="15"/>
      <c r="J152" s="58" t="str">
        <f>IF(ISNUMBER(MATCH(K152,QUOC_GIA!$B:$B,0)),INDEX(QUOC_GIA!$A:$A,MATCH(K152,QUOC_GIA!$B:$B,0)),"")</f>
        <v/>
      </c>
      <c r="K152" s="50"/>
      <c r="L152" s="15"/>
      <c r="M152" s="58" t="str">
        <f>IF(ISNUMBER(MATCH(N152,LOAI_THUE!$B:$B,0)),INDEX(LOAI_THUE!$A:$A,MATCH(N152,LOAI_THUE!$B:$B,0)),"")</f>
        <v/>
      </c>
      <c r="N152" s="50"/>
      <c r="O152" s="58" t="str">
        <f>IF(ISNUMBER(MATCH(P152,CHI_TIET_LOAI_KH!$B:$B,0)),INDEX(CHI_TIET_LOAI_KH!$A:$A,MATCH(P152,CHI_TIET_LOAI_KH!$B:$B,0)),"")</f>
        <v/>
      </c>
      <c r="P152" s="50"/>
      <c r="Q152" s="58" t="str">
        <f>IF(ISNUMBER(MATCH(R152,NGHE_NGHIEP!$B:$B,0)),INDEX(NGHE_NGHIEP!$A:$A,MATCH(R152,NGHE_NGHIEP!$B:$B,0)),"")</f>
        <v/>
      </c>
      <c r="R152" s="50"/>
      <c r="S152" s="58" t="str">
        <f>IF(ISNUMBER(MATCH(T152,LOAI_ID!$B:$B,0)),INDEX(LOAI_ID!$A:$A,MATCH(T152,LOAI_ID!$B:$B,0)),"")</f>
        <v/>
      </c>
      <c r="T152" s="16"/>
      <c r="U152" s="48"/>
      <c r="V152" s="48"/>
      <c r="W152" s="17"/>
      <c r="X152" s="17"/>
      <c r="Y152" s="15"/>
      <c r="Z152" s="15"/>
      <c r="AA152" s="59" t="str">
        <f>IFERROR(INDEX(NOI_CAP!$B:$B,MATCH(Z152,NOI_CAP!$A:$A,0)),"")</f>
        <v/>
      </c>
      <c r="AB152" s="58" t="str">
        <f>IF(ISNUMBER(MATCH(AC152,LOAI_DIA_CHI!$B:$B,0)),INDEX(LOAI_DIA_CHI!$A:$A,MATCH(AC152,LOAI_DIA_CHI!$B:$B,0)),"")</f>
        <v/>
      </c>
      <c r="AC152" s="16"/>
      <c r="AD152" s="58" t="str">
        <f>IF(ISNUMBER(MATCH(AE152,QUOC_GIA!$B:$B,0)),INDEX(QUOC_GIA!$A:$A,MATCH(AE152,QUOC_GIA!$B:$B,0)),"")</f>
        <v/>
      </c>
      <c r="AE152" s="16"/>
      <c r="AF152" s="48"/>
      <c r="AG152" s="59" t="str">
        <f>IFERROR(INDEX(TINH_TP!$B:$B,MATCH(AF152,TINH_TP!$A:$A,0)),"")</f>
        <v/>
      </c>
      <c r="AH152" s="50"/>
      <c r="AI152" s="59" t="str">
        <f>IF(OR(AF152="",AH152=""),"",IF(COUNTIFS(PHUONG_XA!$A$2:$A$3323,AH152,PHUONG_XA!$C$2:$C$3323,AF152)=0,"",INDEX(PHUONG_XA!$B$2:$B$3323,SUMPRODUCT((PHUONG_XA!$A$2:$A$3323&amp;""=AH152&amp;"")*(PHUONG_XA!$C$2:$C$3323&amp;""=AF152&amp;"")*(ROW(PHUONG_XA!$A$2:$A$3323)-ROW(PHUONG_XA!$A$2)+1)))))</f>
        <v/>
      </c>
      <c r="AJ152" s="14"/>
      <c r="AK152" s="14"/>
      <c r="AL152" s="57" t="str">
        <f t="shared" si="3"/>
        <v/>
      </c>
      <c r="AM152" s="14"/>
      <c r="AN152" s="15"/>
      <c r="AO152" s="15"/>
      <c r="AP152" s="48"/>
      <c r="AQ152" s="15"/>
      <c r="AR152" s="15"/>
      <c r="AS152" s="15"/>
      <c r="AT152" s="60" t="str">
        <f>IF(ISNUMBER(MATCH(AU152,LOAI_THE!$B:$B,0)),INDEX(LOAI_THE!$A:$A,MATCH(AU152,LOAI_THE!$B:$B,0)),"")</f>
        <v/>
      </c>
      <c r="AU152" s="48"/>
      <c r="AV152" s="15"/>
      <c r="AW152" s="15"/>
      <c r="AX152" s="15"/>
      <c r="AY152" s="48"/>
    </row>
    <row r="153" spans="1:51" x14ac:dyDescent="0.3">
      <c r="A153" s="13" t="s">
        <v>357</v>
      </c>
      <c r="B153" s="48"/>
      <c r="C153" s="48"/>
      <c r="D153" s="48"/>
      <c r="E153" s="48"/>
      <c r="F153" s="48"/>
      <c r="G153" s="58" t="str">
        <f>IF(ISNUMBER(MATCH(H153,GIOI_TINH!$B:$B,0)),INDEX(GIOI_TINH!$A:$A,MATCH(H153,GIOI_TINH!$B:$B,0)),"")</f>
        <v/>
      </c>
      <c r="H153" s="15"/>
      <c r="I153" s="15"/>
      <c r="J153" s="58" t="str">
        <f>IF(ISNUMBER(MATCH(K153,QUOC_GIA!$B:$B,0)),INDEX(QUOC_GIA!$A:$A,MATCH(K153,QUOC_GIA!$B:$B,0)),"")</f>
        <v/>
      </c>
      <c r="K153" s="50"/>
      <c r="L153" s="15"/>
      <c r="M153" s="58" t="str">
        <f>IF(ISNUMBER(MATCH(N153,LOAI_THUE!$B:$B,0)),INDEX(LOAI_THUE!$A:$A,MATCH(N153,LOAI_THUE!$B:$B,0)),"")</f>
        <v/>
      </c>
      <c r="N153" s="50"/>
      <c r="O153" s="58" t="str">
        <f>IF(ISNUMBER(MATCH(P153,CHI_TIET_LOAI_KH!$B:$B,0)),INDEX(CHI_TIET_LOAI_KH!$A:$A,MATCH(P153,CHI_TIET_LOAI_KH!$B:$B,0)),"")</f>
        <v/>
      </c>
      <c r="P153" s="50"/>
      <c r="Q153" s="58" t="str">
        <f>IF(ISNUMBER(MATCH(R153,NGHE_NGHIEP!$B:$B,0)),INDEX(NGHE_NGHIEP!$A:$A,MATCH(R153,NGHE_NGHIEP!$B:$B,0)),"")</f>
        <v/>
      </c>
      <c r="R153" s="50"/>
      <c r="S153" s="58" t="str">
        <f>IF(ISNUMBER(MATCH(T153,LOAI_ID!$B:$B,0)),INDEX(LOAI_ID!$A:$A,MATCH(T153,LOAI_ID!$B:$B,0)),"")</f>
        <v/>
      </c>
      <c r="T153" s="16"/>
      <c r="U153" s="48"/>
      <c r="V153" s="48"/>
      <c r="W153" s="17"/>
      <c r="X153" s="17"/>
      <c r="Y153" s="15"/>
      <c r="Z153" s="15"/>
      <c r="AA153" s="59" t="str">
        <f>IFERROR(INDEX(NOI_CAP!$B:$B,MATCH(Z153,NOI_CAP!$A:$A,0)),"")</f>
        <v/>
      </c>
      <c r="AB153" s="58" t="str">
        <f>IF(ISNUMBER(MATCH(AC153,LOAI_DIA_CHI!$B:$B,0)),INDEX(LOAI_DIA_CHI!$A:$A,MATCH(AC153,LOAI_DIA_CHI!$B:$B,0)),"")</f>
        <v/>
      </c>
      <c r="AC153" s="16"/>
      <c r="AD153" s="58" t="str">
        <f>IF(ISNUMBER(MATCH(AE153,QUOC_GIA!$B:$B,0)),INDEX(QUOC_GIA!$A:$A,MATCH(AE153,QUOC_GIA!$B:$B,0)),"")</f>
        <v/>
      </c>
      <c r="AE153" s="16"/>
      <c r="AF153" s="48"/>
      <c r="AG153" s="59" t="str">
        <f>IFERROR(INDEX(TINH_TP!$B:$B,MATCH(AF153,TINH_TP!$A:$A,0)),"")</f>
        <v/>
      </c>
      <c r="AH153" s="50"/>
      <c r="AI153" s="59" t="str">
        <f>IF(OR(AF153="",AH153=""),"",IF(COUNTIFS(PHUONG_XA!$A$2:$A$3323,AH153,PHUONG_XA!$C$2:$C$3323,AF153)=0,"",INDEX(PHUONG_XA!$B$2:$B$3323,SUMPRODUCT((PHUONG_XA!$A$2:$A$3323&amp;""=AH153&amp;"")*(PHUONG_XA!$C$2:$C$3323&amp;""=AF153&amp;"")*(ROW(PHUONG_XA!$A$2:$A$3323)-ROW(PHUONG_XA!$A$2)+1)))))</f>
        <v/>
      </c>
      <c r="AJ153" s="14"/>
      <c r="AK153" s="14"/>
      <c r="AL153" s="57" t="str">
        <f t="shared" si="3"/>
        <v/>
      </c>
      <c r="AM153" s="14"/>
      <c r="AN153" s="15"/>
      <c r="AO153" s="15"/>
      <c r="AP153" s="48"/>
      <c r="AQ153" s="15"/>
      <c r="AR153" s="15"/>
      <c r="AS153" s="15"/>
      <c r="AT153" s="60" t="str">
        <f>IF(ISNUMBER(MATCH(AU153,LOAI_THE!$B:$B,0)),INDEX(LOAI_THE!$A:$A,MATCH(AU153,LOAI_THE!$B:$B,0)),"")</f>
        <v/>
      </c>
      <c r="AU153" s="48"/>
      <c r="AV153" s="15"/>
      <c r="AW153" s="15"/>
      <c r="AX153" s="15"/>
      <c r="AY153" s="48"/>
    </row>
    <row r="154" spans="1:51" x14ac:dyDescent="0.3">
      <c r="A154" s="13" t="s">
        <v>359</v>
      </c>
      <c r="B154" s="48"/>
      <c r="C154" s="48"/>
      <c r="D154" s="48"/>
      <c r="E154" s="48"/>
      <c r="F154" s="48"/>
      <c r="G154" s="58" t="str">
        <f>IF(ISNUMBER(MATCH(H154,GIOI_TINH!$B:$B,0)),INDEX(GIOI_TINH!$A:$A,MATCH(H154,GIOI_TINH!$B:$B,0)),"")</f>
        <v/>
      </c>
      <c r="H154" s="15"/>
      <c r="I154" s="15"/>
      <c r="J154" s="58" t="str">
        <f>IF(ISNUMBER(MATCH(K154,QUOC_GIA!$B:$B,0)),INDEX(QUOC_GIA!$A:$A,MATCH(K154,QUOC_GIA!$B:$B,0)),"")</f>
        <v/>
      </c>
      <c r="K154" s="50"/>
      <c r="L154" s="15"/>
      <c r="M154" s="58" t="str">
        <f>IF(ISNUMBER(MATCH(N154,LOAI_THUE!$B:$B,0)),INDEX(LOAI_THUE!$A:$A,MATCH(N154,LOAI_THUE!$B:$B,0)),"")</f>
        <v/>
      </c>
      <c r="N154" s="50"/>
      <c r="O154" s="58" t="str">
        <f>IF(ISNUMBER(MATCH(P154,CHI_TIET_LOAI_KH!$B:$B,0)),INDEX(CHI_TIET_LOAI_KH!$A:$A,MATCH(P154,CHI_TIET_LOAI_KH!$B:$B,0)),"")</f>
        <v/>
      </c>
      <c r="P154" s="50"/>
      <c r="Q154" s="58" t="str">
        <f>IF(ISNUMBER(MATCH(R154,NGHE_NGHIEP!$B:$B,0)),INDEX(NGHE_NGHIEP!$A:$A,MATCH(R154,NGHE_NGHIEP!$B:$B,0)),"")</f>
        <v/>
      </c>
      <c r="R154" s="50"/>
      <c r="S154" s="58" t="str">
        <f>IF(ISNUMBER(MATCH(T154,LOAI_ID!$B:$B,0)),INDEX(LOAI_ID!$A:$A,MATCH(T154,LOAI_ID!$B:$B,0)),"")</f>
        <v/>
      </c>
      <c r="T154" s="16"/>
      <c r="U154" s="48"/>
      <c r="V154" s="48"/>
      <c r="W154" s="17"/>
      <c r="X154" s="17"/>
      <c r="Y154" s="15"/>
      <c r="Z154" s="15"/>
      <c r="AA154" s="59" t="str">
        <f>IFERROR(INDEX(NOI_CAP!$B:$B,MATCH(Z154,NOI_CAP!$A:$A,0)),"")</f>
        <v/>
      </c>
      <c r="AB154" s="58" t="str">
        <f>IF(ISNUMBER(MATCH(AC154,LOAI_DIA_CHI!$B:$B,0)),INDEX(LOAI_DIA_CHI!$A:$A,MATCH(AC154,LOAI_DIA_CHI!$B:$B,0)),"")</f>
        <v/>
      </c>
      <c r="AC154" s="16"/>
      <c r="AD154" s="58" t="str">
        <f>IF(ISNUMBER(MATCH(AE154,QUOC_GIA!$B:$B,0)),INDEX(QUOC_GIA!$A:$A,MATCH(AE154,QUOC_GIA!$B:$B,0)),"")</f>
        <v/>
      </c>
      <c r="AE154" s="16"/>
      <c r="AF154" s="48"/>
      <c r="AG154" s="59" t="str">
        <f>IFERROR(INDEX(TINH_TP!$B:$B,MATCH(AF154,TINH_TP!$A:$A,0)),"")</f>
        <v/>
      </c>
      <c r="AH154" s="50"/>
      <c r="AI154" s="59" t="str">
        <f>IF(OR(AF154="",AH154=""),"",IF(COUNTIFS(PHUONG_XA!$A$2:$A$3323,AH154,PHUONG_XA!$C$2:$C$3323,AF154)=0,"",INDEX(PHUONG_XA!$B$2:$B$3323,SUMPRODUCT((PHUONG_XA!$A$2:$A$3323&amp;""=AH154&amp;"")*(PHUONG_XA!$C$2:$C$3323&amp;""=AF154&amp;"")*(ROW(PHUONG_XA!$A$2:$A$3323)-ROW(PHUONG_XA!$A$2)+1)))))</f>
        <v/>
      </c>
      <c r="AJ154" s="14"/>
      <c r="AK154" s="14"/>
      <c r="AL154" s="57" t="str">
        <f t="shared" si="3"/>
        <v/>
      </c>
      <c r="AM154" s="14"/>
      <c r="AN154" s="15"/>
      <c r="AO154" s="15"/>
      <c r="AP154" s="48"/>
      <c r="AQ154" s="15"/>
      <c r="AR154" s="15"/>
      <c r="AS154" s="15"/>
      <c r="AT154" s="60" t="str">
        <f>IF(ISNUMBER(MATCH(AU154,LOAI_THE!$B:$B,0)),INDEX(LOAI_THE!$A:$A,MATCH(AU154,LOAI_THE!$B:$B,0)),"")</f>
        <v/>
      </c>
      <c r="AU154" s="48"/>
      <c r="AV154" s="15"/>
      <c r="AW154" s="15"/>
      <c r="AX154" s="15"/>
      <c r="AY154" s="48"/>
    </row>
    <row r="155" spans="1:51" x14ac:dyDescent="0.3">
      <c r="A155" s="13" t="s">
        <v>361</v>
      </c>
      <c r="B155" s="48"/>
      <c r="C155" s="48"/>
      <c r="D155" s="48"/>
      <c r="E155" s="48"/>
      <c r="F155" s="48"/>
      <c r="G155" s="58" t="str">
        <f>IF(ISNUMBER(MATCH(H155,GIOI_TINH!$B:$B,0)),INDEX(GIOI_TINH!$A:$A,MATCH(H155,GIOI_TINH!$B:$B,0)),"")</f>
        <v/>
      </c>
      <c r="H155" s="15"/>
      <c r="I155" s="15"/>
      <c r="J155" s="58" t="str">
        <f>IF(ISNUMBER(MATCH(K155,QUOC_GIA!$B:$B,0)),INDEX(QUOC_GIA!$A:$A,MATCH(K155,QUOC_GIA!$B:$B,0)),"")</f>
        <v/>
      </c>
      <c r="K155" s="50"/>
      <c r="L155" s="15"/>
      <c r="M155" s="58" t="str">
        <f>IF(ISNUMBER(MATCH(N155,LOAI_THUE!$B:$B,0)),INDEX(LOAI_THUE!$A:$A,MATCH(N155,LOAI_THUE!$B:$B,0)),"")</f>
        <v/>
      </c>
      <c r="N155" s="50"/>
      <c r="O155" s="58" t="str">
        <f>IF(ISNUMBER(MATCH(P155,CHI_TIET_LOAI_KH!$B:$B,0)),INDEX(CHI_TIET_LOAI_KH!$A:$A,MATCH(P155,CHI_TIET_LOAI_KH!$B:$B,0)),"")</f>
        <v/>
      </c>
      <c r="P155" s="50"/>
      <c r="Q155" s="58" t="str">
        <f>IF(ISNUMBER(MATCH(R155,NGHE_NGHIEP!$B:$B,0)),INDEX(NGHE_NGHIEP!$A:$A,MATCH(R155,NGHE_NGHIEP!$B:$B,0)),"")</f>
        <v/>
      </c>
      <c r="R155" s="50"/>
      <c r="S155" s="58" t="str">
        <f>IF(ISNUMBER(MATCH(T155,LOAI_ID!$B:$B,0)),INDEX(LOAI_ID!$A:$A,MATCH(T155,LOAI_ID!$B:$B,0)),"")</f>
        <v/>
      </c>
      <c r="T155" s="16"/>
      <c r="U155" s="48"/>
      <c r="V155" s="48"/>
      <c r="W155" s="17"/>
      <c r="X155" s="17"/>
      <c r="Y155" s="15"/>
      <c r="Z155" s="15"/>
      <c r="AA155" s="59" t="str">
        <f>IFERROR(INDEX(NOI_CAP!$B:$B,MATCH(Z155,NOI_CAP!$A:$A,0)),"")</f>
        <v/>
      </c>
      <c r="AB155" s="58" t="str">
        <f>IF(ISNUMBER(MATCH(AC155,LOAI_DIA_CHI!$B:$B,0)),INDEX(LOAI_DIA_CHI!$A:$A,MATCH(AC155,LOAI_DIA_CHI!$B:$B,0)),"")</f>
        <v/>
      </c>
      <c r="AC155" s="16"/>
      <c r="AD155" s="58" t="str">
        <f>IF(ISNUMBER(MATCH(AE155,QUOC_GIA!$B:$B,0)),INDEX(QUOC_GIA!$A:$A,MATCH(AE155,QUOC_GIA!$B:$B,0)),"")</f>
        <v/>
      </c>
      <c r="AE155" s="16"/>
      <c r="AF155" s="48"/>
      <c r="AG155" s="59" t="str">
        <f>IFERROR(INDEX(TINH_TP!$B:$B,MATCH(AF155,TINH_TP!$A:$A,0)),"")</f>
        <v/>
      </c>
      <c r="AH155" s="50"/>
      <c r="AI155" s="59" t="str">
        <f>IF(OR(AF155="",AH155=""),"",IF(COUNTIFS(PHUONG_XA!$A$2:$A$3323,AH155,PHUONG_XA!$C$2:$C$3323,AF155)=0,"",INDEX(PHUONG_XA!$B$2:$B$3323,SUMPRODUCT((PHUONG_XA!$A$2:$A$3323&amp;""=AH155&amp;"")*(PHUONG_XA!$C$2:$C$3323&amp;""=AF155&amp;"")*(ROW(PHUONG_XA!$A$2:$A$3323)-ROW(PHUONG_XA!$A$2)+1)))))</f>
        <v/>
      </c>
      <c r="AJ155" s="14"/>
      <c r="AK155" s="14"/>
      <c r="AL155" s="57" t="str">
        <f t="shared" si="3"/>
        <v/>
      </c>
      <c r="AM155" s="14"/>
      <c r="AN155" s="15"/>
      <c r="AO155" s="15"/>
      <c r="AP155" s="48"/>
      <c r="AQ155" s="15"/>
      <c r="AR155" s="15"/>
      <c r="AS155" s="15"/>
      <c r="AT155" s="60" t="str">
        <f>IF(ISNUMBER(MATCH(AU155,LOAI_THE!$B:$B,0)),INDEX(LOAI_THE!$A:$A,MATCH(AU155,LOAI_THE!$B:$B,0)),"")</f>
        <v/>
      </c>
      <c r="AU155" s="48"/>
      <c r="AV155" s="15"/>
      <c r="AW155" s="15"/>
      <c r="AX155" s="15"/>
      <c r="AY155" s="48"/>
    </row>
    <row r="156" spans="1:51" x14ac:dyDescent="0.3">
      <c r="A156" s="13" t="s">
        <v>363</v>
      </c>
      <c r="B156" s="48"/>
      <c r="C156" s="48"/>
      <c r="D156" s="48"/>
      <c r="E156" s="48"/>
      <c r="F156" s="48"/>
      <c r="G156" s="58" t="str">
        <f>IF(ISNUMBER(MATCH(H156,GIOI_TINH!$B:$B,0)),INDEX(GIOI_TINH!$A:$A,MATCH(H156,GIOI_TINH!$B:$B,0)),"")</f>
        <v/>
      </c>
      <c r="H156" s="15"/>
      <c r="I156" s="15"/>
      <c r="J156" s="58" t="str">
        <f>IF(ISNUMBER(MATCH(K156,QUOC_GIA!$B:$B,0)),INDEX(QUOC_GIA!$A:$A,MATCH(K156,QUOC_GIA!$B:$B,0)),"")</f>
        <v/>
      </c>
      <c r="K156" s="50"/>
      <c r="L156" s="15"/>
      <c r="M156" s="58" t="str">
        <f>IF(ISNUMBER(MATCH(N156,LOAI_THUE!$B:$B,0)),INDEX(LOAI_THUE!$A:$A,MATCH(N156,LOAI_THUE!$B:$B,0)),"")</f>
        <v/>
      </c>
      <c r="N156" s="50"/>
      <c r="O156" s="58" t="str">
        <f>IF(ISNUMBER(MATCH(P156,CHI_TIET_LOAI_KH!$B:$B,0)),INDEX(CHI_TIET_LOAI_KH!$A:$A,MATCH(P156,CHI_TIET_LOAI_KH!$B:$B,0)),"")</f>
        <v/>
      </c>
      <c r="P156" s="50"/>
      <c r="Q156" s="58" t="str">
        <f>IF(ISNUMBER(MATCH(R156,NGHE_NGHIEP!$B:$B,0)),INDEX(NGHE_NGHIEP!$A:$A,MATCH(R156,NGHE_NGHIEP!$B:$B,0)),"")</f>
        <v/>
      </c>
      <c r="R156" s="50"/>
      <c r="S156" s="58" t="str">
        <f>IF(ISNUMBER(MATCH(T156,LOAI_ID!$B:$B,0)),INDEX(LOAI_ID!$A:$A,MATCH(T156,LOAI_ID!$B:$B,0)),"")</f>
        <v/>
      </c>
      <c r="T156" s="16"/>
      <c r="U156" s="48"/>
      <c r="V156" s="48"/>
      <c r="W156" s="17"/>
      <c r="X156" s="17"/>
      <c r="Y156" s="15"/>
      <c r="Z156" s="15"/>
      <c r="AA156" s="59" t="str">
        <f>IFERROR(INDEX(NOI_CAP!$B:$B,MATCH(Z156,NOI_CAP!$A:$A,0)),"")</f>
        <v/>
      </c>
      <c r="AB156" s="58" t="str">
        <f>IF(ISNUMBER(MATCH(AC156,LOAI_DIA_CHI!$B:$B,0)),INDEX(LOAI_DIA_CHI!$A:$A,MATCH(AC156,LOAI_DIA_CHI!$B:$B,0)),"")</f>
        <v/>
      </c>
      <c r="AC156" s="16"/>
      <c r="AD156" s="58" t="str">
        <f>IF(ISNUMBER(MATCH(AE156,QUOC_GIA!$B:$B,0)),INDEX(QUOC_GIA!$A:$A,MATCH(AE156,QUOC_GIA!$B:$B,0)),"")</f>
        <v/>
      </c>
      <c r="AE156" s="16"/>
      <c r="AF156" s="48"/>
      <c r="AG156" s="59" t="str">
        <f>IFERROR(INDEX(TINH_TP!$B:$B,MATCH(AF156,TINH_TP!$A:$A,0)),"")</f>
        <v/>
      </c>
      <c r="AH156" s="50"/>
      <c r="AI156" s="59" t="str">
        <f>IF(OR(AF156="",AH156=""),"",IF(COUNTIFS(PHUONG_XA!$A$2:$A$3323,AH156,PHUONG_XA!$C$2:$C$3323,AF156)=0,"",INDEX(PHUONG_XA!$B$2:$B$3323,SUMPRODUCT((PHUONG_XA!$A$2:$A$3323&amp;""=AH156&amp;"")*(PHUONG_XA!$C$2:$C$3323&amp;""=AF156&amp;"")*(ROW(PHUONG_XA!$A$2:$A$3323)-ROW(PHUONG_XA!$A$2)+1)))))</f>
        <v/>
      </c>
      <c r="AJ156" s="14"/>
      <c r="AK156" s="14"/>
      <c r="AL156" s="57" t="str">
        <f t="shared" si="3"/>
        <v/>
      </c>
      <c r="AM156" s="14"/>
      <c r="AN156" s="15"/>
      <c r="AO156" s="15"/>
      <c r="AP156" s="48"/>
      <c r="AQ156" s="15"/>
      <c r="AR156" s="15"/>
      <c r="AS156" s="15"/>
      <c r="AT156" s="60" t="str">
        <f>IF(ISNUMBER(MATCH(AU156,LOAI_THE!$B:$B,0)),INDEX(LOAI_THE!$A:$A,MATCH(AU156,LOAI_THE!$B:$B,0)),"")</f>
        <v/>
      </c>
      <c r="AU156" s="48"/>
      <c r="AV156" s="15"/>
      <c r="AW156" s="15"/>
      <c r="AX156" s="15"/>
      <c r="AY156" s="48"/>
    </row>
    <row r="157" spans="1:51" x14ac:dyDescent="0.3">
      <c r="A157" s="13" t="s">
        <v>365</v>
      </c>
      <c r="B157" s="48"/>
      <c r="C157" s="48"/>
      <c r="D157" s="48"/>
      <c r="E157" s="48"/>
      <c r="F157" s="48"/>
      <c r="G157" s="58" t="str">
        <f>IF(ISNUMBER(MATCH(H157,GIOI_TINH!$B:$B,0)),INDEX(GIOI_TINH!$A:$A,MATCH(H157,GIOI_TINH!$B:$B,0)),"")</f>
        <v/>
      </c>
      <c r="H157" s="15"/>
      <c r="I157" s="15"/>
      <c r="J157" s="58" t="str">
        <f>IF(ISNUMBER(MATCH(K157,QUOC_GIA!$B:$B,0)),INDEX(QUOC_GIA!$A:$A,MATCH(K157,QUOC_GIA!$B:$B,0)),"")</f>
        <v/>
      </c>
      <c r="K157" s="50"/>
      <c r="L157" s="15"/>
      <c r="M157" s="58" t="str">
        <f>IF(ISNUMBER(MATCH(N157,LOAI_THUE!$B:$B,0)),INDEX(LOAI_THUE!$A:$A,MATCH(N157,LOAI_THUE!$B:$B,0)),"")</f>
        <v/>
      </c>
      <c r="N157" s="50"/>
      <c r="O157" s="58" t="str">
        <f>IF(ISNUMBER(MATCH(P157,CHI_TIET_LOAI_KH!$B:$B,0)),INDEX(CHI_TIET_LOAI_KH!$A:$A,MATCH(P157,CHI_TIET_LOAI_KH!$B:$B,0)),"")</f>
        <v/>
      </c>
      <c r="P157" s="50"/>
      <c r="Q157" s="58" t="str">
        <f>IF(ISNUMBER(MATCH(R157,NGHE_NGHIEP!$B:$B,0)),INDEX(NGHE_NGHIEP!$A:$A,MATCH(R157,NGHE_NGHIEP!$B:$B,0)),"")</f>
        <v/>
      </c>
      <c r="R157" s="50"/>
      <c r="S157" s="58" t="str">
        <f>IF(ISNUMBER(MATCH(T157,LOAI_ID!$B:$B,0)),INDEX(LOAI_ID!$A:$A,MATCH(T157,LOAI_ID!$B:$B,0)),"")</f>
        <v/>
      </c>
      <c r="T157" s="16"/>
      <c r="U157" s="48"/>
      <c r="V157" s="48"/>
      <c r="W157" s="17"/>
      <c r="X157" s="17"/>
      <c r="Y157" s="15"/>
      <c r="Z157" s="15"/>
      <c r="AA157" s="59" t="str">
        <f>IFERROR(INDEX(NOI_CAP!$B:$B,MATCH(Z157,NOI_CAP!$A:$A,0)),"")</f>
        <v/>
      </c>
      <c r="AB157" s="58" t="str">
        <f>IF(ISNUMBER(MATCH(AC157,LOAI_DIA_CHI!$B:$B,0)),INDEX(LOAI_DIA_CHI!$A:$A,MATCH(AC157,LOAI_DIA_CHI!$B:$B,0)),"")</f>
        <v/>
      </c>
      <c r="AC157" s="16"/>
      <c r="AD157" s="58" t="str">
        <f>IF(ISNUMBER(MATCH(AE157,QUOC_GIA!$B:$B,0)),INDEX(QUOC_GIA!$A:$A,MATCH(AE157,QUOC_GIA!$B:$B,0)),"")</f>
        <v/>
      </c>
      <c r="AE157" s="16"/>
      <c r="AF157" s="48"/>
      <c r="AG157" s="59" t="str">
        <f>IFERROR(INDEX(TINH_TP!$B:$B,MATCH(AF157,TINH_TP!$A:$A,0)),"")</f>
        <v/>
      </c>
      <c r="AH157" s="50"/>
      <c r="AI157" s="59" t="str">
        <f>IF(OR(AF157="",AH157=""),"",IF(COUNTIFS(PHUONG_XA!$A$2:$A$3323,AH157,PHUONG_XA!$C$2:$C$3323,AF157)=0,"",INDEX(PHUONG_XA!$B$2:$B$3323,SUMPRODUCT((PHUONG_XA!$A$2:$A$3323&amp;""=AH157&amp;"")*(PHUONG_XA!$C$2:$C$3323&amp;""=AF157&amp;"")*(ROW(PHUONG_XA!$A$2:$A$3323)-ROW(PHUONG_XA!$A$2)+1)))))</f>
        <v/>
      </c>
      <c r="AJ157" s="14"/>
      <c r="AK157" s="14"/>
      <c r="AL157" s="57" t="str">
        <f t="shared" si="3"/>
        <v/>
      </c>
      <c r="AM157" s="14"/>
      <c r="AN157" s="15"/>
      <c r="AO157" s="15"/>
      <c r="AP157" s="48"/>
      <c r="AQ157" s="15"/>
      <c r="AR157" s="15"/>
      <c r="AS157" s="15"/>
      <c r="AT157" s="60" t="str">
        <f>IF(ISNUMBER(MATCH(AU157,LOAI_THE!$B:$B,0)),INDEX(LOAI_THE!$A:$A,MATCH(AU157,LOAI_THE!$B:$B,0)),"")</f>
        <v/>
      </c>
      <c r="AU157" s="48"/>
      <c r="AV157" s="15"/>
      <c r="AW157" s="15"/>
      <c r="AX157" s="15"/>
      <c r="AY157" s="48"/>
    </row>
    <row r="158" spans="1:51" x14ac:dyDescent="0.3">
      <c r="A158" s="13" t="s">
        <v>367</v>
      </c>
      <c r="B158" s="48"/>
      <c r="C158" s="48"/>
      <c r="D158" s="48"/>
      <c r="E158" s="48"/>
      <c r="F158" s="48"/>
      <c r="G158" s="58" t="str">
        <f>IF(ISNUMBER(MATCH(H158,GIOI_TINH!$B:$B,0)),INDEX(GIOI_TINH!$A:$A,MATCH(H158,GIOI_TINH!$B:$B,0)),"")</f>
        <v/>
      </c>
      <c r="H158" s="15"/>
      <c r="I158" s="15"/>
      <c r="J158" s="58" t="str">
        <f>IF(ISNUMBER(MATCH(K158,QUOC_GIA!$B:$B,0)),INDEX(QUOC_GIA!$A:$A,MATCH(K158,QUOC_GIA!$B:$B,0)),"")</f>
        <v/>
      </c>
      <c r="K158" s="50"/>
      <c r="L158" s="15"/>
      <c r="M158" s="58" t="str">
        <f>IF(ISNUMBER(MATCH(N158,LOAI_THUE!$B:$B,0)),INDEX(LOAI_THUE!$A:$A,MATCH(N158,LOAI_THUE!$B:$B,0)),"")</f>
        <v/>
      </c>
      <c r="N158" s="50"/>
      <c r="O158" s="58" t="str">
        <f>IF(ISNUMBER(MATCH(P158,CHI_TIET_LOAI_KH!$B:$B,0)),INDEX(CHI_TIET_LOAI_KH!$A:$A,MATCH(P158,CHI_TIET_LOAI_KH!$B:$B,0)),"")</f>
        <v/>
      </c>
      <c r="P158" s="50"/>
      <c r="Q158" s="58" t="str">
        <f>IF(ISNUMBER(MATCH(R158,NGHE_NGHIEP!$B:$B,0)),INDEX(NGHE_NGHIEP!$A:$A,MATCH(R158,NGHE_NGHIEP!$B:$B,0)),"")</f>
        <v/>
      </c>
      <c r="R158" s="50"/>
      <c r="S158" s="58" t="str">
        <f>IF(ISNUMBER(MATCH(T158,LOAI_ID!$B:$B,0)),INDEX(LOAI_ID!$A:$A,MATCH(T158,LOAI_ID!$B:$B,0)),"")</f>
        <v/>
      </c>
      <c r="T158" s="16"/>
      <c r="U158" s="48"/>
      <c r="V158" s="48"/>
      <c r="W158" s="17"/>
      <c r="X158" s="17"/>
      <c r="Y158" s="15"/>
      <c r="Z158" s="15"/>
      <c r="AA158" s="59" t="str">
        <f>IFERROR(INDEX(NOI_CAP!$B:$B,MATCH(Z158,NOI_CAP!$A:$A,0)),"")</f>
        <v/>
      </c>
      <c r="AB158" s="58" t="str">
        <f>IF(ISNUMBER(MATCH(AC158,LOAI_DIA_CHI!$B:$B,0)),INDEX(LOAI_DIA_CHI!$A:$A,MATCH(AC158,LOAI_DIA_CHI!$B:$B,0)),"")</f>
        <v/>
      </c>
      <c r="AC158" s="16"/>
      <c r="AD158" s="58" t="str">
        <f>IF(ISNUMBER(MATCH(AE158,QUOC_GIA!$B:$B,0)),INDEX(QUOC_GIA!$A:$A,MATCH(AE158,QUOC_GIA!$B:$B,0)),"")</f>
        <v/>
      </c>
      <c r="AE158" s="16"/>
      <c r="AF158" s="48"/>
      <c r="AG158" s="59" t="str">
        <f>IFERROR(INDEX(TINH_TP!$B:$B,MATCH(AF158,TINH_TP!$A:$A,0)),"")</f>
        <v/>
      </c>
      <c r="AH158" s="50"/>
      <c r="AI158" s="59" t="str">
        <f>IF(OR(AF158="",AH158=""),"",IF(COUNTIFS(PHUONG_XA!$A$2:$A$3323,AH158,PHUONG_XA!$C$2:$C$3323,AF158)=0,"",INDEX(PHUONG_XA!$B$2:$B$3323,SUMPRODUCT((PHUONG_XA!$A$2:$A$3323&amp;""=AH158&amp;"")*(PHUONG_XA!$C$2:$C$3323&amp;""=AF158&amp;"")*(ROW(PHUONG_XA!$A$2:$A$3323)-ROW(PHUONG_XA!$A$2)+1)))))</f>
        <v/>
      </c>
      <c r="AJ158" s="14"/>
      <c r="AK158" s="14"/>
      <c r="AL158" s="57" t="str">
        <f t="shared" si="3"/>
        <v/>
      </c>
      <c r="AM158" s="14"/>
      <c r="AN158" s="15"/>
      <c r="AO158" s="15"/>
      <c r="AP158" s="48"/>
      <c r="AQ158" s="15"/>
      <c r="AR158" s="15"/>
      <c r="AS158" s="15"/>
      <c r="AT158" s="60" t="str">
        <f>IF(ISNUMBER(MATCH(AU158,LOAI_THE!$B:$B,0)),INDEX(LOAI_THE!$A:$A,MATCH(AU158,LOAI_THE!$B:$B,0)),"")</f>
        <v/>
      </c>
      <c r="AU158" s="48"/>
      <c r="AV158" s="15"/>
      <c r="AW158" s="15"/>
      <c r="AX158" s="15"/>
      <c r="AY158" s="48"/>
    </row>
    <row r="159" spans="1:51" x14ac:dyDescent="0.3">
      <c r="A159" s="13" t="s">
        <v>369</v>
      </c>
      <c r="B159" s="48"/>
      <c r="C159" s="48"/>
      <c r="D159" s="48"/>
      <c r="E159" s="48"/>
      <c r="F159" s="48"/>
      <c r="G159" s="58" t="str">
        <f>IF(ISNUMBER(MATCH(H159,GIOI_TINH!$B:$B,0)),INDEX(GIOI_TINH!$A:$A,MATCH(H159,GIOI_TINH!$B:$B,0)),"")</f>
        <v/>
      </c>
      <c r="H159" s="15"/>
      <c r="I159" s="15"/>
      <c r="J159" s="58" t="str">
        <f>IF(ISNUMBER(MATCH(K159,QUOC_GIA!$B:$B,0)),INDEX(QUOC_GIA!$A:$A,MATCH(K159,QUOC_GIA!$B:$B,0)),"")</f>
        <v/>
      </c>
      <c r="K159" s="50"/>
      <c r="L159" s="15"/>
      <c r="M159" s="58" t="str">
        <f>IF(ISNUMBER(MATCH(N159,LOAI_THUE!$B:$B,0)),INDEX(LOAI_THUE!$A:$A,MATCH(N159,LOAI_THUE!$B:$B,0)),"")</f>
        <v/>
      </c>
      <c r="N159" s="50"/>
      <c r="O159" s="58" t="str">
        <f>IF(ISNUMBER(MATCH(P159,CHI_TIET_LOAI_KH!$B:$B,0)),INDEX(CHI_TIET_LOAI_KH!$A:$A,MATCH(P159,CHI_TIET_LOAI_KH!$B:$B,0)),"")</f>
        <v/>
      </c>
      <c r="P159" s="50"/>
      <c r="Q159" s="58" t="str">
        <f>IF(ISNUMBER(MATCH(R159,NGHE_NGHIEP!$B:$B,0)),INDEX(NGHE_NGHIEP!$A:$A,MATCH(R159,NGHE_NGHIEP!$B:$B,0)),"")</f>
        <v/>
      </c>
      <c r="R159" s="50"/>
      <c r="S159" s="58" t="str">
        <f>IF(ISNUMBER(MATCH(T159,LOAI_ID!$B:$B,0)),INDEX(LOAI_ID!$A:$A,MATCH(T159,LOAI_ID!$B:$B,0)),"")</f>
        <v/>
      </c>
      <c r="T159" s="16"/>
      <c r="U159" s="48"/>
      <c r="V159" s="48"/>
      <c r="W159" s="17"/>
      <c r="X159" s="17"/>
      <c r="Y159" s="15"/>
      <c r="Z159" s="15"/>
      <c r="AA159" s="59" t="str">
        <f>IFERROR(INDEX(NOI_CAP!$B:$B,MATCH(Z159,NOI_CAP!$A:$A,0)),"")</f>
        <v/>
      </c>
      <c r="AB159" s="58" t="str">
        <f>IF(ISNUMBER(MATCH(AC159,LOAI_DIA_CHI!$B:$B,0)),INDEX(LOAI_DIA_CHI!$A:$A,MATCH(AC159,LOAI_DIA_CHI!$B:$B,0)),"")</f>
        <v/>
      </c>
      <c r="AC159" s="16"/>
      <c r="AD159" s="58" t="str">
        <f>IF(ISNUMBER(MATCH(AE159,QUOC_GIA!$B:$B,0)),INDEX(QUOC_GIA!$A:$A,MATCH(AE159,QUOC_GIA!$B:$B,0)),"")</f>
        <v/>
      </c>
      <c r="AE159" s="16"/>
      <c r="AF159" s="48"/>
      <c r="AG159" s="59" t="str">
        <f>IFERROR(INDEX(TINH_TP!$B:$B,MATCH(AF159,TINH_TP!$A:$A,0)),"")</f>
        <v/>
      </c>
      <c r="AH159" s="50"/>
      <c r="AI159" s="59" t="str">
        <f>IF(OR(AF159="",AH159=""),"",IF(COUNTIFS(PHUONG_XA!$A$2:$A$3323,AH159,PHUONG_XA!$C$2:$C$3323,AF159)=0,"",INDEX(PHUONG_XA!$B$2:$B$3323,SUMPRODUCT((PHUONG_XA!$A$2:$A$3323&amp;""=AH159&amp;"")*(PHUONG_XA!$C$2:$C$3323&amp;""=AF159&amp;"")*(ROW(PHUONG_XA!$A$2:$A$3323)-ROW(PHUONG_XA!$A$2)+1)))))</f>
        <v/>
      </c>
      <c r="AJ159" s="14"/>
      <c r="AK159" s="14"/>
      <c r="AL159" s="57" t="str">
        <f t="shared" si="3"/>
        <v/>
      </c>
      <c r="AM159" s="14"/>
      <c r="AN159" s="15"/>
      <c r="AO159" s="15"/>
      <c r="AP159" s="48"/>
      <c r="AQ159" s="15"/>
      <c r="AR159" s="15"/>
      <c r="AS159" s="15"/>
      <c r="AT159" s="60" t="str">
        <f>IF(ISNUMBER(MATCH(AU159,LOAI_THE!$B:$B,0)),INDEX(LOAI_THE!$A:$A,MATCH(AU159,LOAI_THE!$B:$B,0)),"")</f>
        <v/>
      </c>
      <c r="AU159" s="48"/>
      <c r="AV159" s="15"/>
      <c r="AW159" s="15"/>
      <c r="AX159" s="15"/>
      <c r="AY159" s="48"/>
    </row>
    <row r="160" spans="1:51" x14ac:dyDescent="0.3">
      <c r="A160" s="13" t="s">
        <v>371</v>
      </c>
      <c r="B160" s="48"/>
      <c r="C160" s="48"/>
      <c r="D160" s="48"/>
      <c r="E160" s="48"/>
      <c r="F160" s="48"/>
      <c r="G160" s="58" t="str">
        <f>IF(ISNUMBER(MATCH(H160,GIOI_TINH!$B:$B,0)),INDEX(GIOI_TINH!$A:$A,MATCH(H160,GIOI_TINH!$B:$B,0)),"")</f>
        <v/>
      </c>
      <c r="H160" s="15"/>
      <c r="I160" s="15"/>
      <c r="J160" s="58" t="str">
        <f>IF(ISNUMBER(MATCH(K160,QUOC_GIA!$B:$B,0)),INDEX(QUOC_GIA!$A:$A,MATCH(K160,QUOC_GIA!$B:$B,0)),"")</f>
        <v/>
      </c>
      <c r="K160" s="50"/>
      <c r="L160" s="15"/>
      <c r="M160" s="58" t="str">
        <f>IF(ISNUMBER(MATCH(N160,LOAI_THUE!$B:$B,0)),INDEX(LOAI_THUE!$A:$A,MATCH(N160,LOAI_THUE!$B:$B,0)),"")</f>
        <v/>
      </c>
      <c r="N160" s="50"/>
      <c r="O160" s="58" t="str">
        <f>IF(ISNUMBER(MATCH(P160,CHI_TIET_LOAI_KH!$B:$B,0)),INDEX(CHI_TIET_LOAI_KH!$A:$A,MATCH(P160,CHI_TIET_LOAI_KH!$B:$B,0)),"")</f>
        <v/>
      </c>
      <c r="P160" s="50"/>
      <c r="Q160" s="58" t="str">
        <f>IF(ISNUMBER(MATCH(R160,NGHE_NGHIEP!$B:$B,0)),INDEX(NGHE_NGHIEP!$A:$A,MATCH(R160,NGHE_NGHIEP!$B:$B,0)),"")</f>
        <v/>
      </c>
      <c r="R160" s="50"/>
      <c r="S160" s="58" t="str">
        <f>IF(ISNUMBER(MATCH(T160,LOAI_ID!$B:$B,0)),INDEX(LOAI_ID!$A:$A,MATCH(T160,LOAI_ID!$B:$B,0)),"")</f>
        <v/>
      </c>
      <c r="T160" s="16"/>
      <c r="U160" s="48"/>
      <c r="V160" s="48"/>
      <c r="W160" s="17"/>
      <c r="X160" s="17"/>
      <c r="Y160" s="15"/>
      <c r="Z160" s="15"/>
      <c r="AA160" s="59" t="str">
        <f>IFERROR(INDEX(NOI_CAP!$B:$B,MATCH(Z160,NOI_CAP!$A:$A,0)),"")</f>
        <v/>
      </c>
      <c r="AB160" s="58" t="str">
        <f>IF(ISNUMBER(MATCH(AC160,LOAI_DIA_CHI!$B:$B,0)),INDEX(LOAI_DIA_CHI!$A:$A,MATCH(AC160,LOAI_DIA_CHI!$B:$B,0)),"")</f>
        <v/>
      </c>
      <c r="AC160" s="16"/>
      <c r="AD160" s="58" t="str">
        <f>IF(ISNUMBER(MATCH(AE160,QUOC_GIA!$B:$B,0)),INDEX(QUOC_GIA!$A:$A,MATCH(AE160,QUOC_GIA!$B:$B,0)),"")</f>
        <v/>
      </c>
      <c r="AE160" s="16"/>
      <c r="AF160" s="48"/>
      <c r="AG160" s="59" t="str">
        <f>IFERROR(INDEX(TINH_TP!$B:$B,MATCH(AF160,TINH_TP!$A:$A,0)),"")</f>
        <v/>
      </c>
      <c r="AH160" s="50"/>
      <c r="AI160" s="59" t="str">
        <f>IF(OR(AF160="",AH160=""),"",IF(COUNTIFS(PHUONG_XA!$A$2:$A$3323,AH160,PHUONG_XA!$C$2:$C$3323,AF160)=0,"",INDEX(PHUONG_XA!$B$2:$B$3323,SUMPRODUCT((PHUONG_XA!$A$2:$A$3323&amp;""=AH160&amp;"")*(PHUONG_XA!$C$2:$C$3323&amp;""=AF160&amp;"")*(ROW(PHUONG_XA!$A$2:$A$3323)-ROW(PHUONG_XA!$A$2)+1)))))</f>
        <v/>
      </c>
      <c r="AJ160" s="14"/>
      <c r="AK160" s="14"/>
      <c r="AL160" s="57" t="str">
        <f t="shared" si="3"/>
        <v/>
      </c>
      <c r="AM160" s="14"/>
      <c r="AN160" s="15"/>
      <c r="AO160" s="15"/>
      <c r="AP160" s="48"/>
      <c r="AQ160" s="15"/>
      <c r="AR160" s="15"/>
      <c r="AS160" s="15"/>
      <c r="AT160" s="60" t="str">
        <f>IF(ISNUMBER(MATCH(AU160,LOAI_THE!$B:$B,0)),INDEX(LOAI_THE!$A:$A,MATCH(AU160,LOAI_THE!$B:$B,0)),"")</f>
        <v/>
      </c>
      <c r="AU160" s="48"/>
      <c r="AV160" s="15"/>
      <c r="AW160" s="15"/>
      <c r="AX160" s="15"/>
      <c r="AY160" s="48"/>
    </row>
    <row r="161" spans="1:51" x14ac:dyDescent="0.3">
      <c r="A161" s="13" t="s">
        <v>373</v>
      </c>
      <c r="B161" s="48"/>
      <c r="C161" s="48"/>
      <c r="D161" s="48"/>
      <c r="E161" s="48"/>
      <c r="F161" s="48"/>
      <c r="G161" s="58" t="str">
        <f>IF(ISNUMBER(MATCH(H161,GIOI_TINH!$B:$B,0)),INDEX(GIOI_TINH!$A:$A,MATCH(H161,GIOI_TINH!$B:$B,0)),"")</f>
        <v/>
      </c>
      <c r="H161" s="15"/>
      <c r="I161" s="15"/>
      <c r="J161" s="58" t="str">
        <f>IF(ISNUMBER(MATCH(K161,QUOC_GIA!$B:$B,0)),INDEX(QUOC_GIA!$A:$A,MATCH(K161,QUOC_GIA!$B:$B,0)),"")</f>
        <v/>
      </c>
      <c r="K161" s="50"/>
      <c r="L161" s="15"/>
      <c r="M161" s="58" t="str">
        <f>IF(ISNUMBER(MATCH(N161,LOAI_THUE!$B:$B,0)),INDEX(LOAI_THUE!$A:$A,MATCH(N161,LOAI_THUE!$B:$B,0)),"")</f>
        <v/>
      </c>
      <c r="N161" s="50"/>
      <c r="O161" s="58" t="str">
        <f>IF(ISNUMBER(MATCH(P161,CHI_TIET_LOAI_KH!$B:$B,0)),INDEX(CHI_TIET_LOAI_KH!$A:$A,MATCH(P161,CHI_TIET_LOAI_KH!$B:$B,0)),"")</f>
        <v/>
      </c>
      <c r="P161" s="50"/>
      <c r="Q161" s="58" t="str">
        <f>IF(ISNUMBER(MATCH(R161,NGHE_NGHIEP!$B:$B,0)),INDEX(NGHE_NGHIEP!$A:$A,MATCH(R161,NGHE_NGHIEP!$B:$B,0)),"")</f>
        <v/>
      </c>
      <c r="R161" s="50"/>
      <c r="S161" s="58" t="str">
        <f>IF(ISNUMBER(MATCH(T161,LOAI_ID!$B:$B,0)),INDEX(LOAI_ID!$A:$A,MATCH(T161,LOAI_ID!$B:$B,0)),"")</f>
        <v/>
      </c>
      <c r="T161" s="16"/>
      <c r="U161" s="48"/>
      <c r="V161" s="48"/>
      <c r="W161" s="17"/>
      <c r="X161" s="17"/>
      <c r="Y161" s="15"/>
      <c r="Z161" s="15"/>
      <c r="AA161" s="59" t="str">
        <f>IFERROR(INDEX(NOI_CAP!$B:$B,MATCH(Z161,NOI_CAP!$A:$A,0)),"")</f>
        <v/>
      </c>
      <c r="AB161" s="58" t="str">
        <f>IF(ISNUMBER(MATCH(AC161,LOAI_DIA_CHI!$B:$B,0)),INDEX(LOAI_DIA_CHI!$A:$A,MATCH(AC161,LOAI_DIA_CHI!$B:$B,0)),"")</f>
        <v/>
      </c>
      <c r="AC161" s="16"/>
      <c r="AD161" s="58" t="str">
        <f>IF(ISNUMBER(MATCH(AE161,QUOC_GIA!$B:$B,0)),INDEX(QUOC_GIA!$A:$A,MATCH(AE161,QUOC_GIA!$B:$B,0)),"")</f>
        <v/>
      </c>
      <c r="AE161" s="16"/>
      <c r="AF161" s="48"/>
      <c r="AG161" s="59" t="str">
        <f>IFERROR(INDEX(TINH_TP!$B:$B,MATCH(AF161,TINH_TP!$A:$A,0)),"")</f>
        <v/>
      </c>
      <c r="AH161" s="50"/>
      <c r="AI161" s="59" t="str">
        <f>IF(OR(AF161="",AH161=""),"",IF(COUNTIFS(PHUONG_XA!$A$2:$A$3323,AH161,PHUONG_XA!$C$2:$C$3323,AF161)=0,"",INDEX(PHUONG_XA!$B$2:$B$3323,SUMPRODUCT((PHUONG_XA!$A$2:$A$3323&amp;""=AH161&amp;"")*(PHUONG_XA!$C$2:$C$3323&amp;""=AF161&amp;"")*(ROW(PHUONG_XA!$A$2:$A$3323)-ROW(PHUONG_XA!$A$2)+1)))))</f>
        <v/>
      </c>
      <c r="AJ161" s="14"/>
      <c r="AK161" s="14"/>
      <c r="AL161" s="57" t="str">
        <f t="shared" si="3"/>
        <v/>
      </c>
      <c r="AM161" s="14"/>
      <c r="AN161" s="15"/>
      <c r="AO161" s="15"/>
      <c r="AP161" s="48"/>
      <c r="AQ161" s="15"/>
      <c r="AR161" s="15"/>
      <c r="AS161" s="15"/>
      <c r="AT161" s="60" t="str">
        <f>IF(ISNUMBER(MATCH(AU161,LOAI_THE!$B:$B,0)),INDEX(LOAI_THE!$A:$A,MATCH(AU161,LOAI_THE!$B:$B,0)),"")</f>
        <v/>
      </c>
      <c r="AU161" s="48"/>
      <c r="AV161" s="15"/>
      <c r="AW161" s="15"/>
      <c r="AX161" s="15"/>
      <c r="AY161" s="48"/>
    </row>
    <row r="162" spans="1:51" x14ac:dyDescent="0.3">
      <c r="A162" s="13" t="s">
        <v>375</v>
      </c>
      <c r="B162" s="48"/>
      <c r="C162" s="48"/>
      <c r="D162" s="48"/>
      <c r="E162" s="48"/>
      <c r="F162" s="48"/>
      <c r="G162" s="58" t="str">
        <f>IF(ISNUMBER(MATCH(H162,GIOI_TINH!$B:$B,0)),INDEX(GIOI_TINH!$A:$A,MATCH(H162,GIOI_TINH!$B:$B,0)),"")</f>
        <v/>
      </c>
      <c r="H162" s="15"/>
      <c r="I162" s="15"/>
      <c r="J162" s="58" t="str">
        <f>IF(ISNUMBER(MATCH(K162,QUOC_GIA!$B:$B,0)),INDEX(QUOC_GIA!$A:$A,MATCH(K162,QUOC_GIA!$B:$B,0)),"")</f>
        <v/>
      </c>
      <c r="K162" s="50"/>
      <c r="L162" s="15"/>
      <c r="M162" s="58" t="str">
        <f>IF(ISNUMBER(MATCH(N162,LOAI_THUE!$B:$B,0)),INDEX(LOAI_THUE!$A:$A,MATCH(N162,LOAI_THUE!$B:$B,0)),"")</f>
        <v/>
      </c>
      <c r="N162" s="50"/>
      <c r="O162" s="58" t="str">
        <f>IF(ISNUMBER(MATCH(P162,CHI_TIET_LOAI_KH!$B:$B,0)),INDEX(CHI_TIET_LOAI_KH!$A:$A,MATCH(P162,CHI_TIET_LOAI_KH!$B:$B,0)),"")</f>
        <v/>
      </c>
      <c r="P162" s="50"/>
      <c r="Q162" s="58" t="str">
        <f>IF(ISNUMBER(MATCH(R162,NGHE_NGHIEP!$B:$B,0)),INDEX(NGHE_NGHIEP!$A:$A,MATCH(R162,NGHE_NGHIEP!$B:$B,0)),"")</f>
        <v/>
      </c>
      <c r="R162" s="50"/>
      <c r="S162" s="58" t="str">
        <f>IF(ISNUMBER(MATCH(T162,LOAI_ID!$B:$B,0)),INDEX(LOAI_ID!$A:$A,MATCH(T162,LOAI_ID!$B:$B,0)),"")</f>
        <v/>
      </c>
      <c r="T162" s="16"/>
      <c r="U162" s="48"/>
      <c r="V162" s="48"/>
      <c r="W162" s="17"/>
      <c r="X162" s="17"/>
      <c r="Y162" s="15"/>
      <c r="Z162" s="15"/>
      <c r="AA162" s="59" t="str">
        <f>IFERROR(INDEX(NOI_CAP!$B:$B,MATCH(Z162,NOI_CAP!$A:$A,0)),"")</f>
        <v/>
      </c>
      <c r="AB162" s="58" t="str">
        <f>IF(ISNUMBER(MATCH(AC162,LOAI_DIA_CHI!$B:$B,0)),INDEX(LOAI_DIA_CHI!$A:$A,MATCH(AC162,LOAI_DIA_CHI!$B:$B,0)),"")</f>
        <v/>
      </c>
      <c r="AC162" s="16"/>
      <c r="AD162" s="58" t="str">
        <f>IF(ISNUMBER(MATCH(AE162,QUOC_GIA!$B:$B,0)),INDEX(QUOC_GIA!$A:$A,MATCH(AE162,QUOC_GIA!$B:$B,0)),"")</f>
        <v/>
      </c>
      <c r="AE162" s="16"/>
      <c r="AF162" s="48"/>
      <c r="AG162" s="59" t="str">
        <f>IFERROR(INDEX(TINH_TP!$B:$B,MATCH(AF162,TINH_TP!$A:$A,0)),"")</f>
        <v/>
      </c>
      <c r="AH162" s="50"/>
      <c r="AI162" s="59" t="str">
        <f>IF(OR(AF162="",AH162=""),"",IF(COUNTIFS(PHUONG_XA!$A$2:$A$3323,AH162,PHUONG_XA!$C$2:$C$3323,AF162)=0,"",INDEX(PHUONG_XA!$B$2:$B$3323,SUMPRODUCT((PHUONG_XA!$A$2:$A$3323&amp;""=AH162&amp;"")*(PHUONG_XA!$C$2:$C$3323&amp;""=AF162&amp;"")*(ROW(PHUONG_XA!$A$2:$A$3323)-ROW(PHUONG_XA!$A$2)+1)))))</f>
        <v/>
      </c>
      <c r="AJ162" s="14"/>
      <c r="AK162" s="14"/>
      <c r="AL162" s="57" t="str">
        <f t="shared" si="3"/>
        <v/>
      </c>
      <c r="AM162" s="14"/>
      <c r="AN162" s="15"/>
      <c r="AO162" s="15"/>
      <c r="AP162" s="48"/>
      <c r="AQ162" s="15"/>
      <c r="AR162" s="15"/>
      <c r="AS162" s="15"/>
      <c r="AT162" s="60" t="str">
        <f>IF(ISNUMBER(MATCH(AU162,LOAI_THE!$B:$B,0)),INDEX(LOAI_THE!$A:$A,MATCH(AU162,LOAI_THE!$B:$B,0)),"")</f>
        <v/>
      </c>
      <c r="AU162" s="48"/>
      <c r="AV162" s="15"/>
      <c r="AW162" s="15"/>
      <c r="AX162" s="15"/>
      <c r="AY162" s="48"/>
    </row>
    <row r="163" spans="1:51" x14ac:dyDescent="0.3">
      <c r="A163" s="13" t="s">
        <v>377</v>
      </c>
      <c r="B163" s="48"/>
      <c r="C163" s="48"/>
      <c r="D163" s="48"/>
      <c r="E163" s="48"/>
      <c r="F163" s="48"/>
      <c r="G163" s="58" t="str">
        <f>IF(ISNUMBER(MATCH(H163,GIOI_TINH!$B:$B,0)),INDEX(GIOI_TINH!$A:$A,MATCH(H163,GIOI_TINH!$B:$B,0)),"")</f>
        <v/>
      </c>
      <c r="H163" s="15"/>
      <c r="I163" s="15"/>
      <c r="J163" s="58" t="str">
        <f>IF(ISNUMBER(MATCH(K163,QUOC_GIA!$B:$B,0)),INDEX(QUOC_GIA!$A:$A,MATCH(K163,QUOC_GIA!$B:$B,0)),"")</f>
        <v/>
      </c>
      <c r="K163" s="50"/>
      <c r="L163" s="15"/>
      <c r="M163" s="58" t="str">
        <f>IF(ISNUMBER(MATCH(N163,LOAI_THUE!$B:$B,0)),INDEX(LOAI_THUE!$A:$A,MATCH(N163,LOAI_THUE!$B:$B,0)),"")</f>
        <v/>
      </c>
      <c r="N163" s="50"/>
      <c r="O163" s="58" t="str">
        <f>IF(ISNUMBER(MATCH(P163,CHI_TIET_LOAI_KH!$B:$B,0)),INDEX(CHI_TIET_LOAI_KH!$A:$A,MATCH(P163,CHI_TIET_LOAI_KH!$B:$B,0)),"")</f>
        <v/>
      </c>
      <c r="P163" s="50"/>
      <c r="Q163" s="58" t="str">
        <f>IF(ISNUMBER(MATCH(R163,NGHE_NGHIEP!$B:$B,0)),INDEX(NGHE_NGHIEP!$A:$A,MATCH(R163,NGHE_NGHIEP!$B:$B,0)),"")</f>
        <v/>
      </c>
      <c r="R163" s="50"/>
      <c r="S163" s="58" t="str">
        <f>IF(ISNUMBER(MATCH(T163,LOAI_ID!$B:$B,0)),INDEX(LOAI_ID!$A:$A,MATCH(T163,LOAI_ID!$B:$B,0)),"")</f>
        <v/>
      </c>
      <c r="T163" s="16"/>
      <c r="U163" s="48"/>
      <c r="V163" s="48"/>
      <c r="W163" s="17"/>
      <c r="X163" s="17"/>
      <c r="Y163" s="15"/>
      <c r="Z163" s="15"/>
      <c r="AA163" s="59" t="str">
        <f>IFERROR(INDEX(NOI_CAP!$B:$B,MATCH(Z163,NOI_CAP!$A:$A,0)),"")</f>
        <v/>
      </c>
      <c r="AB163" s="58" t="str">
        <f>IF(ISNUMBER(MATCH(AC163,LOAI_DIA_CHI!$B:$B,0)),INDEX(LOAI_DIA_CHI!$A:$A,MATCH(AC163,LOAI_DIA_CHI!$B:$B,0)),"")</f>
        <v/>
      </c>
      <c r="AC163" s="16"/>
      <c r="AD163" s="58" t="str">
        <f>IF(ISNUMBER(MATCH(AE163,QUOC_GIA!$B:$B,0)),INDEX(QUOC_GIA!$A:$A,MATCH(AE163,QUOC_GIA!$B:$B,0)),"")</f>
        <v/>
      </c>
      <c r="AE163" s="16"/>
      <c r="AF163" s="48"/>
      <c r="AG163" s="59" t="str">
        <f>IFERROR(INDEX(TINH_TP!$B:$B,MATCH(AF163,TINH_TP!$A:$A,0)),"")</f>
        <v/>
      </c>
      <c r="AH163" s="50"/>
      <c r="AI163" s="59" t="str">
        <f>IF(OR(AF163="",AH163=""),"",IF(COUNTIFS(PHUONG_XA!$A$2:$A$3323,AH163,PHUONG_XA!$C$2:$C$3323,AF163)=0,"",INDEX(PHUONG_XA!$B$2:$B$3323,SUMPRODUCT((PHUONG_XA!$A$2:$A$3323&amp;""=AH163&amp;"")*(PHUONG_XA!$C$2:$C$3323&amp;""=AF163&amp;"")*(ROW(PHUONG_XA!$A$2:$A$3323)-ROW(PHUONG_XA!$A$2)+1)))))</f>
        <v/>
      </c>
      <c r="AJ163" s="14"/>
      <c r="AK163" s="14"/>
      <c r="AL163" s="57" t="str">
        <f t="shared" si="3"/>
        <v/>
      </c>
      <c r="AM163" s="14"/>
      <c r="AN163" s="15"/>
      <c r="AO163" s="15"/>
      <c r="AP163" s="48"/>
      <c r="AQ163" s="15"/>
      <c r="AR163" s="15"/>
      <c r="AS163" s="15"/>
      <c r="AT163" s="60" t="str">
        <f>IF(ISNUMBER(MATCH(AU163,LOAI_THE!$B:$B,0)),INDEX(LOAI_THE!$A:$A,MATCH(AU163,LOAI_THE!$B:$B,0)),"")</f>
        <v/>
      </c>
      <c r="AU163" s="48"/>
      <c r="AV163" s="15"/>
      <c r="AW163" s="15"/>
      <c r="AX163" s="15"/>
      <c r="AY163" s="48"/>
    </row>
    <row r="164" spans="1:51" x14ac:dyDescent="0.3">
      <c r="A164" s="13" t="s">
        <v>379</v>
      </c>
      <c r="B164" s="48"/>
      <c r="C164" s="48"/>
      <c r="D164" s="48"/>
      <c r="E164" s="48"/>
      <c r="F164" s="48"/>
      <c r="G164" s="58" t="str">
        <f>IF(ISNUMBER(MATCH(H164,GIOI_TINH!$B:$B,0)),INDEX(GIOI_TINH!$A:$A,MATCH(H164,GIOI_TINH!$B:$B,0)),"")</f>
        <v/>
      </c>
      <c r="H164" s="15"/>
      <c r="I164" s="15"/>
      <c r="J164" s="58" t="str">
        <f>IF(ISNUMBER(MATCH(K164,QUOC_GIA!$B:$B,0)),INDEX(QUOC_GIA!$A:$A,MATCH(K164,QUOC_GIA!$B:$B,0)),"")</f>
        <v/>
      </c>
      <c r="K164" s="50"/>
      <c r="L164" s="15"/>
      <c r="M164" s="58" t="str">
        <f>IF(ISNUMBER(MATCH(N164,LOAI_THUE!$B:$B,0)),INDEX(LOAI_THUE!$A:$A,MATCH(N164,LOAI_THUE!$B:$B,0)),"")</f>
        <v/>
      </c>
      <c r="N164" s="50"/>
      <c r="O164" s="58" t="str">
        <f>IF(ISNUMBER(MATCH(P164,CHI_TIET_LOAI_KH!$B:$B,0)),INDEX(CHI_TIET_LOAI_KH!$A:$A,MATCH(P164,CHI_TIET_LOAI_KH!$B:$B,0)),"")</f>
        <v/>
      </c>
      <c r="P164" s="50"/>
      <c r="Q164" s="58" t="str">
        <f>IF(ISNUMBER(MATCH(R164,NGHE_NGHIEP!$B:$B,0)),INDEX(NGHE_NGHIEP!$A:$A,MATCH(R164,NGHE_NGHIEP!$B:$B,0)),"")</f>
        <v/>
      </c>
      <c r="R164" s="50"/>
      <c r="S164" s="58" t="str">
        <f>IF(ISNUMBER(MATCH(T164,LOAI_ID!$B:$B,0)),INDEX(LOAI_ID!$A:$A,MATCH(T164,LOAI_ID!$B:$B,0)),"")</f>
        <v/>
      </c>
      <c r="T164" s="16"/>
      <c r="U164" s="48"/>
      <c r="V164" s="48"/>
      <c r="W164" s="17"/>
      <c r="X164" s="17"/>
      <c r="Y164" s="15"/>
      <c r="Z164" s="15"/>
      <c r="AA164" s="59" t="str">
        <f>IFERROR(INDEX(NOI_CAP!$B:$B,MATCH(Z164,NOI_CAP!$A:$A,0)),"")</f>
        <v/>
      </c>
      <c r="AB164" s="58" t="str">
        <f>IF(ISNUMBER(MATCH(AC164,LOAI_DIA_CHI!$B:$B,0)),INDEX(LOAI_DIA_CHI!$A:$A,MATCH(AC164,LOAI_DIA_CHI!$B:$B,0)),"")</f>
        <v/>
      </c>
      <c r="AC164" s="16"/>
      <c r="AD164" s="58" t="str">
        <f>IF(ISNUMBER(MATCH(AE164,QUOC_GIA!$B:$B,0)),INDEX(QUOC_GIA!$A:$A,MATCH(AE164,QUOC_GIA!$B:$B,0)),"")</f>
        <v/>
      </c>
      <c r="AE164" s="16"/>
      <c r="AF164" s="48"/>
      <c r="AG164" s="59" t="str">
        <f>IFERROR(INDEX(TINH_TP!$B:$B,MATCH(AF164,TINH_TP!$A:$A,0)),"")</f>
        <v/>
      </c>
      <c r="AH164" s="50"/>
      <c r="AI164" s="59" t="str">
        <f>IF(OR(AF164="",AH164=""),"",IF(COUNTIFS(PHUONG_XA!$A$2:$A$3323,AH164,PHUONG_XA!$C$2:$C$3323,AF164)=0,"",INDEX(PHUONG_XA!$B$2:$B$3323,SUMPRODUCT((PHUONG_XA!$A$2:$A$3323&amp;""=AH164&amp;"")*(PHUONG_XA!$C$2:$C$3323&amp;""=AF164&amp;"")*(ROW(PHUONG_XA!$A$2:$A$3323)-ROW(PHUONG_XA!$A$2)+1)))))</f>
        <v/>
      </c>
      <c r="AJ164" s="14"/>
      <c r="AK164" s="14"/>
      <c r="AL164" s="57" t="str">
        <f t="shared" si="3"/>
        <v/>
      </c>
      <c r="AM164" s="14"/>
      <c r="AN164" s="15"/>
      <c r="AO164" s="15"/>
      <c r="AP164" s="48"/>
      <c r="AQ164" s="15"/>
      <c r="AR164" s="15"/>
      <c r="AS164" s="15"/>
      <c r="AT164" s="60" t="str">
        <f>IF(ISNUMBER(MATCH(AU164,LOAI_THE!$B:$B,0)),INDEX(LOAI_THE!$A:$A,MATCH(AU164,LOAI_THE!$B:$B,0)),"")</f>
        <v/>
      </c>
      <c r="AU164" s="48"/>
      <c r="AV164" s="15"/>
      <c r="AW164" s="15"/>
      <c r="AX164" s="15"/>
      <c r="AY164" s="48"/>
    </row>
    <row r="165" spans="1:51" x14ac:dyDescent="0.3">
      <c r="A165" s="13" t="s">
        <v>381</v>
      </c>
      <c r="B165" s="48"/>
      <c r="C165" s="48"/>
      <c r="D165" s="48"/>
      <c r="E165" s="48"/>
      <c r="F165" s="48"/>
      <c r="G165" s="58" t="str">
        <f>IF(ISNUMBER(MATCH(H165,GIOI_TINH!$B:$B,0)),INDEX(GIOI_TINH!$A:$A,MATCH(H165,GIOI_TINH!$B:$B,0)),"")</f>
        <v/>
      </c>
      <c r="H165" s="15"/>
      <c r="I165" s="15"/>
      <c r="J165" s="58" t="str">
        <f>IF(ISNUMBER(MATCH(K165,QUOC_GIA!$B:$B,0)),INDEX(QUOC_GIA!$A:$A,MATCH(K165,QUOC_GIA!$B:$B,0)),"")</f>
        <v/>
      </c>
      <c r="K165" s="50"/>
      <c r="L165" s="15"/>
      <c r="M165" s="58" t="str">
        <f>IF(ISNUMBER(MATCH(N165,LOAI_THUE!$B:$B,0)),INDEX(LOAI_THUE!$A:$A,MATCH(N165,LOAI_THUE!$B:$B,0)),"")</f>
        <v/>
      </c>
      <c r="N165" s="50"/>
      <c r="O165" s="58" t="str">
        <f>IF(ISNUMBER(MATCH(P165,CHI_TIET_LOAI_KH!$B:$B,0)),INDEX(CHI_TIET_LOAI_KH!$A:$A,MATCH(P165,CHI_TIET_LOAI_KH!$B:$B,0)),"")</f>
        <v/>
      </c>
      <c r="P165" s="50"/>
      <c r="Q165" s="58" t="str">
        <f>IF(ISNUMBER(MATCH(R165,NGHE_NGHIEP!$B:$B,0)),INDEX(NGHE_NGHIEP!$A:$A,MATCH(R165,NGHE_NGHIEP!$B:$B,0)),"")</f>
        <v/>
      </c>
      <c r="R165" s="50"/>
      <c r="S165" s="58" t="str">
        <f>IF(ISNUMBER(MATCH(T165,LOAI_ID!$B:$B,0)),INDEX(LOAI_ID!$A:$A,MATCH(T165,LOAI_ID!$B:$B,0)),"")</f>
        <v/>
      </c>
      <c r="T165" s="16"/>
      <c r="U165" s="48"/>
      <c r="V165" s="48"/>
      <c r="W165" s="17"/>
      <c r="X165" s="17"/>
      <c r="Y165" s="15"/>
      <c r="Z165" s="15"/>
      <c r="AA165" s="59" t="str">
        <f>IFERROR(INDEX(NOI_CAP!$B:$B,MATCH(Z165,NOI_CAP!$A:$A,0)),"")</f>
        <v/>
      </c>
      <c r="AB165" s="58" t="str">
        <f>IF(ISNUMBER(MATCH(AC165,LOAI_DIA_CHI!$B:$B,0)),INDEX(LOAI_DIA_CHI!$A:$A,MATCH(AC165,LOAI_DIA_CHI!$B:$B,0)),"")</f>
        <v/>
      </c>
      <c r="AC165" s="16"/>
      <c r="AD165" s="58" t="str">
        <f>IF(ISNUMBER(MATCH(AE165,QUOC_GIA!$B:$B,0)),INDEX(QUOC_GIA!$A:$A,MATCH(AE165,QUOC_GIA!$B:$B,0)),"")</f>
        <v/>
      </c>
      <c r="AE165" s="16"/>
      <c r="AF165" s="48"/>
      <c r="AG165" s="59" t="str">
        <f>IFERROR(INDEX(TINH_TP!$B:$B,MATCH(AF165,TINH_TP!$A:$A,0)),"")</f>
        <v/>
      </c>
      <c r="AH165" s="50"/>
      <c r="AI165" s="59" t="str">
        <f>IF(OR(AF165="",AH165=""),"",IF(COUNTIFS(PHUONG_XA!$A$2:$A$3323,AH165,PHUONG_XA!$C$2:$C$3323,AF165)=0,"",INDEX(PHUONG_XA!$B$2:$B$3323,SUMPRODUCT((PHUONG_XA!$A$2:$A$3323&amp;""=AH165&amp;"")*(PHUONG_XA!$C$2:$C$3323&amp;""=AF165&amp;"")*(ROW(PHUONG_XA!$A$2:$A$3323)-ROW(PHUONG_XA!$A$2)+1)))))</f>
        <v/>
      </c>
      <c r="AJ165" s="14"/>
      <c r="AK165" s="14"/>
      <c r="AL165" s="57" t="str">
        <f t="shared" si="3"/>
        <v/>
      </c>
      <c r="AM165" s="14"/>
      <c r="AN165" s="15"/>
      <c r="AO165" s="15"/>
      <c r="AP165" s="48"/>
      <c r="AQ165" s="15"/>
      <c r="AR165" s="15"/>
      <c r="AS165" s="15"/>
      <c r="AT165" s="60" t="str">
        <f>IF(ISNUMBER(MATCH(AU165,LOAI_THE!$B:$B,0)),INDEX(LOAI_THE!$A:$A,MATCH(AU165,LOAI_THE!$B:$B,0)),"")</f>
        <v/>
      </c>
      <c r="AU165" s="48"/>
      <c r="AV165" s="15"/>
      <c r="AW165" s="15"/>
      <c r="AX165" s="15"/>
      <c r="AY165" s="48"/>
    </row>
    <row r="166" spans="1:51" x14ac:dyDescent="0.3">
      <c r="A166" s="13" t="s">
        <v>383</v>
      </c>
      <c r="B166" s="48"/>
      <c r="C166" s="48"/>
      <c r="D166" s="48"/>
      <c r="E166" s="48"/>
      <c r="F166" s="48"/>
      <c r="G166" s="58" t="str">
        <f>IF(ISNUMBER(MATCH(H166,GIOI_TINH!$B:$B,0)),INDEX(GIOI_TINH!$A:$A,MATCH(H166,GIOI_TINH!$B:$B,0)),"")</f>
        <v/>
      </c>
      <c r="H166" s="15"/>
      <c r="I166" s="15"/>
      <c r="J166" s="58" t="str">
        <f>IF(ISNUMBER(MATCH(K166,QUOC_GIA!$B:$B,0)),INDEX(QUOC_GIA!$A:$A,MATCH(K166,QUOC_GIA!$B:$B,0)),"")</f>
        <v/>
      </c>
      <c r="K166" s="50"/>
      <c r="L166" s="15"/>
      <c r="M166" s="58" t="str">
        <f>IF(ISNUMBER(MATCH(N166,LOAI_THUE!$B:$B,0)),INDEX(LOAI_THUE!$A:$A,MATCH(N166,LOAI_THUE!$B:$B,0)),"")</f>
        <v/>
      </c>
      <c r="N166" s="50"/>
      <c r="O166" s="58" t="str">
        <f>IF(ISNUMBER(MATCH(P166,CHI_TIET_LOAI_KH!$B:$B,0)),INDEX(CHI_TIET_LOAI_KH!$A:$A,MATCH(P166,CHI_TIET_LOAI_KH!$B:$B,0)),"")</f>
        <v/>
      </c>
      <c r="P166" s="50"/>
      <c r="Q166" s="58" t="str">
        <f>IF(ISNUMBER(MATCH(R166,NGHE_NGHIEP!$B:$B,0)),INDEX(NGHE_NGHIEP!$A:$A,MATCH(R166,NGHE_NGHIEP!$B:$B,0)),"")</f>
        <v/>
      </c>
      <c r="R166" s="50"/>
      <c r="S166" s="58" t="str">
        <f>IF(ISNUMBER(MATCH(T166,LOAI_ID!$B:$B,0)),INDEX(LOAI_ID!$A:$A,MATCH(T166,LOAI_ID!$B:$B,0)),"")</f>
        <v/>
      </c>
      <c r="T166" s="16"/>
      <c r="U166" s="48"/>
      <c r="V166" s="48"/>
      <c r="W166" s="17"/>
      <c r="X166" s="17"/>
      <c r="Y166" s="15"/>
      <c r="Z166" s="15"/>
      <c r="AA166" s="59" t="str">
        <f>IFERROR(INDEX(NOI_CAP!$B:$B,MATCH(Z166,NOI_CAP!$A:$A,0)),"")</f>
        <v/>
      </c>
      <c r="AB166" s="58" t="str">
        <f>IF(ISNUMBER(MATCH(AC166,LOAI_DIA_CHI!$B:$B,0)),INDEX(LOAI_DIA_CHI!$A:$A,MATCH(AC166,LOAI_DIA_CHI!$B:$B,0)),"")</f>
        <v/>
      </c>
      <c r="AC166" s="16"/>
      <c r="AD166" s="58" t="str">
        <f>IF(ISNUMBER(MATCH(AE166,QUOC_GIA!$B:$B,0)),INDEX(QUOC_GIA!$A:$A,MATCH(AE166,QUOC_GIA!$B:$B,0)),"")</f>
        <v/>
      </c>
      <c r="AE166" s="16"/>
      <c r="AF166" s="48"/>
      <c r="AG166" s="59" t="str">
        <f>IFERROR(INDEX(TINH_TP!$B:$B,MATCH(AF166,TINH_TP!$A:$A,0)),"")</f>
        <v/>
      </c>
      <c r="AH166" s="50"/>
      <c r="AI166" s="59" t="str">
        <f>IF(OR(AF166="",AH166=""),"",IF(COUNTIFS(PHUONG_XA!$A$2:$A$3323,AH166,PHUONG_XA!$C$2:$C$3323,AF166)=0,"",INDEX(PHUONG_XA!$B$2:$B$3323,SUMPRODUCT((PHUONG_XA!$A$2:$A$3323&amp;""=AH166&amp;"")*(PHUONG_XA!$C$2:$C$3323&amp;""=AF166&amp;"")*(ROW(PHUONG_XA!$A$2:$A$3323)-ROW(PHUONG_XA!$A$2)+1)))))</f>
        <v/>
      </c>
      <c r="AJ166" s="14"/>
      <c r="AK166" s="14"/>
      <c r="AL166" s="57" t="str">
        <f t="shared" si="3"/>
        <v/>
      </c>
      <c r="AM166" s="14"/>
      <c r="AN166" s="15"/>
      <c r="AO166" s="15"/>
      <c r="AP166" s="48"/>
      <c r="AQ166" s="15"/>
      <c r="AR166" s="15"/>
      <c r="AS166" s="15"/>
      <c r="AT166" s="60" t="str">
        <f>IF(ISNUMBER(MATCH(AU166,LOAI_THE!$B:$B,0)),INDEX(LOAI_THE!$A:$A,MATCH(AU166,LOAI_THE!$B:$B,0)),"")</f>
        <v/>
      </c>
      <c r="AU166" s="48"/>
      <c r="AV166" s="15"/>
      <c r="AW166" s="15"/>
      <c r="AX166" s="15"/>
      <c r="AY166" s="48"/>
    </row>
    <row r="167" spans="1:51" x14ac:dyDescent="0.3">
      <c r="A167" s="13" t="s">
        <v>385</v>
      </c>
      <c r="B167" s="48"/>
      <c r="C167" s="48"/>
      <c r="D167" s="48"/>
      <c r="E167" s="48"/>
      <c r="F167" s="48"/>
      <c r="G167" s="58" t="str">
        <f>IF(ISNUMBER(MATCH(H167,GIOI_TINH!$B:$B,0)),INDEX(GIOI_TINH!$A:$A,MATCH(H167,GIOI_TINH!$B:$B,0)),"")</f>
        <v/>
      </c>
      <c r="H167" s="15"/>
      <c r="I167" s="15"/>
      <c r="J167" s="58" t="str">
        <f>IF(ISNUMBER(MATCH(K167,QUOC_GIA!$B:$B,0)),INDEX(QUOC_GIA!$A:$A,MATCH(K167,QUOC_GIA!$B:$B,0)),"")</f>
        <v/>
      </c>
      <c r="K167" s="50"/>
      <c r="L167" s="15"/>
      <c r="M167" s="58" t="str">
        <f>IF(ISNUMBER(MATCH(N167,LOAI_THUE!$B:$B,0)),INDEX(LOAI_THUE!$A:$A,MATCH(N167,LOAI_THUE!$B:$B,0)),"")</f>
        <v/>
      </c>
      <c r="N167" s="50"/>
      <c r="O167" s="58" t="str">
        <f>IF(ISNUMBER(MATCH(P167,CHI_TIET_LOAI_KH!$B:$B,0)),INDEX(CHI_TIET_LOAI_KH!$A:$A,MATCH(P167,CHI_TIET_LOAI_KH!$B:$B,0)),"")</f>
        <v/>
      </c>
      <c r="P167" s="50"/>
      <c r="Q167" s="58" t="str">
        <f>IF(ISNUMBER(MATCH(R167,NGHE_NGHIEP!$B:$B,0)),INDEX(NGHE_NGHIEP!$A:$A,MATCH(R167,NGHE_NGHIEP!$B:$B,0)),"")</f>
        <v/>
      </c>
      <c r="R167" s="50"/>
      <c r="S167" s="58" t="str">
        <f>IF(ISNUMBER(MATCH(T167,LOAI_ID!$B:$B,0)),INDEX(LOAI_ID!$A:$A,MATCH(T167,LOAI_ID!$B:$B,0)),"")</f>
        <v/>
      </c>
      <c r="T167" s="16"/>
      <c r="U167" s="48"/>
      <c r="V167" s="48"/>
      <c r="W167" s="17"/>
      <c r="X167" s="17"/>
      <c r="Y167" s="15"/>
      <c r="Z167" s="15"/>
      <c r="AA167" s="59" t="str">
        <f>IFERROR(INDEX(NOI_CAP!$B:$B,MATCH(Z167,NOI_CAP!$A:$A,0)),"")</f>
        <v/>
      </c>
      <c r="AB167" s="58" t="str">
        <f>IF(ISNUMBER(MATCH(AC167,LOAI_DIA_CHI!$B:$B,0)),INDEX(LOAI_DIA_CHI!$A:$A,MATCH(AC167,LOAI_DIA_CHI!$B:$B,0)),"")</f>
        <v/>
      </c>
      <c r="AC167" s="16"/>
      <c r="AD167" s="58" t="str">
        <f>IF(ISNUMBER(MATCH(AE167,QUOC_GIA!$B:$B,0)),INDEX(QUOC_GIA!$A:$A,MATCH(AE167,QUOC_GIA!$B:$B,0)),"")</f>
        <v/>
      </c>
      <c r="AE167" s="16"/>
      <c r="AF167" s="48"/>
      <c r="AG167" s="59" t="str">
        <f>IFERROR(INDEX(TINH_TP!$B:$B,MATCH(AF167,TINH_TP!$A:$A,0)),"")</f>
        <v/>
      </c>
      <c r="AH167" s="50"/>
      <c r="AI167" s="59" t="str">
        <f>IF(OR(AF167="",AH167=""),"",IF(COUNTIFS(PHUONG_XA!$A$2:$A$3323,AH167,PHUONG_XA!$C$2:$C$3323,AF167)=0,"",INDEX(PHUONG_XA!$B$2:$B$3323,SUMPRODUCT((PHUONG_XA!$A$2:$A$3323&amp;""=AH167&amp;"")*(PHUONG_XA!$C$2:$C$3323&amp;""=AF167&amp;"")*(ROW(PHUONG_XA!$A$2:$A$3323)-ROW(PHUONG_XA!$A$2)+1)))))</f>
        <v/>
      </c>
      <c r="AJ167" s="14"/>
      <c r="AK167" s="14"/>
      <c r="AL167" s="57" t="str">
        <f t="shared" si="3"/>
        <v/>
      </c>
      <c r="AM167" s="14"/>
      <c r="AN167" s="15"/>
      <c r="AO167" s="15"/>
      <c r="AP167" s="48"/>
      <c r="AQ167" s="15"/>
      <c r="AR167" s="15"/>
      <c r="AS167" s="15"/>
      <c r="AT167" s="60" t="str">
        <f>IF(ISNUMBER(MATCH(AU167,LOAI_THE!$B:$B,0)),INDEX(LOAI_THE!$A:$A,MATCH(AU167,LOAI_THE!$B:$B,0)),"")</f>
        <v/>
      </c>
      <c r="AU167" s="48"/>
      <c r="AV167" s="15"/>
      <c r="AW167" s="15"/>
      <c r="AX167" s="15"/>
      <c r="AY167" s="48"/>
    </row>
    <row r="168" spans="1:51" x14ac:dyDescent="0.3">
      <c r="A168" s="13" t="s">
        <v>387</v>
      </c>
      <c r="B168" s="48"/>
      <c r="C168" s="48"/>
      <c r="D168" s="48"/>
      <c r="E168" s="48"/>
      <c r="F168" s="48"/>
      <c r="G168" s="58" t="str">
        <f>IF(ISNUMBER(MATCH(H168,GIOI_TINH!$B:$B,0)),INDEX(GIOI_TINH!$A:$A,MATCH(H168,GIOI_TINH!$B:$B,0)),"")</f>
        <v/>
      </c>
      <c r="H168" s="15"/>
      <c r="I168" s="15"/>
      <c r="J168" s="58" t="str">
        <f>IF(ISNUMBER(MATCH(K168,QUOC_GIA!$B:$B,0)),INDEX(QUOC_GIA!$A:$A,MATCH(K168,QUOC_GIA!$B:$B,0)),"")</f>
        <v/>
      </c>
      <c r="K168" s="50"/>
      <c r="L168" s="15"/>
      <c r="M168" s="58" t="str">
        <f>IF(ISNUMBER(MATCH(N168,LOAI_THUE!$B:$B,0)),INDEX(LOAI_THUE!$A:$A,MATCH(N168,LOAI_THUE!$B:$B,0)),"")</f>
        <v/>
      </c>
      <c r="N168" s="50"/>
      <c r="O168" s="58" t="str">
        <f>IF(ISNUMBER(MATCH(P168,CHI_TIET_LOAI_KH!$B:$B,0)),INDEX(CHI_TIET_LOAI_KH!$A:$A,MATCH(P168,CHI_TIET_LOAI_KH!$B:$B,0)),"")</f>
        <v/>
      </c>
      <c r="P168" s="50"/>
      <c r="Q168" s="58" t="str">
        <f>IF(ISNUMBER(MATCH(R168,NGHE_NGHIEP!$B:$B,0)),INDEX(NGHE_NGHIEP!$A:$A,MATCH(R168,NGHE_NGHIEP!$B:$B,0)),"")</f>
        <v/>
      </c>
      <c r="R168" s="50"/>
      <c r="S168" s="58" t="str">
        <f>IF(ISNUMBER(MATCH(T168,LOAI_ID!$B:$B,0)),INDEX(LOAI_ID!$A:$A,MATCH(T168,LOAI_ID!$B:$B,0)),"")</f>
        <v/>
      </c>
      <c r="T168" s="16"/>
      <c r="U168" s="48"/>
      <c r="V168" s="48"/>
      <c r="W168" s="17"/>
      <c r="X168" s="17"/>
      <c r="Y168" s="15"/>
      <c r="Z168" s="15"/>
      <c r="AA168" s="59" t="str">
        <f>IFERROR(INDEX(NOI_CAP!$B:$B,MATCH(Z168,NOI_CAP!$A:$A,0)),"")</f>
        <v/>
      </c>
      <c r="AB168" s="58" t="str">
        <f>IF(ISNUMBER(MATCH(AC168,LOAI_DIA_CHI!$B:$B,0)),INDEX(LOAI_DIA_CHI!$A:$A,MATCH(AC168,LOAI_DIA_CHI!$B:$B,0)),"")</f>
        <v/>
      </c>
      <c r="AC168" s="16"/>
      <c r="AD168" s="58" t="str">
        <f>IF(ISNUMBER(MATCH(AE168,QUOC_GIA!$B:$B,0)),INDEX(QUOC_GIA!$A:$A,MATCH(AE168,QUOC_GIA!$B:$B,0)),"")</f>
        <v/>
      </c>
      <c r="AE168" s="16"/>
      <c r="AF168" s="48"/>
      <c r="AG168" s="59" t="str">
        <f>IFERROR(INDEX(TINH_TP!$B:$B,MATCH(AF168,TINH_TP!$A:$A,0)),"")</f>
        <v/>
      </c>
      <c r="AH168" s="50"/>
      <c r="AI168" s="59" t="str">
        <f>IF(OR(AF168="",AH168=""),"",IF(COUNTIFS(PHUONG_XA!$A$2:$A$3323,AH168,PHUONG_XA!$C$2:$C$3323,AF168)=0,"",INDEX(PHUONG_XA!$B$2:$B$3323,SUMPRODUCT((PHUONG_XA!$A$2:$A$3323&amp;""=AH168&amp;"")*(PHUONG_XA!$C$2:$C$3323&amp;""=AF168&amp;"")*(ROW(PHUONG_XA!$A$2:$A$3323)-ROW(PHUONG_XA!$A$2)+1)))))</f>
        <v/>
      </c>
      <c r="AJ168" s="14"/>
      <c r="AK168" s="14"/>
      <c r="AL168" s="57" t="str">
        <f t="shared" si="3"/>
        <v/>
      </c>
      <c r="AM168" s="14"/>
      <c r="AN168" s="15"/>
      <c r="AO168" s="15"/>
      <c r="AP168" s="48"/>
      <c r="AQ168" s="15"/>
      <c r="AR168" s="15"/>
      <c r="AS168" s="15"/>
      <c r="AT168" s="60" t="str">
        <f>IF(ISNUMBER(MATCH(AU168,LOAI_THE!$B:$B,0)),INDEX(LOAI_THE!$A:$A,MATCH(AU168,LOAI_THE!$B:$B,0)),"")</f>
        <v/>
      </c>
      <c r="AU168" s="48"/>
      <c r="AV168" s="15"/>
      <c r="AW168" s="15"/>
      <c r="AX168" s="15"/>
      <c r="AY168" s="48"/>
    </row>
    <row r="169" spans="1:51" x14ac:dyDescent="0.3">
      <c r="A169" s="13" t="s">
        <v>389</v>
      </c>
      <c r="B169" s="48"/>
      <c r="C169" s="48"/>
      <c r="D169" s="48"/>
      <c r="E169" s="48"/>
      <c r="F169" s="48"/>
      <c r="G169" s="58" t="str">
        <f>IF(ISNUMBER(MATCH(H169,GIOI_TINH!$B:$B,0)),INDEX(GIOI_TINH!$A:$A,MATCH(H169,GIOI_TINH!$B:$B,0)),"")</f>
        <v/>
      </c>
      <c r="H169" s="15"/>
      <c r="I169" s="15"/>
      <c r="J169" s="58" t="str">
        <f>IF(ISNUMBER(MATCH(K169,QUOC_GIA!$B:$B,0)),INDEX(QUOC_GIA!$A:$A,MATCH(K169,QUOC_GIA!$B:$B,0)),"")</f>
        <v/>
      </c>
      <c r="K169" s="50"/>
      <c r="L169" s="15"/>
      <c r="M169" s="58" t="str">
        <f>IF(ISNUMBER(MATCH(N169,LOAI_THUE!$B:$B,0)),INDEX(LOAI_THUE!$A:$A,MATCH(N169,LOAI_THUE!$B:$B,0)),"")</f>
        <v/>
      </c>
      <c r="N169" s="50"/>
      <c r="O169" s="58" t="str">
        <f>IF(ISNUMBER(MATCH(P169,CHI_TIET_LOAI_KH!$B:$B,0)),INDEX(CHI_TIET_LOAI_KH!$A:$A,MATCH(P169,CHI_TIET_LOAI_KH!$B:$B,0)),"")</f>
        <v/>
      </c>
      <c r="P169" s="50"/>
      <c r="Q169" s="58" t="str">
        <f>IF(ISNUMBER(MATCH(R169,NGHE_NGHIEP!$B:$B,0)),INDEX(NGHE_NGHIEP!$A:$A,MATCH(R169,NGHE_NGHIEP!$B:$B,0)),"")</f>
        <v/>
      </c>
      <c r="R169" s="50"/>
      <c r="S169" s="58" t="str">
        <f>IF(ISNUMBER(MATCH(T169,LOAI_ID!$B:$B,0)),INDEX(LOAI_ID!$A:$A,MATCH(T169,LOAI_ID!$B:$B,0)),"")</f>
        <v/>
      </c>
      <c r="T169" s="16"/>
      <c r="U169" s="48"/>
      <c r="V169" s="48"/>
      <c r="W169" s="17"/>
      <c r="X169" s="17"/>
      <c r="Y169" s="15"/>
      <c r="Z169" s="15"/>
      <c r="AA169" s="59" t="str">
        <f>IFERROR(INDEX(NOI_CAP!$B:$B,MATCH(Z169,NOI_CAP!$A:$A,0)),"")</f>
        <v/>
      </c>
      <c r="AB169" s="58" t="str">
        <f>IF(ISNUMBER(MATCH(AC169,LOAI_DIA_CHI!$B:$B,0)),INDEX(LOAI_DIA_CHI!$A:$A,MATCH(AC169,LOAI_DIA_CHI!$B:$B,0)),"")</f>
        <v/>
      </c>
      <c r="AC169" s="16"/>
      <c r="AD169" s="58" t="str">
        <f>IF(ISNUMBER(MATCH(AE169,QUOC_GIA!$B:$B,0)),INDEX(QUOC_GIA!$A:$A,MATCH(AE169,QUOC_GIA!$B:$B,0)),"")</f>
        <v/>
      </c>
      <c r="AE169" s="16"/>
      <c r="AF169" s="48"/>
      <c r="AG169" s="59" t="str">
        <f>IFERROR(INDEX(TINH_TP!$B:$B,MATCH(AF169,TINH_TP!$A:$A,0)),"")</f>
        <v/>
      </c>
      <c r="AH169" s="50"/>
      <c r="AI169" s="59" t="str">
        <f>IF(OR(AF169="",AH169=""),"",IF(COUNTIFS(PHUONG_XA!$A$2:$A$3323,AH169,PHUONG_XA!$C$2:$C$3323,AF169)=0,"",INDEX(PHUONG_XA!$B$2:$B$3323,SUMPRODUCT((PHUONG_XA!$A$2:$A$3323&amp;""=AH169&amp;"")*(PHUONG_XA!$C$2:$C$3323&amp;""=AF169&amp;"")*(ROW(PHUONG_XA!$A$2:$A$3323)-ROW(PHUONG_XA!$A$2)+1)))))</f>
        <v/>
      </c>
      <c r="AJ169" s="14"/>
      <c r="AK169" s="14"/>
      <c r="AL169" s="57" t="str">
        <f t="shared" si="3"/>
        <v/>
      </c>
      <c r="AM169" s="14"/>
      <c r="AN169" s="15"/>
      <c r="AO169" s="15"/>
      <c r="AP169" s="48"/>
      <c r="AQ169" s="15"/>
      <c r="AR169" s="15"/>
      <c r="AS169" s="15"/>
      <c r="AT169" s="60" t="str">
        <f>IF(ISNUMBER(MATCH(AU169,LOAI_THE!$B:$B,0)),INDEX(LOAI_THE!$A:$A,MATCH(AU169,LOAI_THE!$B:$B,0)),"")</f>
        <v/>
      </c>
      <c r="AU169" s="48"/>
      <c r="AV169" s="15"/>
      <c r="AW169" s="15"/>
      <c r="AX169" s="15"/>
      <c r="AY169" s="48"/>
    </row>
    <row r="170" spans="1:51" x14ac:dyDescent="0.3">
      <c r="A170" s="13" t="s">
        <v>391</v>
      </c>
      <c r="B170" s="48"/>
      <c r="C170" s="48"/>
      <c r="D170" s="48"/>
      <c r="E170" s="48"/>
      <c r="F170" s="48"/>
      <c r="G170" s="58" t="str">
        <f>IF(ISNUMBER(MATCH(H170,GIOI_TINH!$B:$B,0)),INDEX(GIOI_TINH!$A:$A,MATCH(H170,GIOI_TINH!$B:$B,0)),"")</f>
        <v/>
      </c>
      <c r="H170" s="15"/>
      <c r="I170" s="15"/>
      <c r="J170" s="58" t="str">
        <f>IF(ISNUMBER(MATCH(K170,QUOC_GIA!$B:$B,0)),INDEX(QUOC_GIA!$A:$A,MATCH(K170,QUOC_GIA!$B:$B,0)),"")</f>
        <v/>
      </c>
      <c r="K170" s="50"/>
      <c r="L170" s="15"/>
      <c r="M170" s="58" t="str">
        <f>IF(ISNUMBER(MATCH(N170,LOAI_THUE!$B:$B,0)),INDEX(LOAI_THUE!$A:$A,MATCH(N170,LOAI_THUE!$B:$B,0)),"")</f>
        <v/>
      </c>
      <c r="N170" s="50"/>
      <c r="O170" s="58" t="str">
        <f>IF(ISNUMBER(MATCH(P170,CHI_TIET_LOAI_KH!$B:$B,0)),INDEX(CHI_TIET_LOAI_KH!$A:$A,MATCH(P170,CHI_TIET_LOAI_KH!$B:$B,0)),"")</f>
        <v/>
      </c>
      <c r="P170" s="50"/>
      <c r="Q170" s="58" t="str">
        <f>IF(ISNUMBER(MATCH(R170,NGHE_NGHIEP!$B:$B,0)),INDEX(NGHE_NGHIEP!$A:$A,MATCH(R170,NGHE_NGHIEP!$B:$B,0)),"")</f>
        <v/>
      </c>
      <c r="R170" s="50"/>
      <c r="S170" s="58" t="str">
        <f>IF(ISNUMBER(MATCH(T170,LOAI_ID!$B:$B,0)),INDEX(LOAI_ID!$A:$A,MATCH(T170,LOAI_ID!$B:$B,0)),"")</f>
        <v/>
      </c>
      <c r="T170" s="16"/>
      <c r="U170" s="48"/>
      <c r="V170" s="48"/>
      <c r="W170" s="17"/>
      <c r="X170" s="17"/>
      <c r="Y170" s="15"/>
      <c r="Z170" s="15"/>
      <c r="AA170" s="59" t="str">
        <f>IFERROR(INDEX(NOI_CAP!$B:$B,MATCH(Z170,NOI_CAP!$A:$A,0)),"")</f>
        <v/>
      </c>
      <c r="AB170" s="58" t="str">
        <f>IF(ISNUMBER(MATCH(AC170,LOAI_DIA_CHI!$B:$B,0)),INDEX(LOAI_DIA_CHI!$A:$A,MATCH(AC170,LOAI_DIA_CHI!$B:$B,0)),"")</f>
        <v/>
      </c>
      <c r="AC170" s="16"/>
      <c r="AD170" s="58" t="str">
        <f>IF(ISNUMBER(MATCH(AE170,QUOC_GIA!$B:$B,0)),INDEX(QUOC_GIA!$A:$A,MATCH(AE170,QUOC_GIA!$B:$B,0)),"")</f>
        <v/>
      </c>
      <c r="AE170" s="16"/>
      <c r="AF170" s="48"/>
      <c r="AG170" s="59" t="str">
        <f>IFERROR(INDEX(TINH_TP!$B:$B,MATCH(AF170,TINH_TP!$A:$A,0)),"")</f>
        <v/>
      </c>
      <c r="AH170" s="50"/>
      <c r="AI170" s="59" t="str">
        <f>IF(OR(AF170="",AH170=""),"",IF(COUNTIFS(PHUONG_XA!$A$2:$A$3323,AH170,PHUONG_XA!$C$2:$C$3323,AF170)=0,"",INDEX(PHUONG_XA!$B$2:$B$3323,SUMPRODUCT((PHUONG_XA!$A$2:$A$3323&amp;""=AH170&amp;"")*(PHUONG_XA!$C$2:$C$3323&amp;""=AF170&amp;"")*(ROW(PHUONG_XA!$A$2:$A$3323)-ROW(PHUONG_XA!$A$2)+1)))))</f>
        <v/>
      </c>
      <c r="AJ170" s="14"/>
      <c r="AK170" s="14"/>
      <c r="AL170" s="57" t="str">
        <f t="shared" si="3"/>
        <v/>
      </c>
      <c r="AM170" s="14"/>
      <c r="AN170" s="15"/>
      <c r="AO170" s="15"/>
      <c r="AP170" s="48"/>
      <c r="AQ170" s="15"/>
      <c r="AR170" s="15"/>
      <c r="AS170" s="15"/>
      <c r="AT170" s="60" t="str">
        <f>IF(ISNUMBER(MATCH(AU170,LOAI_THE!$B:$B,0)),INDEX(LOAI_THE!$A:$A,MATCH(AU170,LOAI_THE!$B:$B,0)),"")</f>
        <v/>
      </c>
      <c r="AU170" s="48"/>
      <c r="AV170" s="15"/>
      <c r="AW170" s="15"/>
      <c r="AX170" s="15"/>
      <c r="AY170" s="48"/>
    </row>
    <row r="171" spans="1:51" x14ac:dyDescent="0.3">
      <c r="A171" s="13" t="s">
        <v>393</v>
      </c>
      <c r="B171" s="48"/>
      <c r="C171" s="48"/>
      <c r="D171" s="48"/>
      <c r="E171" s="48"/>
      <c r="F171" s="48"/>
      <c r="G171" s="58" t="str">
        <f>IF(ISNUMBER(MATCH(H171,GIOI_TINH!$B:$B,0)),INDEX(GIOI_TINH!$A:$A,MATCH(H171,GIOI_TINH!$B:$B,0)),"")</f>
        <v/>
      </c>
      <c r="H171" s="15"/>
      <c r="I171" s="15"/>
      <c r="J171" s="58" t="str">
        <f>IF(ISNUMBER(MATCH(K171,QUOC_GIA!$B:$B,0)),INDEX(QUOC_GIA!$A:$A,MATCH(K171,QUOC_GIA!$B:$B,0)),"")</f>
        <v/>
      </c>
      <c r="K171" s="50"/>
      <c r="L171" s="15"/>
      <c r="M171" s="58" t="str">
        <f>IF(ISNUMBER(MATCH(N171,LOAI_THUE!$B:$B,0)),INDEX(LOAI_THUE!$A:$A,MATCH(N171,LOAI_THUE!$B:$B,0)),"")</f>
        <v/>
      </c>
      <c r="N171" s="50"/>
      <c r="O171" s="58" t="str">
        <f>IF(ISNUMBER(MATCH(P171,CHI_TIET_LOAI_KH!$B:$B,0)),INDEX(CHI_TIET_LOAI_KH!$A:$A,MATCH(P171,CHI_TIET_LOAI_KH!$B:$B,0)),"")</f>
        <v/>
      </c>
      <c r="P171" s="50"/>
      <c r="Q171" s="58" t="str">
        <f>IF(ISNUMBER(MATCH(R171,NGHE_NGHIEP!$B:$B,0)),INDEX(NGHE_NGHIEP!$A:$A,MATCH(R171,NGHE_NGHIEP!$B:$B,0)),"")</f>
        <v/>
      </c>
      <c r="R171" s="50"/>
      <c r="S171" s="58" t="str">
        <f>IF(ISNUMBER(MATCH(T171,LOAI_ID!$B:$B,0)),INDEX(LOAI_ID!$A:$A,MATCH(T171,LOAI_ID!$B:$B,0)),"")</f>
        <v/>
      </c>
      <c r="T171" s="16"/>
      <c r="U171" s="48"/>
      <c r="V171" s="48"/>
      <c r="W171" s="17"/>
      <c r="X171" s="17"/>
      <c r="Y171" s="15"/>
      <c r="Z171" s="15"/>
      <c r="AA171" s="59" t="str">
        <f>IFERROR(INDEX(NOI_CAP!$B:$B,MATCH(Z171,NOI_CAP!$A:$A,0)),"")</f>
        <v/>
      </c>
      <c r="AB171" s="58" t="str">
        <f>IF(ISNUMBER(MATCH(AC171,LOAI_DIA_CHI!$B:$B,0)),INDEX(LOAI_DIA_CHI!$A:$A,MATCH(AC171,LOAI_DIA_CHI!$B:$B,0)),"")</f>
        <v/>
      </c>
      <c r="AC171" s="16"/>
      <c r="AD171" s="58" t="str">
        <f>IF(ISNUMBER(MATCH(AE171,QUOC_GIA!$B:$B,0)),INDEX(QUOC_GIA!$A:$A,MATCH(AE171,QUOC_GIA!$B:$B,0)),"")</f>
        <v/>
      </c>
      <c r="AE171" s="16"/>
      <c r="AF171" s="48"/>
      <c r="AG171" s="59" t="str">
        <f>IFERROR(INDEX(TINH_TP!$B:$B,MATCH(AF171,TINH_TP!$A:$A,0)),"")</f>
        <v/>
      </c>
      <c r="AH171" s="50"/>
      <c r="AI171" s="59" t="str">
        <f>IF(OR(AF171="",AH171=""),"",IF(COUNTIFS(PHUONG_XA!$A$2:$A$3323,AH171,PHUONG_XA!$C$2:$C$3323,AF171)=0,"",INDEX(PHUONG_XA!$B$2:$B$3323,SUMPRODUCT((PHUONG_XA!$A$2:$A$3323&amp;""=AH171&amp;"")*(PHUONG_XA!$C$2:$C$3323&amp;""=AF171&amp;"")*(ROW(PHUONG_XA!$A$2:$A$3323)-ROW(PHUONG_XA!$A$2)+1)))))</f>
        <v/>
      </c>
      <c r="AJ171" s="14"/>
      <c r="AK171" s="14"/>
      <c r="AL171" s="57" t="str">
        <f t="shared" si="3"/>
        <v/>
      </c>
      <c r="AM171" s="14"/>
      <c r="AN171" s="15"/>
      <c r="AO171" s="15"/>
      <c r="AP171" s="48"/>
      <c r="AQ171" s="15"/>
      <c r="AR171" s="15"/>
      <c r="AS171" s="15"/>
      <c r="AT171" s="60" t="str">
        <f>IF(ISNUMBER(MATCH(AU171,LOAI_THE!$B:$B,0)),INDEX(LOAI_THE!$A:$A,MATCH(AU171,LOAI_THE!$B:$B,0)),"")</f>
        <v/>
      </c>
      <c r="AU171" s="48"/>
      <c r="AV171" s="15"/>
      <c r="AW171" s="15"/>
      <c r="AX171" s="15"/>
      <c r="AY171" s="48"/>
    </row>
    <row r="172" spans="1:51" x14ac:dyDescent="0.3">
      <c r="A172" s="13" t="s">
        <v>395</v>
      </c>
      <c r="B172" s="48"/>
      <c r="C172" s="48"/>
      <c r="D172" s="48"/>
      <c r="E172" s="48"/>
      <c r="F172" s="48"/>
      <c r="G172" s="58" t="str">
        <f>IF(ISNUMBER(MATCH(H172,GIOI_TINH!$B:$B,0)),INDEX(GIOI_TINH!$A:$A,MATCH(H172,GIOI_TINH!$B:$B,0)),"")</f>
        <v/>
      </c>
      <c r="H172" s="15"/>
      <c r="I172" s="15"/>
      <c r="J172" s="58" t="str">
        <f>IF(ISNUMBER(MATCH(K172,QUOC_GIA!$B:$B,0)),INDEX(QUOC_GIA!$A:$A,MATCH(K172,QUOC_GIA!$B:$B,0)),"")</f>
        <v/>
      </c>
      <c r="K172" s="50"/>
      <c r="L172" s="15"/>
      <c r="M172" s="58" t="str">
        <f>IF(ISNUMBER(MATCH(N172,LOAI_THUE!$B:$B,0)),INDEX(LOAI_THUE!$A:$A,MATCH(N172,LOAI_THUE!$B:$B,0)),"")</f>
        <v/>
      </c>
      <c r="N172" s="50"/>
      <c r="O172" s="58" t="str">
        <f>IF(ISNUMBER(MATCH(P172,CHI_TIET_LOAI_KH!$B:$B,0)),INDEX(CHI_TIET_LOAI_KH!$A:$A,MATCH(P172,CHI_TIET_LOAI_KH!$B:$B,0)),"")</f>
        <v/>
      </c>
      <c r="P172" s="50"/>
      <c r="Q172" s="58" t="str">
        <f>IF(ISNUMBER(MATCH(R172,NGHE_NGHIEP!$B:$B,0)),INDEX(NGHE_NGHIEP!$A:$A,MATCH(R172,NGHE_NGHIEP!$B:$B,0)),"")</f>
        <v/>
      </c>
      <c r="R172" s="50"/>
      <c r="S172" s="58" t="str">
        <f>IF(ISNUMBER(MATCH(T172,LOAI_ID!$B:$B,0)),INDEX(LOAI_ID!$A:$A,MATCH(T172,LOAI_ID!$B:$B,0)),"")</f>
        <v/>
      </c>
      <c r="T172" s="16"/>
      <c r="U172" s="48"/>
      <c r="V172" s="48"/>
      <c r="W172" s="17"/>
      <c r="X172" s="17"/>
      <c r="Y172" s="15"/>
      <c r="Z172" s="15"/>
      <c r="AA172" s="59" t="str">
        <f>IFERROR(INDEX(NOI_CAP!$B:$B,MATCH(Z172,NOI_CAP!$A:$A,0)),"")</f>
        <v/>
      </c>
      <c r="AB172" s="58" t="str">
        <f>IF(ISNUMBER(MATCH(AC172,LOAI_DIA_CHI!$B:$B,0)),INDEX(LOAI_DIA_CHI!$A:$A,MATCH(AC172,LOAI_DIA_CHI!$B:$B,0)),"")</f>
        <v/>
      </c>
      <c r="AC172" s="16"/>
      <c r="AD172" s="58" t="str">
        <f>IF(ISNUMBER(MATCH(AE172,QUOC_GIA!$B:$B,0)),INDEX(QUOC_GIA!$A:$A,MATCH(AE172,QUOC_GIA!$B:$B,0)),"")</f>
        <v/>
      </c>
      <c r="AE172" s="16"/>
      <c r="AF172" s="48"/>
      <c r="AG172" s="59" t="str">
        <f>IFERROR(INDEX(TINH_TP!$B:$B,MATCH(AF172,TINH_TP!$A:$A,0)),"")</f>
        <v/>
      </c>
      <c r="AH172" s="50"/>
      <c r="AI172" s="59" t="str">
        <f>IF(OR(AF172="",AH172=""),"",IF(COUNTIFS(PHUONG_XA!$A$2:$A$3323,AH172,PHUONG_XA!$C$2:$C$3323,AF172)=0,"",INDEX(PHUONG_XA!$B$2:$B$3323,SUMPRODUCT((PHUONG_XA!$A$2:$A$3323&amp;""=AH172&amp;"")*(PHUONG_XA!$C$2:$C$3323&amp;""=AF172&amp;"")*(ROW(PHUONG_XA!$A$2:$A$3323)-ROW(PHUONG_XA!$A$2)+1)))))</f>
        <v/>
      </c>
      <c r="AJ172" s="14"/>
      <c r="AK172" s="14"/>
      <c r="AL172" s="57" t="str">
        <f t="shared" si="3"/>
        <v/>
      </c>
      <c r="AM172" s="14"/>
      <c r="AN172" s="15"/>
      <c r="AO172" s="15"/>
      <c r="AP172" s="48"/>
      <c r="AQ172" s="15"/>
      <c r="AR172" s="15"/>
      <c r="AS172" s="15"/>
      <c r="AT172" s="60" t="str">
        <f>IF(ISNUMBER(MATCH(AU172,LOAI_THE!$B:$B,0)),INDEX(LOAI_THE!$A:$A,MATCH(AU172,LOAI_THE!$B:$B,0)),"")</f>
        <v/>
      </c>
      <c r="AU172" s="48"/>
      <c r="AV172" s="15"/>
      <c r="AW172" s="15"/>
      <c r="AX172" s="15"/>
      <c r="AY172" s="48"/>
    </row>
    <row r="173" spans="1:51" x14ac:dyDescent="0.3">
      <c r="A173" s="13" t="s">
        <v>397</v>
      </c>
      <c r="B173" s="48"/>
      <c r="C173" s="48"/>
      <c r="D173" s="48"/>
      <c r="E173" s="48"/>
      <c r="F173" s="48"/>
      <c r="G173" s="58" t="str">
        <f>IF(ISNUMBER(MATCH(H173,GIOI_TINH!$B:$B,0)),INDEX(GIOI_TINH!$A:$A,MATCH(H173,GIOI_TINH!$B:$B,0)),"")</f>
        <v/>
      </c>
      <c r="H173" s="15"/>
      <c r="I173" s="15"/>
      <c r="J173" s="58" t="str">
        <f>IF(ISNUMBER(MATCH(K173,QUOC_GIA!$B:$B,0)),INDEX(QUOC_GIA!$A:$A,MATCH(K173,QUOC_GIA!$B:$B,0)),"")</f>
        <v/>
      </c>
      <c r="K173" s="50"/>
      <c r="L173" s="15"/>
      <c r="M173" s="58" t="str">
        <f>IF(ISNUMBER(MATCH(N173,LOAI_THUE!$B:$B,0)),INDEX(LOAI_THUE!$A:$A,MATCH(N173,LOAI_THUE!$B:$B,0)),"")</f>
        <v/>
      </c>
      <c r="N173" s="50"/>
      <c r="O173" s="58" t="str">
        <f>IF(ISNUMBER(MATCH(P173,CHI_TIET_LOAI_KH!$B:$B,0)),INDEX(CHI_TIET_LOAI_KH!$A:$A,MATCH(P173,CHI_TIET_LOAI_KH!$B:$B,0)),"")</f>
        <v/>
      </c>
      <c r="P173" s="50"/>
      <c r="Q173" s="58" t="str">
        <f>IF(ISNUMBER(MATCH(R173,NGHE_NGHIEP!$B:$B,0)),INDEX(NGHE_NGHIEP!$A:$A,MATCH(R173,NGHE_NGHIEP!$B:$B,0)),"")</f>
        <v/>
      </c>
      <c r="R173" s="50"/>
      <c r="S173" s="58" t="str">
        <f>IF(ISNUMBER(MATCH(T173,LOAI_ID!$B:$B,0)),INDEX(LOAI_ID!$A:$A,MATCH(T173,LOAI_ID!$B:$B,0)),"")</f>
        <v/>
      </c>
      <c r="T173" s="16"/>
      <c r="U173" s="48"/>
      <c r="V173" s="48"/>
      <c r="W173" s="17"/>
      <c r="X173" s="17"/>
      <c r="Y173" s="15"/>
      <c r="Z173" s="15"/>
      <c r="AA173" s="59" t="str">
        <f>IFERROR(INDEX(NOI_CAP!$B:$B,MATCH(Z173,NOI_CAP!$A:$A,0)),"")</f>
        <v/>
      </c>
      <c r="AB173" s="58" t="str">
        <f>IF(ISNUMBER(MATCH(AC173,LOAI_DIA_CHI!$B:$B,0)),INDEX(LOAI_DIA_CHI!$A:$A,MATCH(AC173,LOAI_DIA_CHI!$B:$B,0)),"")</f>
        <v/>
      </c>
      <c r="AC173" s="16"/>
      <c r="AD173" s="58" t="str">
        <f>IF(ISNUMBER(MATCH(AE173,QUOC_GIA!$B:$B,0)),INDEX(QUOC_GIA!$A:$A,MATCH(AE173,QUOC_GIA!$B:$B,0)),"")</f>
        <v/>
      </c>
      <c r="AE173" s="16"/>
      <c r="AF173" s="48"/>
      <c r="AG173" s="59" t="str">
        <f>IFERROR(INDEX(TINH_TP!$B:$B,MATCH(AF173,TINH_TP!$A:$A,0)),"")</f>
        <v/>
      </c>
      <c r="AH173" s="50"/>
      <c r="AI173" s="59" t="str">
        <f>IF(OR(AF173="",AH173=""),"",IF(COUNTIFS(PHUONG_XA!$A$2:$A$3323,AH173,PHUONG_XA!$C$2:$C$3323,AF173)=0,"",INDEX(PHUONG_XA!$B$2:$B$3323,SUMPRODUCT((PHUONG_XA!$A$2:$A$3323&amp;""=AH173&amp;"")*(PHUONG_XA!$C$2:$C$3323&amp;""=AF173&amp;"")*(ROW(PHUONG_XA!$A$2:$A$3323)-ROW(PHUONG_XA!$A$2)+1)))))</f>
        <v/>
      </c>
      <c r="AJ173" s="14"/>
      <c r="AK173" s="14"/>
      <c r="AL173" s="57" t="str">
        <f t="shared" si="3"/>
        <v/>
      </c>
      <c r="AM173" s="14"/>
      <c r="AN173" s="15"/>
      <c r="AO173" s="15"/>
      <c r="AP173" s="48"/>
      <c r="AQ173" s="15"/>
      <c r="AR173" s="15"/>
      <c r="AS173" s="15"/>
      <c r="AT173" s="60" t="str">
        <f>IF(ISNUMBER(MATCH(AU173,LOAI_THE!$B:$B,0)),INDEX(LOAI_THE!$A:$A,MATCH(AU173,LOAI_THE!$B:$B,0)),"")</f>
        <v/>
      </c>
      <c r="AU173" s="48"/>
      <c r="AV173" s="15"/>
      <c r="AW173" s="15"/>
      <c r="AX173" s="15"/>
      <c r="AY173" s="48"/>
    </row>
    <row r="174" spans="1:51" x14ac:dyDescent="0.3">
      <c r="A174" s="13" t="s">
        <v>399</v>
      </c>
      <c r="B174" s="48"/>
      <c r="C174" s="48"/>
      <c r="D174" s="48"/>
      <c r="E174" s="48"/>
      <c r="F174" s="48"/>
      <c r="G174" s="58" t="str">
        <f>IF(ISNUMBER(MATCH(H174,GIOI_TINH!$B:$B,0)),INDEX(GIOI_TINH!$A:$A,MATCH(H174,GIOI_TINH!$B:$B,0)),"")</f>
        <v/>
      </c>
      <c r="H174" s="15"/>
      <c r="I174" s="15"/>
      <c r="J174" s="58" t="str">
        <f>IF(ISNUMBER(MATCH(K174,QUOC_GIA!$B:$B,0)),INDEX(QUOC_GIA!$A:$A,MATCH(K174,QUOC_GIA!$B:$B,0)),"")</f>
        <v/>
      </c>
      <c r="K174" s="50"/>
      <c r="L174" s="15"/>
      <c r="M174" s="58" t="str">
        <f>IF(ISNUMBER(MATCH(N174,LOAI_THUE!$B:$B,0)),INDEX(LOAI_THUE!$A:$A,MATCH(N174,LOAI_THUE!$B:$B,0)),"")</f>
        <v/>
      </c>
      <c r="N174" s="50"/>
      <c r="O174" s="58" t="str">
        <f>IF(ISNUMBER(MATCH(P174,CHI_TIET_LOAI_KH!$B:$B,0)),INDEX(CHI_TIET_LOAI_KH!$A:$A,MATCH(P174,CHI_TIET_LOAI_KH!$B:$B,0)),"")</f>
        <v/>
      </c>
      <c r="P174" s="50"/>
      <c r="Q174" s="58" t="str">
        <f>IF(ISNUMBER(MATCH(R174,NGHE_NGHIEP!$B:$B,0)),INDEX(NGHE_NGHIEP!$A:$A,MATCH(R174,NGHE_NGHIEP!$B:$B,0)),"")</f>
        <v/>
      </c>
      <c r="R174" s="50"/>
      <c r="S174" s="58" t="str">
        <f>IF(ISNUMBER(MATCH(T174,LOAI_ID!$B:$B,0)),INDEX(LOAI_ID!$A:$A,MATCH(T174,LOAI_ID!$B:$B,0)),"")</f>
        <v/>
      </c>
      <c r="T174" s="16"/>
      <c r="U174" s="48"/>
      <c r="V174" s="48"/>
      <c r="W174" s="17"/>
      <c r="X174" s="17"/>
      <c r="Y174" s="15"/>
      <c r="Z174" s="15"/>
      <c r="AA174" s="59" t="str">
        <f>IFERROR(INDEX(NOI_CAP!$B:$B,MATCH(Z174,NOI_CAP!$A:$A,0)),"")</f>
        <v/>
      </c>
      <c r="AB174" s="58" t="str">
        <f>IF(ISNUMBER(MATCH(AC174,LOAI_DIA_CHI!$B:$B,0)),INDEX(LOAI_DIA_CHI!$A:$A,MATCH(AC174,LOAI_DIA_CHI!$B:$B,0)),"")</f>
        <v/>
      </c>
      <c r="AC174" s="16"/>
      <c r="AD174" s="58" t="str">
        <f>IF(ISNUMBER(MATCH(AE174,QUOC_GIA!$B:$B,0)),INDEX(QUOC_GIA!$A:$A,MATCH(AE174,QUOC_GIA!$B:$B,0)),"")</f>
        <v/>
      </c>
      <c r="AE174" s="16"/>
      <c r="AF174" s="48"/>
      <c r="AG174" s="59" t="str">
        <f>IFERROR(INDEX(TINH_TP!$B:$B,MATCH(AF174,TINH_TP!$A:$A,0)),"")</f>
        <v/>
      </c>
      <c r="AH174" s="50"/>
      <c r="AI174" s="59" t="str">
        <f>IF(OR(AF174="",AH174=""),"",IF(COUNTIFS(PHUONG_XA!$A$2:$A$3323,AH174,PHUONG_XA!$C$2:$C$3323,AF174)=0,"",INDEX(PHUONG_XA!$B$2:$B$3323,SUMPRODUCT((PHUONG_XA!$A$2:$A$3323&amp;""=AH174&amp;"")*(PHUONG_XA!$C$2:$C$3323&amp;""=AF174&amp;"")*(ROW(PHUONG_XA!$A$2:$A$3323)-ROW(PHUONG_XA!$A$2)+1)))))</f>
        <v/>
      </c>
      <c r="AJ174" s="14"/>
      <c r="AK174" s="14"/>
      <c r="AL174" s="57" t="str">
        <f t="shared" si="3"/>
        <v/>
      </c>
      <c r="AM174" s="14"/>
      <c r="AN174" s="15"/>
      <c r="AO174" s="15"/>
      <c r="AP174" s="48"/>
      <c r="AQ174" s="15"/>
      <c r="AR174" s="15"/>
      <c r="AS174" s="15"/>
      <c r="AT174" s="60" t="str">
        <f>IF(ISNUMBER(MATCH(AU174,LOAI_THE!$B:$B,0)),INDEX(LOAI_THE!$A:$A,MATCH(AU174,LOAI_THE!$B:$B,0)),"")</f>
        <v/>
      </c>
      <c r="AU174" s="48"/>
      <c r="AV174" s="15"/>
      <c r="AW174" s="15"/>
      <c r="AX174" s="15"/>
      <c r="AY174" s="48"/>
    </row>
    <row r="175" spans="1:51" x14ac:dyDescent="0.3">
      <c r="A175" s="13" t="s">
        <v>401</v>
      </c>
      <c r="B175" s="48"/>
      <c r="C175" s="48"/>
      <c r="D175" s="48"/>
      <c r="E175" s="48"/>
      <c r="F175" s="48"/>
      <c r="G175" s="58" t="str">
        <f>IF(ISNUMBER(MATCH(H175,GIOI_TINH!$B:$B,0)),INDEX(GIOI_TINH!$A:$A,MATCH(H175,GIOI_TINH!$B:$B,0)),"")</f>
        <v/>
      </c>
      <c r="H175" s="15"/>
      <c r="I175" s="15"/>
      <c r="J175" s="58" t="str">
        <f>IF(ISNUMBER(MATCH(K175,QUOC_GIA!$B:$B,0)),INDEX(QUOC_GIA!$A:$A,MATCH(K175,QUOC_GIA!$B:$B,0)),"")</f>
        <v/>
      </c>
      <c r="K175" s="50"/>
      <c r="L175" s="15"/>
      <c r="M175" s="58" t="str">
        <f>IF(ISNUMBER(MATCH(N175,LOAI_THUE!$B:$B,0)),INDEX(LOAI_THUE!$A:$A,MATCH(N175,LOAI_THUE!$B:$B,0)),"")</f>
        <v/>
      </c>
      <c r="N175" s="50"/>
      <c r="O175" s="58" t="str">
        <f>IF(ISNUMBER(MATCH(P175,CHI_TIET_LOAI_KH!$B:$B,0)),INDEX(CHI_TIET_LOAI_KH!$A:$A,MATCH(P175,CHI_TIET_LOAI_KH!$B:$B,0)),"")</f>
        <v/>
      </c>
      <c r="P175" s="50"/>
      <c r="Q175" s="58" t="str">
        <f>IF(ISNUMBER(MATCH(R175,NGHE_NGHIEP!$B:$B,0)),INDEX(NGHE_NGHIEP!$A:$A,MATCH(R175,NGHE_NGHIEP!$B:$B,0)),"")</f>
        <v/>
      </c>
      <c r="R175" s="50"/>
      <c r="S175" s="58" t="str">
        <f>IF(ISNUMBER(MATCH(T175,LOAI_ID!$B:$B,0)),INDEX(LOAI_ID!$A:$A,MATCH(T175,LOAI_ID!$B:$B,0)),"")</f>
        <v/>
      </c>
      <c r="T175" s="16"/>
      <c r="U175" s="48"/>
      <c r="V175" s="48"/>
      <c r="W175" s="17"/>
      <c r="X175" s="17"/>
      <c r="Y175" s="15"/>
      <c r="Z175" s="15"/>
      <c r="AA175" s="59" t="str">
        <f>IFERROR(INDEX(NOI_CAP!$B:$B,MATCH(Z175,NOI_CAP!$A:$A,0)),"")</f>
        <v/>
      </c>
      <c r="AB175" s="58" t="str">
        <f>IF(ISNUMBER(MATCH(AC175,LOAI_DIA_CHI!$B:$B,0)),INDEX(LOAI_DIA_CHI!$A:$A,MATCH(AC175,LOAI_DIA_CHI!$B:$B,0)),"")</f>
        <v/>
      </c>
      <c r="AC175" s="16"/>
      <c r="AD175" s="58" t="str">
        <f>IF(ISNUMBER(MATCH(AE175,QUOC_GIA!$B:$B,0)),INDEX(QUOC_GIA!$A:$A,MATCH(AE175,QUOC_GIA!$B:$B,0)),"")</f>
        <v/>
      </c>
      <c r="AE175" s="16"/>
      <c r="AF175" s="48"/>
      <c r="AG175" s="59" t="str">
        <f>IFERROR(INDEX(TINH_TP!$B:$B,MATCH(AF175,TINH_TP!$A:$A,0)),"")</f>
        <v/>
      </c>
      <c r="AH175" s="50"/>
      <c r="AI175" s="59" t="str">
        <f>IF(OR(AF175="",AH175=""),"",IF(COUNTIFS(PHUONG_XA!$A$2:$A$3323,AH175,PHUONG_XA!$C$2:$C$3323,AF175)=0,"",INDEX(PHUONG_XA!$B$2:$B$3323,SUMPRODUCT((PHUONG_XA!$A$2:$A$3323&amp;""=AH175&amp;"")*(PHUONG_XA!$C$2:$C$3323&amp;""=AF175&amp;"")*(ROW(PHUONG_XA!$A$2:$A$3323)-ROW(PHUONG_XA!$A$2)+1)))))</f>
        <v/>
      </c>
      <c r="AJ175" s="14"/>
      <c r="AK175" s="14"/>
      <c r="AL175" s="57" t="str">
        <f t="shared" si="3"/>
        <v/>
      </c>
      <c r="AM175" s="14"/>
      <c r="AN175" s="15"/>
      <c r="AO175" s="15"/>
      <c r="AP175" s="48"/>
      <c r="AQ175" s="15"/>
      <c r="AR175" s="15"/>
      <c r="AS175" s="15"/>
      <c r="AT175" s="60" t="str">
        <f>IF(ISNUMBER(MATCH(AU175,LOAI_THE!$B:$B,0)),INDEX(LOAI_THE!$A:$A,MATCH(AU175,LOAI_THE!$B:$B,0)),"")</f>
        <v/>
      </c>
      <c r="AU175" s="48"/>
      <c r="AV175" s="15"/>
      <c r="AW175" s="15"/>
      <c r="AX175" s="15"/>
      <c r="AY175" s="48"/>
    </row>
    <row r="176" spans="1:51" x14ac:dyDescent="0.3">
      <c r="A176" s="13" t="s">
        <v>403</v>
      </c>
      <c r="B176" s="48"/>
      <c r="C176" s="48"/>
      <c r="D176" s="48"/>
      <c r="E176" s="48"/>
      <c r="F176" s="48"/>
      <c r="G176" s="58" t="str">
        <f>IF(ISNUMBER(MATCH(H176,GIOI_TINH!$B:$B,0)),INDEX(GIOI_TINH!$A:$A,MATCH(H176,GIOI_TINH!$B:$B,0)),"")</f>
        <v/>
      </c>
      <c r="H176" s="15"/>
      <c r="I176" s="15"/>
      <c r="J176" s="58" t="str">
        <f>IF(ISNUMBER(MATCH(K176,QUOC_GIA!$B:$B,0)),INDEX(QUOC_GIA!$A:$A,MATCH(K176,QUOC_GIA!$B:$B,0)),"")</f>
        <v/>
      </c>
      <c r="K176" s="50"/>
      <c r="L176" s="15"/>
      <c r="M176" s="58" t="str">
        <f>IF(ISNUMBER(MATCH(N176,LOAI_THUE!$B:$B,0)),INDEX(LOAI_THUE!$A:$A,MATCH(N176,LOAI_THUE!$B:$B,0)),"")</f>
        <v/>
      </c>
      <c r="N176" s="50"/>
      <c r="O176" s="58" t="str">
        <f>IF(ISNUMBER(MATCH(P176,CHI_TIET_LOAI_KH!$B:$B,0)),INDEX(CHI_TIET_LOAI_KH!$A:$A,MATCH(P176,CHI_TIET_LOAI_KH!$B:$B,0)),"")</f>
        <v/>
      </c>
      <c r="P176" s="50"/>
      <c r="Q176" s="58" t="str">
        <f>IF(ISNUMBER(MATCH(R176,NGHE_NGHIEP!$B:$B,0)),INDEX(NGHE_NGHIEP!$A:$A,MATCH(R176,NGHE_NGHIEP!$B:$B,0)),"")</f>
        <v/>
      </c>
      <c r="R176" s="50"/>
      <c r="S176" s="58" t="str">
        <f>IF(ISNUMBER(MATCH(T176,LOAI_ID!$B:$B,0)),INDEX(LOAI_ID!$A:$A,MATCH(T176,LOAI_ID!$B:$B,0)),"")</f>
        <v/>
      </c>
      <c r="T176" s="16"/>
      <c r="U176" s="48"/>
      <c r="V176" s="48"/>
      <c r="W176" s="17"/>
      <c r="X176" s="17"/>
      <c r="Y176" s="15"/>
      <c r="Z176" s="15"/>
      <c r="AA176" s="59" t="str">
        <f>IFERROR(INDEX(NOI_CAP!$B:$B,MATCH(Z176,NOI_CAP!$A:$A,0)),"")</f>
        <v/>
      </c>
      <c r="AB176" s="58" t="str">
        <f>IF(ISNUMBER(MATCH(AC176,LOAI_DIA_CHI!$B:$B,0)),INDEX(LOAI_DIA_CHI!$A:$A,MATCH(AC176,LOAI_DIA_CHI!$B:$B,0)),"")</f>
        <v/>
      </c>
      <c r="AC176" s="16"/>
      <c r="AD176" s="58" t="str">
        <f>IF(ISNUMBER(MATCH(AE176,QUOC_GIA!$B:$B,0)),INDEX(QUOC_GIA!$A:$A,MATCH(AE176,QUOC_GIA!$B:$B,0)),"")</f>
        <v/>
      </c>
      <c r="AE176" s="16"/>
      <c r="AF176" s="48"/>
      <c r="AG176" s="59" t="str">
        <f>IFERROR(INDEX(TINH_TP!$B:$B,MATCH(AF176,TINH_TP!$A:$A,0)),"")</f>
        <v/>
      </c>
      <c r="AH176" s="50"/>
      <c r="AI176" s="59" t="str">
        <f>IF(OR(AF176="",AH176=""),"",IF(COUNTIFS(PHUONG_XA!$A$2:$A$3323,AH176,PHUONG_XA!$C$2:$C$3323,AF176)=0,"",INDEX(PHUONG_XA!$B$2:$B$3323,SUMPRODUCT((PHUONG_XA!$A$2:$A$3323&amp;""=AH176&amp;"")*(PHUONG_XA!$C$2:$C$3323&amp;""=AF176&amp;"")*(ROW(PHUONG_XA!$A$2:$A$3323)-ROW(PHUONG_XA!$A$2)+1)))))</f>
        <v/>
      </c>
      <c r="AJ176" s="14"/>
      <c r="AK176" s="14"/>
      <c r="AL176" s="57" t="str">
        <f t="shared" si="3"/>
        <v/>
      </c>
      <c r="AM176" s="14"/>
      <c r="AN176" s="15"/>
      <c r="AO176" s="15"/>
      <c r="AP176" s="48"/>
      <c r="AQ176" s="15"/>
      <c r="AR176" s="15"/>
      <c r="AS176" s="15"/>
      <c r="AT176" s="60" t="str">
        <f>IF(ISNUMBER(MATCH(AU176,LOAI_THE!$B:$B,0)),INDEX(LOAI_THE!$A:$A,MATCH(AU176,LOAI_THE!$B:$B,0)),"")</f>
        <v/>
      </c>
      <c r="AU176" s="48"/>
      <c r="AV176" s="15"/>
      <c r="AW176" s="15"/>
      <c r="AX176" s="15"/>
      <c r="AY176" s="48"/>
    </row>
    <row r="177" spans="1:51" x14ac:dyDescent="0.3">
      <c r="A177" s="13" t="s">
        <v>405</v>
      </c>
      <c r="B177" s="48"/>
      <c r="C177" s="48"/>
      <c r="D177" s="48"/>
      <c r="E177" s="48"/>
      <c r="F177" s="48"/>
      <c r="G177" s="58" t="str">
        <f>IF(ISNUMBER(MATCH(H177,GIOI_TINH!$B:$B,0)),INDEX(GIOI_TINH!$A:$A,MATCH(H177,GIOI_TINH!$B:$B,0)),"")</f>
        <v/>
      </c>
      <c r="H177" s="15"/>
      <c r="I177" s="15"/>
      <c r="J177" s="58" t="str">
        <f>IF(ISNUMBER(MATCH(K177,QUOC_GIA!$B:$B,0)),INDEX(QUOC_GIA!$A:$A,MATCH(K177,QUOC_GIA!$B:$B,0)),"")</f>
        <v/>
      </c>
      <c r="K177" s="50"/>
      <c r="L177" s="15"/>
      <c r="M177" s="58" t="str">
        <f>IF(ISNUMBER(MATCH(N177,LOAI_THUE!$B:$B,0)),INDEX(LOAI_THUE!$A:$A,MATCH(N177,LOAI_THUE!$B:$B,0)),"")</f>
        <v/>
      </c>
      <c r="N177" s="50"/>
      <c r="O177" s="58" t="str">
        <f>IF(ISNUMBER(MATCH(P177,CHI_TIET_LOAI_KH!$B:$B,0)),INDEX(CHI_TIET_LOAI_KH!$A:$A,MATCH(P177,CHI_TIET_LOAI_KH!$B:$B,0)),"")</f>
        <v/>
      </c>
      <c r="P177" s="50"/>
      <c r="Q177" s="58" t="str">
        <f>IF(ISNUMBER(MATCH(R177,NGHE_NGHIEP!$B:$B,0)),INDEX(NGHE_NGHIEP!$A:$A,MATCH(R177,NGHE_NGHIEP!$B:$B,0)),"")</f>
        <v/>
      </c>
      <c r="R177" s="50"/>
      <c r="S177" s="58" t="str">
        <f>IF(ISNUMBER(MATCH(T177,LOAI_ID!$B:$B,0)),INDEX(LOAI_ID!$A:$A,MATCH(T177,LOAI_ID!$B:$B,0)),"")</f>
        <v/>
      </c>
      <c r="T177" s="16"/>
      <c r="U177" s="48"/>
      <c r="V177" s="48"/>
      <c r="W177" s="17"/>
      <c r="X177" s="17"/>
      <c r="Y177" s="15"/>
      <c r="Z177" s="15"/>
      <c r="AA177" s="59" t="str">
        <f>IFERROR(INDEX(NOI_CAP!$B:$B,MATCH(Z177,NOI_CAP!$A:$A,0)),"")</f>
        <v/>
      </c>
      <c r="AB177" s="58" t="str">
        <f>IF(ISNUMBER(MATCH(AC177,LOAI_DIA_CHI!$B:$B,0)),INDEX(LOAI_DIA_CHI!$A:$A,MATCH(AC177,LOAI_DIA_CHI!$B:$B,0)),"")</f>
        <v/>
      </c>
      <c r="AC177" s="16"/>
      <c r="AD177" s="58" t="str">
        <f>IF(ISNUMBER(MATCH(AE177,QUOC_GIA!$B:$B,0)),INDEX(QUOC_GIA!$A:$A,MATCH(AE177,QUOC_GIA!$B:$B,0)),"")</f>
        <v/>
      </c>
      <c r="AE177" s="16"/>
      <c r="AF177" s="48"/>
      <c r="AG177" s="59" t="str">
        <f>IFERROR(INDEX(TINH_TP!$B:$B,MATCH(AF177,TINH_TP!$A:$A,0)),"")</f>
        <v/>
      </c>
      <c r="AH177" s="50"/>
      <c r="AI177" s="59" t="str">
        <f>IF(OR(AF177="",AH177=""),"",IF(COUNTIFS(PHUONG_XA!$A$2:$A$3323,AH177,PHUONG_XA!$C$2:$C$3323,AF177)=0,"",INDEX(PHUONG_XA!$B$2:$B$3323,SUMPRODUCT((PHUONG_XA!$A$2:$A$3323&amp;""=AH177&amp;"")*(PHUONG_XA!$C$2:$C$3323&amp;""=AF177&amp;"")*(ROW(PHUONG_XA!$A$2:$A$3323)-ROW(PHUONG_XA!$A$2)+1)))))</f>
        <v/>
      </c>
      <c r="AJ177" s="14"/>
      <c r="AK177" s="14"/>
      <c r="AL177" s="57" t="str">
        <f t="shared" si="3"/>
        <v/>
      </c>
      <c r="AM177" s="14"/>
      <c r="AN177" s="15"/>
      <c r="AO177" s="15"/>
      <c r="AP177" s="48"/>
      <c r="AQ177" s="15"/>
      <c r="AR177" s="15"/>
      <c r="AS177" s="15"/>
      <c r="AT177" s="60" t="str">
        <f>IF(ISNUMBER(MATCH(AU177,LOAI_THE!$B:$B,0)),INDEX(LOAI_THE!$A:$A,MATCH(AU177,LOAI_THE!$B:$B,0)),"")</f>
        <v/>
      </c>
      <c r="AU177" s="48"/>
      <c r="AV177" s="15"/>
      <c r="AW177" s="15"/>
      <c r="AX177" s="15"/>
      <c r="AY177" s="48"/>
    </row>
    <row r="178" spans="1:51" x14ac:dyDescent="0.3">
      <c r="A178" s="13" t="s">
        <v>407</v>
      </c>
      <c r="B178" s="48"/>
      <c r="C178" s="48"/>
      <c r="D178" s="48"/>
      <c r="E178" s="48"/>
      <c r="F178" s="48"/>
      <c r="G178" s="58" t="str">
        <f>IF(ISNUMBER(MATCH(H178,GIOI_TINH!$B:$B,0)),INDEX(GIOI_TINH!$A:$A,MATCH(H178,GIOI_TINH!$B:$B,0)),"")</f>
        <v/>
      </c>
      <c r="H178" s="15"/>
      <c r="I178" s="15"/>
      <c r="J178" s="58" t="str">
        <f>IF(ISNUMBER(MATCH(K178,QUOC_GIA!$B:$B,0)),INDEX(QUOC_GIA!$A:$A,MATCH(K178,QUOC_GIA!$B:$B,0)),"")</f>
        <v/>
      </c>
      <c r="K178" s="50"/>
      <c r="L178" s="15"/>
      <c r="M178" s="58" t="str">
        <f>IF(ISNUMBER(MATCH(N178,LOAI_THUE!$B:$B,0)),INDEX(LOAI_THUE!$A:$A,MATCH(N178,LOAI_THUE!$B:$B,0)),"")</f>
        <v/>
      </c>
      <c r="N178" s="50"/>
      <c r="O178" s="58" t="str">
        <f>IF(ISNUMBER(MATCH(P178,CHI_TIET_LOAI_KH!$B:$B,0)),INDEX(CHI_TIET_LOAI_KH!$A:$A,MATCH(P178,CHI_TIET_LOAI_KH!$B:$B,0)),"")</f>
        <v/>
      </c>
      <c r="P178" s="50"/>
      <c r="Q178" s="58" t="str">
        <f>IF(ISNUMBER(MATCH(R178,NGHE_NGHIEP!$B:$B,0)),INDEX(NGHE_NGHIEP!$A:$A,MATCH(R178,NGHE_NGHIEP!$B:$B,0)),"")</f>
        <v/>
      </c>
      <c r="R178" s="50"/>
      <c r="S178" s="58" t="str">
        <f>IF(ISNUMBER(MATCH(T178,LOAI_ID!$B:$B,0)),INDEX(LOAI_ID!$A:$A,MATCH(T178,LOAI_ID!$B:$B,0)),"")</f>
        <v/>
      </c>
      <c r="T178" s="16"/>
      <c r="U178" s="48"/>
      <c r="V178" s="48"/>
      <c r="W178" s="17"/>
      <c r="X178" s="17"/>
      <c r="Y178" s="15"/>
      <c r="Z178" s="15"/>
      <c r="AA178" s="59" t="str">
        <f>IFERROR(INDEX(NOI_CAP!$B:$B,MATCH(Z178,NOI_CAP!$A:$A,0)),"")</f>
        <v/>
      </c>
      <c r="AB178" s="58" t="str">
        <f>IF(ISNUMBER(MATCH(AC178,LOAI_DIA_CHI!$B:$B,0)),INDEX(LOAI_DIA_CHI!$A:$A,MATCH(AC178,LOAI_DIA_CHI!$B:$B,0)),"")</f>
        <v/>
      </c>
      <c r="AC178" s="16"/>
      <c r="AD178" s="58" t="str">
        <f>IF(ISNUMBER(MATCH(AE178,QUOC_GIA!$B:$B,0)),INDEX(QUOC_GIA!$A:$A,MATCH(AE178,QUOC_GIA!$B:$B,0)),"")</f>
        <v/>
      </c>
      <c r="AE178" s="16"/>
      <c r="AF178" s="48"/>
      <c r="AG178" s="59" t="str">
        <f>IFERROR(INDEX(TINH_TP!$B:$B,MATCH(AF178,TINH_TP!$A:$A,0)),"")</f>
        <v/>
      </c>
      <c r="AH178" s="50"/>
      <c r="AI178" s="59" t="str">
        <f>IF(OR(AF178="",AH178=""),"",IF(COUNTIFS(PHUONG_XA!$A$2:$A$3323,AH178,PHUONG_XA!$C$2:$C$3323,AF178)=0,"",INDEX(PHUONG_XA!$B$2:$B$3323,SUMPRODUCT((PHUONG_XA!$A$2:$A$3323&amp;""=AH178&amp;"")*(PHUONG_XA!$C$2:$C$3323&amp;""=AF178&amp;"")*(ROW(PHUONG_XA!$A$2:$A$3323)-ROW(PHUONG_XA!$A$2)+1)))))</f>
        <v/>
      </c>
      <c r="AJ178" s="14"/>
      <c r="AK178" s="14"/>
      <c r="AL178" s="57" t="str">
        <f t="shared" si="3"/>
        <v/>
      </c>
      <c r="AM178" s="14"/>
      <c r="AN178" s="15"/>
      <c r="AO178" s="15"/>
      <c r="AP178" s="48"/>
      <c r="AQ178" s="15"/>
      <c r="AR178" s="15"/>
      <c r="AS178" s="15"/>
      <c r="AT178" s="60" t="str">
        <f>IF(ISNUMBER(MATCH(AU178,LOAI_THE!$B:$B,0)),INDEX(LOAI_THE!$A:$A,MATCH(AU178,LOAI_THE!$B:$B,0)),"")</f>
        <v/>
      </c>
      <c r="AU178" s="48"/>
      <c r="AV178" s="15"/>
      <c r="AW178" s="15"/>
      <c r="AX178" s="15"/>
      <c r="AY178" s="48"/>
    </row>
    <row r="179" spans="1:51" x14ac:dyDescent="0.3">
      <c r="A179" s="13" t="s">
        <v>409</v>
      </c>
      <c r="B179" s="48"/>
      <c r="C179" s="48"/>
      <c r="D179" s="48"/>
      <c r="E179" s="48"/>
      <c r="F179" s="48"/>
      <c r="G179" s="58" t="str">
        <f>IF(ISNUMBER(MATCH(H179,GIOI_TINH!$B:$B,0)),INDEX(GIOI_TINH!$A:$A,MATCH(H179,GIOI_TINH!$B:$B,0)),"")</f>
        <v/>
      </c>
      <c r="H179" s="15"/>
      <c r="I179" s="15"/>
      <c r="J179" s="58" t="str">
        <f>IF(ISNUMBER(MATCH(K179,QUOC_GIA!$B:$B,0)),INDEX(QUOC_GIA!$A:$A,MATCH(K179,QUOC_GIA!$B:$B,0)),"")</f>
        <v/>
      </c>
      <c r="K179" s="50"/>
      <c r="L179" s="15"/>
      <c r="M179" s="58" t="str">
        <f>IF(ISNUMBER(MATCH(N179,LOAI_THUE!$B:$B,0)),INDEX(LOAI_THUE!$A:$A,MATCH(N179,LOAI_THUE!$B:$B,0)),"")</f>
        <v/>
      </c>
      <c r="N179" s="50"/>
      <c r="O179" s="58" t="str">
        <f>IF(ISNUMBER(MATCH(P179,CHI_TIET_LOAI_KH!$B:$B,0)),INDEX(CHI_TIET_LOAI_KH!$A:$A,MATCH(P179,CHI_TIET_LOAI_KH!$B:$B,0)),"")</f>
        <v/>
      </c>
      <c r="P179" s="50"/>
      <c r="Q179" s="58" t="str">
        <f>IF(ISNUMBER(MATCH(R179,NGHE_NGHIEP!$B:$B,0)),INDEX(NGHE_NGHIEP!$A:$A,MATCH(R179,NGHE_NGHIEP!$B:$B,0)),"")</f>
        <v/>
      </c>
      <c r="R179" s="50"/>
      <c r="S179" s="58" t="str">
        <f>IF(ISNUMBER(MATCH(T179,LOAI_ID!$B:$B,0)),INDEX(LOAI_ID!$A:$A,MATCH(T179,LOAI_ID!$B:$B,0)),"")</f>
        <v/>
      </c>
      <c r="T179" s="16"/>
      <c r="U179" s="48"/>
      <c r="V179" s="48"/>
      <c r="W179" s="17"/>
      <c r="X179" s="17"/>
      <c r="Y179" s="15"/>
      <c r="Z179" s="15"/>
      <c r="AA179" s="59" t="str">
        <f>IFERROR(INDEX(NOI_CAP!$B:$B,MATCH(Z179,NOI_CAP!$A:$A,0)),"")</f>
        <v/>
      </c>
      <c r="AB179" s="58" t="str">
        <f>IF(ISNUMBER(MATCH(AC179,LOAI_DIA_CHI!$B:$B,0)),INDEX(LOAI_DIA_CHI!$A:$A,MATCH(AC179,LOAI_DIA_CHI!$B:$B,0)),"")</f>
        <v/>
      </c>
      <c r="AC179" s="16"/>
      <c r="AD179" s="58" t="str">
        <f>IF(ISNUMBER(MATCH(AE179,QUOC_GIA!$B:$B,0)),INDEX(QUOC_GIA!$A:$A,MATCH(AE179,QUOC_GIA!$B:$B,0)),"")</f>
        <v/>
      </c>
      <c r="AE179" s="16"/>
      <c r="AF179" s="48"/>
      <c r="AG179" s="59" t="str">
        <f>IFERROR(INDEX(TINH_TP!$B:$B,MATCH(AF179,TINH_TP!$A:$A,0)),"")</f>
        <v/>
      </c>
      <c r="AH179" s="50"/>
      <c r="AI179" s="59" t="str">
        <f>IF(OR(AF179="",AH179=""),"",IF(COUNTIFS(PHUONG_XA!$A$2:$A$3323,AH179,PHUONG_XA!$C$2:$C$3323,AF179)=0,"",INDEX(PHUONG_XA!$B$2:$B$3323,SUMPRODUCT((PHUONG_XA!$A$2:$A$3323&amp;""=AH179&amp;"")*(PHUONG_XA!$C$2:$C$3323&amp;""=AF179&amp;"")*(ROW(PHUONG_XA!$A$2:$A$3323)-ROW(PHUONG_XA!$A$2)+1)))))</f>
        <v/>
      </c>
      <c r="AJ179" s="14"/>
      <c r="AK179" s="14"/>
      <c r="AL179" s="57" t="str">
        <f t="shared" si="3"/>
        <v/>
      </c>
      <c r="AM179" s="14"/>
      <c r="AN179" s="15"/>
      <c r="AO179" s="15"/>
      <c r="AP179" s="48"/>
      <c r="AQ179" s="15"/>
      <c r="AR179" s="15"/>
      <c r="AS179" s="15"/>
      <c r="AT179" s="60" t="str">
        <f>IF(ISNUMBER(MATCH(AU179,LOAI_THE!$B:$B,0)),INDEX(LOAI_THE!$A:$A,MATCH(AU179,LOAI_THE!$B:$B,0)),"")</f>
        <v/>
      </c>
      <c r="AU179" s="48"/>
      <c r="AV179" s="15"/>
      <c r="AW179" s="15"/>
      <c r="AX179" s="15"/>
      <c r="AY179" s="48"/>
    </row>
    <row r="180" spans="1:51" x14ac:dyDescent="0.3">
      <c r="A180" s="13" t="s">
        <v>411</v>
      </c>
      <c r="B180" s="48"/>
      <c r="C180" s="48"/>
      <c r="D180" s="48"/>
      <c r="E180" s="48"/>
      <c r="F180" s="48"/>
      <c r="G180" s="58" t="str">
        <f>IF(ISNUMBER(MATCH(H180,GIOI_TINH!$B:$B,0)),INDEX(GIOI_TINH!$A:$A,MATCH(H180,GIOI_TINH!$B:$B,0)),"")</f>
        <v/>
      </c>
      <c r="H180" s="15"/>
      <c r="I180" s="15"/>
      <c r="J180" s="58" t="str">
        <f>IF(ISNUMBER(MATCH(K180,QUOC_GIA!$B:$B,0)),INDEX(QUOC_GIA!$A:$A,MATCH(K180,QUOC_GIA!$B:$B,0)),"")</f>
        <v/>
      </c>
      <c r="K180" s="50"/>
      <c r="L180" s="15"/>
      <c r="M180" s="58" t="str">
        <f>IF(ISNUMBER(MATCH(N180,LOAI_THUE!$B:$B,0)),INDEX(LOAI_THUE!$A:$A,MATCH(N180,LOAI_THUE!$B:$B,0)),"")</f>
        <v/>
      </c>
      <c r="N180" s="50"/>
      <c r="O180" s="58" t="str">
        <f>IF(ISNUMBER(MATCH(P180,CHI_TIET_LOAI_KH!$B:$B,0)),INDEX(CHI_TIET_LOAI_KH!$A:$A,MATCH(P180,CHI_TIET_LOAI_KH!$B:$B,0)),"")</f>
        <v/>
      </c>
      <c r="P180" s="50"/>
      <c r="Q180" s="58" t="str">
        <f>IF(ISNUMBER(MATCH(R180,NGHE_NGHIEP!$B:$B,0)),INDEX(NGHE_NGHIEP!$A:$A,MATCH(R180,NGHE_NGHIEP!$B:$B,0)),"")</f>
        <v/>
      </c>
      <c r="R180" s="50"/>
      <c r="S180" s="58" t="str">
        <f>IF(ISNUMBER(MATCH(T180,LOAI_ID!$B:$B,0)),INDEX(LOAI_ID!$A:$A,MATCH(T180,LOAI_ID!$B:$B,0)),"")</f>
        <v/>
      </c>
      <c r="T180" s="16"/>
      <c r="U180" s="48"/>
      <c r="V180" s="48"/>
      <c r="W180" s="17"/>
      <c r="X180" s="17"/>
      <c r="Y180" s="15"/>
      <c r="Z180" s="15"/>
      <c r="AA180" s="59" t="str">
        <f>IFERROR(INDEX(NOI_CAP!$B:$B,MATCH(Z180,NOI_CAP!$A:$A,0)),"")</f>
        <v/>
      </c>
      <c r="AB180" s="58" t="str">
        <f>IF(ISNUMBER(MATCH(AC180,LOAI_DIA_CHI!$B:$B,0)),INDEX(LOAI_DIA_CHI!$A:$A,MATCH(AC180,LOAI_DIA_CHI!$B:$B,0)),"")</f>
        <v/>
      </c>
      <c r="AC180" s="16"/>
      <c r="AD180" s="58" t="str">
        <f>IF(ISNUMBER(MATCH(AE180,QUOC_GIA!$B:$B,0)),INDEX(QUOC_GIA!$A:$A,MATCH(AE180,QUOC_GIA!$B:$B,0)),"")</f>
        <v/>
      </c>
      <c r="AE180" s="16"/>
      <c r="AF180" s="48"/>
      <c r="AG180" s="59" t="str">
        <f>IFERROR(INDEX(TINH_TP!$B:$B,MATCH(AF180,TINH_TP!$A:$A,0)),"")</f>
        <v/>
      </c>
      <c r="AH180" s="50"/>
      <c r="AI180" s="59" t="str">
        <f>IF(OR(AF180="",AH180=""),"",IF(COUNTIFS(PHUONG_XA!$A$2:$A$3323,AH180,PHUONG_XA!$C$2:$C$3323,AF180)=0,"",INDEX(PHUONG_XA!$B$2:$B$3323,SUMPRODUCT((PHUONG_XA!$A$2:$A$3323&amp;""=AH180&amp;"")*(PHUONG_XA!$C$2:$C$3323&amp;""=AF180&amp;"")*(ROW(PHUONG_XA!$A$2:$A$3323)-ROW(PHUONG_XA!$A$2)+1)))))</f>
        <v/>
      </c>
      <c r="AJ180" s="14"/>
      <c r="AK180" s="14"/>
      <c r="AL180" s="57" t="str">
        <f t="shared" si="3"/>
        <v/>
      </c>
      <c r="AM180" s="14"/>
      <c r="AN180" s="15"/>
      <c r="AO180" s="15"/>
      <c r="AP180" s="48"/>
      <c r="AQ180" s="15"/>
      <c r="AR180" s="15"/>
      <c r="AS180" s="15"/>
      <c r="AT180" s="60" t="str">
        <f>IF(ISNUMBER(MATCH(AU180,LOAI_THE!$B:$B,0)),INDEX(LOAI_THE!$A:$A,MATCH(AU180,LOAI_THE!$B:$B,0)),"")</f>
        <v/>
      </c>
      <c r="AU180" s="48"/>
      <c r="AV180" s="15"/>
      <c r="AW180" s="15"/>
      <c r="AX180" s="15"/>
      <c r="AY180" s="48"/>
    </row>
    <row r="181" spans="1:51" x14ac:dyDescent="0.3">
      <c r="A181" s="13" t="s">
        <v>413</v>
      </c>
      <c r="B181" s="48"/>
      <c r="C181" s="48"/>
      <c r="D181" s="48"/>
      <c r="E181" s="48"/>
      <c r="F181" s="48"/>
      <c r="G181" s="58" t="str">
        <f>IF(ISNUMBER(MATCH(H181,GIOI_TINH!$B:$B,0)),INDEX(GIOI_TINH!$A:$A,MATCH(H181,GIOI_TINH!$B:$B,0)),"")</f>
        <v/>
      </c>
      <c r="H181" s="15"/>
      <c r="I181" s="15"/>
      <c r="J181" s="58" t="str">
        <f>IF(ISNUMBER(MATCH(K181,QUOC_GIA!$B:$B,0)),INDEX(QUOC_GIA!$A:$A,MATCH(K181,QUOC_GIA!$B:$B,0)),"")</f>
        <v/>
      </c>
      <c r="K181" s="50"/>
      <c r="L181" s="15"/>
      <c r="M181" s="58" t="str">
        <f>IF(ISNUMBER(MATCH(N181,LOAI_THUE!$B:$B,0)),INDEX(LOAI_THUE!$A:$A,MATCH(N181,LOAI_THUE!$B:$B,0)),"")</f>
        <v/>
      </c>
      <c r="N181" s="50"/>
      <c r="O181" s="58" t="str">
        <f>IF(ISNUMBER(MATCH(P181,CHI_TIET_LOAI_KH!$B:$B,0)),INDEX(CHI_TIET_LOAI_KH!$A:$A,MATCH(P181,CHI_TIET_LOAI_KH!$B:$B,0)),"")</f>
        <v/>
      </c>
      <c r="P181" s="50"/>
      <c r="Q181" s="58" t="str">
        <f>IF(ISNUMBER(MATCH(R181,NGHE_NGHIEP!$B:$B,0)),INDEX(NGHE_NGHIEP!$A:$A,MATCH(R181,NGHE_NGHIEP!$B:$B,0)),"")</f>
        <v/>
      </c>
      <c r="R181" s="50"/>
      <c r="S181" s="58" t="str">
        <f>IF(ISNUMBER(MATCH(T181,LOAI_ID!$B:$B,0)),INDEX(LOAI_ID!$A:$A,MATCH(T181,LOAI_ID!$B:$B,0)),"")</f>
        <v/>
      </c>
      <c r="T181" s="16"/>
      <c r="U181" s="48"/>
      <c r="V181" s="48"/>
      <c r="W181" s="17"/>
      <c r="X181" s="17"/>
      <c r="Y181" s="15"/>
      <c r="Z181" s="15"/>
      <c r="AA181" s="59" t="str">
        <f>IFERROR(INDEX(NOI_CAP!$B:$B,MATCH(Z181,NOI_CAP!$A:$A,0)),"")</f>
        <v/>
      </c>
      <c r="AB181" s="58" t="str">
        <f>IF(ISNUMBER(MATCH(AC181,LOAI_DIA_CHI!$B:$B,0)),INDEX(LOAI_DIA_CHI!$A:$A,MATCH(AC181,LOAI_DIA_CHI!$B:$B,0)),"")</f>
        <v/>
      </c>
      <c r="AC181" s="16"/>
      <c r="AD181" s="58" t="str">
        <f>IF(ISNUMBER(MATCH(AE181,QUOC_GIA!$B:$B,0)),INDEX(QUOC_GIA!$A:$A,MATCH(AE181,QUOC_GIA!$B:$B,0)),"")</f>
        <v/>
      </c>
      <c r="AE181" s="16"/>
      <c r="AF181" s="48"/>
      <c r="AG181" s="59" t="str">
        <f>IFERROR(INDEX(TINH_TP!$B:$B,MATCH(AF181,TINH_TP!$A:$A,0)),"")</f>
        <v/>
      </c>
      <c r="AH181" s="50"/>
      <c r="AI181" s="59" t="str">
        <f>IF(OR(AF181="",AH181=""),"",IF(COUNTIFS(PHUONG_XA!$A$2:$A$3323,AH181,PHUONG_XA!$C$2:$C$3323,AF181)=0,"",INDEX(PHUONG_XA!$B$2:$B$3323,SUMPRODUCT((PHUONG_XA!$A$2:$A$3323&amp;""=AH181&amp;"")*(PHUONG_XA!$C$2:$C$3323&amp;""=AF181&amp;"")*(ROW(PHUONG_XA!$A$2:$A$3323)-ROW(PHUONG_XA!$A$2)+1)))))</f>
        <v/>
      </c>
      <c r="AJ181" s="14"/>
      <c r="AK181" s="14"/>
      <c r="AL181" s="57" t="str">
        <f t="shared" si="3"/>
        <v/>
      </c>
      <c r="AM181" s="14"/>
      <c r="AN181" s="15"/>
      <c r="AO181" s="15"/>
      <c r="AP181" s="48"/>
      <c r="AQ181" s="15"/>
      <c r="AR181" s="15"/>
      <c r="AS181" s="15"/>
      <c r="AT181" s="60" t="str">
        <f>IF(ISNUMBER(MATCH(AU181,LOAI_THE!$B:$B,0)),INDEX(LOAI_THE!$A:$A,MATCH(AU181,LOAI_THE!$B:$B,0)),"")</f>
        <v/>
      </c>
      <c r="AU181" s="48"/>
      <c r="AV181" s="15"/>
      <c r="AW181" s="15"/>
      <c r="AX181" s="15"/>
      <c r="AY181" s="48"/>
    </row>
    <row r="182" spans="1:51" x14ac:dyDescent="0.3">
      <c r="A182" s="13" t="s">
        <v>415</v>
      </c>
      <c r="B182" s="48"/>
      <c r="C182" s="48"/>
      <c r="D182" s="48"/>
      <c r="E182" s="48"/>
      <c r="F182" s="48"/>
      <c r="G182" s="58" t="str">
        <f>IF(ISNUMBER(MATCH(H182,GIOI_TINH!$B:$B,0)),INDEX(GIOI_TINH!$A:$A,MATCH(H182,GIOI_TINH!$B:$B,0)),"")</f>
        <v/>
      </c>
      <c r="H182" s="15"/>
      <c r="I182" s="15"/>
      <c r="J182" s="58" t="str">
        <f>IF(ISNUMBER(MATCH(K182,QUOC_GIA!$B:$B,0)),INDEX(QUOC_GIA!$A:$A,MATCH(K182,QUOC_GIA!$B:$B,0)),"")</f>
        <v/>
      </c>
      <c r="K182" s="50"/>
      <c r="L182" s="15"/>
      <c r="M182" s="58" t="str">
        <f>IF(ISNUMBER(MATCH(N182,LOAI_THUE!$B:$B,0)),INDEX(LOAI_THUE!$A:$A,MATCH(N182,LOAI_THUE!$B:$B,0)),"")</f>
        <v/>
      </c>
      <c r="N182" s="50"/>
      <c r="O182" s="58" t="str">
        <f>IF(ISNUMBER(MATCH(P182,CHI_TIET_LOAI_KH!$B:$B,0)),INDEX(CHI_TIET_LOAI_KH!$A:$A,MATCH(P182,CHI_TIET_LOAI_KH!$B:$B,0)),"")</f>
        <v/>
      </c>
      <c r="P182" s="50"/>
      <c r="Q182" s="58" t="str">
        <f>IF(ISNUMBER(MATCH(R182,NGHE_NGHIEP!$B:$B,0)),INDEX(NGHE_NGHIEP!$A:$A,MATCH(R182,NGHE_NGHIEP!$B:$B,0)),"")</f>
        <v/>
      </c>
      <c r="R182" s="50"/>
      <c r="S182" s="58" t="str">
        <f>IF(ISNUMBER(MATCH(T182,LOAI_ID!$B:$B,0)),INDEX(LOAI_ID!$A:$A,MATCH(T182,LOAI_ID!$B:$B,0)),"")</f>
        <v/>
      </c>
      <c r="T182" s="16"/>
      <c r="U182" s="48"/>
      <c r="V182" s="48"/>
      <c r="W182" s="17"/>
      <c r="X182" s="17"/>
      <c r="Y182" s="15"/>
      <c r="Z182" s="15"/>
      <c r="AA182" s="59" t="str">
        <f>IFERROR(INDEX(NOI_CAP!$B:$B,MATCH(Z182,NOI_CAP!$A:$A,0)),"")</f>
        <v/>
      </c>
      <c r="AB182" s="58" t="str">
        <f>IF(ISNUMBER(MATCH(AC182,LOAI_DIA_CHI!$B:$B,0)),INDEX(LOAI_DIA_CHI!$A:$A,MATCH(AC182,LOAI_DIA_CHI!$B:$B,0)),"")</f>
        <v/>
      </c>
      <c r="AC182" s="16"/>
      <c r="AD182" s="58" t="str">
        <f>IF(ISNUMBER(MATCH(AE182,QUOC_GIA!$B:$B,0)),INDEX(QUOC_GIA!$A:$A,MATCH(AE182,QUOC_GIA!$B:$B,0)),"")</f>
        <v/>
      </c>
      <c r="AE182" s="16"/>
      <c r="AF182" s="48"/>
      <c r="AG182" s="59" t="str">
        <f>IFERROR(INDEX(TINH_TP!$B:$B,MATCH(AF182,TINH_TP!$A:$A,0)),"")</f>
        <v/>
      </c>
      <c r="AH182" s="50"/>
      <c r="AI182" s="59" t="str">
        <f>IF(OR(AF182="",AH182=""),"",IF(COUNTIFS(PHUONG_XA!$A$2:$A$3323,AH182,PHUONG_XA!$C$2:$C$3323,AF182)=0,"",INDEX(PHUONG_XA!$B$2:$B$3323,SUMPRODUCT((PHUONG_XA!$A$2:$A$3323&amp;""=AH182&amp;"")*(PHUONG_XA!$C$2:$C$3323&amp;""=AF182&amp;"")*(ROW(PHUONG_XA!$A$2:$A$3323)-ROW(PHUONG_XA!$A$2)+1)))))</f>
        <v/>
      </c>
      <c r="AJ182" s="14"/>
      <c r="AK182" s="14"/>
      <c r="AL182" s="57" t="str">
        <f t="shared" si="3"/>
        <v/>
      </c>
      <c r="AM182" s="14"/>
      <c r="AN182" s="15"/>
      <c r="AO182" s="15"/>
      <c r="AP182" s="48"/>
      <c r="AQ182" s="15"/>
      <c r="AR182" s="15"/>
      <c r="AS182" s="15"/>
      <c r="AT182" s="60" t="str">
        <f>IF(ISNUMBER(MATCH(AU182,LOAI_THE!$B:$B,0)),INDEX(LOAI_THE!$A:$A,MATCH(AU182,LOAI_THE!$B:$B,0)),"")</f>
        <v/>
      </c>
      <c r="AU182" s="48"/>
      <c r="AV182" s="15"/>
      <c r="AW182" s="15"/>
      <c r="AX182" s="15"/>
      <c r="AY182" s="48"/>
    </row>
    <row r="183" spans="1:51" x14ac:dyDescent="0.3">
      <c r="A183" s="13" t="s">
        <v>417</v>
      </c>
      <c r="B183" s="48"/>
      <c r="C183" s="48"/>
      <c r="D183" s="48"/>
      <c r="E183" s="48"/>
      <c r="F183" s="48"/>
      <c r="G183" s="58" t="str">
        <f>IF(ISNUMBER(MATCH(H183,GIOI_TINH!$B:$B,0)),INDEX(GIOI_TINH!$A:$A,MATCH(H183,GIOI_TINH!$B:$B,0)),"")</f>
        <v/>
      </c>
      <c r="H183" s="15"/>
      <c r="I183" s="15"/>
      <c r="J183" s="58" t="str">
        <f>IF(ISNUMBER(MATCH(K183,QUOC_GIA!$B:$B,0)),INDEX(QUOC_GIA!$A:$A,MATCH(K183,QUOC_GIA!$B:$B,0)),"")</f>
        <v/>
      </c>
      <c r="K183" s="50"/>
      <c r="L183" s="15"/>
      <c r="M183" s="58" t="str">
        <f>IF(ISNUMBER(MATCH(N183,LOAI_THUE!$B:$B,0)),INDEX(LOAI_THUE!$A:$A,MATCH(N183,LOAI_THUE!$B:$B,0)),"")</f>
        <v/>
      </c>
      <c r="N183" s="50"/>
      <c r="O183" s="58" t="str">
        <f>IF(ISNUMBER(MATCH(P183,CHI_TIET_LOAI_KH!$B:$B,0)),INDEX(CHI_TIET_LOAI_KH!$A:$A,MATCH(P183,CHI_TIET_LOAI_KH!$B:$B,0)),"")</f>
        <v/>
      </c>
      <c r="P183" s="50"/>
      <c r="Q183" s="58" t="str">
        <f>IF(ISNUMBER(MATCH(R183,NGHE_NGHIEP!$B:$B,0)),INDEX(NGHE_NGHIEP!$A:$A,MATCH(R183,NGHE_NGHIEP!$B:$B,0)),"")</f>
        <v/>
      </c>
      <c r="R183" s="50"/>
      <c r="S183" s="58" t="str">
        <f>IF(ISNUMBER(MATCH(T183,LOAI_ID!$B:$B,0)),INDEX(LOAI_ID!$A:$A,MATCH(T183,LOAI_ID!$B:$B,0)),"")</f>
        <v/>
      </c>
      <c r="T183" s="16"/>
      <c r="U183" s="48"/>
      <c r="V183" s="48"/>
      <c r="W183" s="17"/>
      <c r="X183" s="17"/>
      <c r="Y183" s="15"/>
      <c r="Z183" s="15"/>
      <c r="AA183" s="59" t="str">
        <f>IFERROR(INDEX(NOI_CAP!$B:$B,MATCH(Z183,NOI_CAP!$A:$A,0)),"")</f>
        <v/>
      </c>
      <c r="AB183" s="58" t="str">
        <f>IF(ISNUMBER(MATCH(AC183,LOAI_DIA_CHI!$B:$B,0)),INDEX(LOAI_DIA_CHI!$A:$A,MATCH(AC183,LOAI_DIA_CHI!$B:$B,0)),"")</f>
        <v/>
      </c>
      <c r="AC183" s="16"/>
      <c r="AD183" s="58" t="str">
        <f>IF(ISNUMBER(MATCH(AE183,QUOC_GIA!$B:$B,0)),INDEX(QUOC_GIA!$A:$A,MATCH(AE183,QUOC_GIA!$B:$B,0)),"")</f>
        <v/>
      </c>
      <c r="AE183" s="16"/>
      <c r="AF183" s="48"/>
      <c r="AG183" s="59" t="str">
        <f>IFERROR(INDEX(TINH_TP!$B:$B,MATCH(AF183,TINH_TP!$A:$A,0)),"")</f>
        <v/>
      </c>
      <c r="AH183" s="50"/>
      <c r="AI183" s="59" t="str">
        <f>IF(OR(AF183="",AH183=""),"",IF(COUNTIFS(PHUONG_XA!$A$2:$A$3323,AH183,PHUONG_XA!$C$2:$C$3323,AF183)=0,"",INDEX(PHUONG_XA!$B$2:$B$3323,SUMPRODUCT((PHUONG_XA!$A$2:$A$3323&amp;""=AH183&amp;"")*(PHUONG_XA!$C$2:$C$3323&amp;""=AF183&amp;"")*(ROW(PHUONG_XA!$A$2:$A$3323)-ROW(PHUONG_XA!$A$2)+1)))))</f>
        <v/>
      </c>
      <c r="AJ183" s="14"/>
      <c r="AK183" s="14"/>
      <c r="AL183" s="57" t="str">
        <f t="shared" si="3"/>
        <v/>
      </c>
      <c r="AM183" s="14"/>
      <c r="AN183" s="15"/>
      <c r="AO183" s="15"/>
      <c r="AP183" s="48"/>
      <c r="AQ183" s="15"/>
      <c r="AR183" s="15"/>
      <c r="AS183" s="15"/>
      <c r="AT183" s="60" t="str">
        <f>IF(ISNUMBER(MATCH(AU183,LOAI_THE!$B:$B,0)),INDEX(LOAI_THE!$A:$A,MATCH(AU183,LOAI_THE!$B:$B,0)),"")</f>
        <v/>
      </c>
      <c r="AU183" s="48"/>
      <c r="AV183" s="15"/>
      <c r="AW183" s="15"/>
      <c r="AX183" s="15"/>
      <c r="AY183" s="48"/>
    </row>
    <row r="184" spans="1:51" x14ac:dyDescent="0.3">
      <c r="A184" s="13" t="s">
        <v>419</v>
      </c>
      <c r="B184" s="48"/>
      <c r="C184" s="48"/>
      <c r="D184" s="48"/>
      <c r="E184" s="48"/>
      <c r="F184" s="48"/>
      <c r="G184" s="58" t="str">
        <f>IF(ISNUMBER(MATCH(H184,GIOI_TINH!$B:$B,0)),INDEX(GIOI_TINH!$A:$A,MATCH(H184,GIOI_TINH!$B:$B,0)),"")</f>
        <v/>
      </c>
      <c r="H184" s="15"/>
      <c r="I184" s="15"/>
      <c r="J184" s="58" t="str">
        <f>IF(ISNUMBER(MATCH(K184,QUOC_GIA!$B:$B,0)),INDEX(QUOC_GIA!$A:$A,MATCH(K184,QUOC_GIA!$B:$B,0)),"")</f>
        <v/>
      </c>
      <c r="K184" s="50"/>
      <c r="L184" s="15"/>
      <c r="M184" s="58" t="str">
        <f>IF(ISNUMBER(MATCH(N184,LOAI_THUE!$B:$B,0)),INDEX(LOAI_THUE!$A:$A,MATCH(N184,LOAI_THUE!$B:$B,0)),"")</f>
        <v/>
      </c>
      <c r="N184" s="50"/>
      <c r="O184" s="58" t="str">
        <f>IF(ISNUMBER(MATCH(P184,CHI_TIET_LOAI_KH!$B:$B,0)),INDEX(CHI_TIET_LOAI_KH!$A:$A,MATCH(P184,CHI_TIET_LOAI_KH!$B:$B,0)),"")</f>
        <v/>
      </c>
      <c r="P184" s="50"/>
      <c r="Q184" s="58" t="str">
        <f>IF(ISNUMBER(MATCH(R184,NGHE_NGHIEP!$B:$B,0)),INDEX(NGHE_NGHIEP!$A:$A,MATCH(R184,NGHE_NGHIEP!$B:$B,0)),"")</f>
        <v/>
      </c>
      <c r="R184" s="50"/>
      <c r="S184" s="58" t="str">
        <f>IF(ISNUMBER(MATCH(T184,LOAI_ID!$B:$B,0)),INDEX(LOAI_ID!$A:$A,MATCH(T184,LOAI_ID!$B:$B,0)),"")</f>
        <v/>
      </c>
      <c r="T184" s="16"/>
      <c r="U184" s="48"/>
      <c r="V184" s="48"/>
      <c r="W184" s="17"/>
      <c r="X184" s="17"/>
      <c r="Y184" s="15"/>
      <c r="Z184" s="15"/>
      <c r="AA184" s="59" t="str">
        <f>IFERROR(INDEX(NOI_CAP!$B:$B,MATCH(Z184,NOI_CAP!$A:$A,0)),"")</f>
        <v/>
      </c>
      <c r="AB184" s="58" t="str">
        <f>IF(ISNUMBER(MATCH(AC184,LOAI_DIA_CHI!$B:$B,0)),INDEX(LOAI_DIA_CHI!$A:$A,MATCH(AC184,LOAI_DIA_CHI!$B:$B,0)),"")</f>
        <v/>
      </c>
      <c r="AC184" s="16"/>
      <c r="AD184" s="58" t="str">
        <f>IF(ISNUMBER(MATCH(AE184,QUOC_GIA!$B:$B,0)),INDEX(QUOC_GIA!$A:$A,MATCH(AE184,QUOC_GIA!$B:$B,0)),"")</f>
        <v/>
      </c>
      <c r="AE184" s="16"/>
      <c r="AF184" s="48"/>
      <c r="AG184" s="59" t="str">
        <f>IFERROR(INDEX(TINH_TP!$B:$B,MATCH(AF184,TINH_TP!$A:$A,0)),"")</f>
        <v/>
      </c>
      <c r="AH184" s="50"/>
      <c r="AI184" s="59" t="str">
        <f>IF(OR(AF184="",AH184=""),"",IF(COUNTIFS(PHUONG_XA!$A$2:$A$3323,AH184,PHUONG_XA!$C$2:$C$3323,AF184)=0,"",INDEX(PHUONG_XA!$B$2:$B$3323,SUMPRODUCT((PHUONG_XA!$A$2:$A$3323&amp;""=AH184&amp;"")*(PHUONG_XA!$C$2:$C$3323&amp;""=AF184&amp;"")*(ROW(PHUONG_XA!$A$2:$A$3323)-ROW(PHUONG_XA!$A$2)+1)))))</f>
        <v/>
      </c>
      <c r="AJ184" s="14"/>
      <c r="AK184" s="14"/>
      <c r="AL184" s="57" t="str">
        <f t="shared" si="3"/>
        <v/>
      </c>
      <c r="AM184" s="14"/>
      <c r="AN184" s="15"/>
      <c r="AO184" s="15"/>
      <c r="AP184" s="48"/>
      <c r="AQ184" s="15"/>
      <c r="AR184" s="15"/>
      <c r="AS184" s="15"/>
      <c r="AT184" s="60" t="str">
        <f>IF(ISNUMBER(MATCH(AU184,LOAI_THE!$B:$B,0)),INDEX(LOAI_THE!$A:$A,MATCH(AU184,LOAI_THE!$B:$B,0)),"")</f>
        <v/>
      </c>
      <c r="AU184" s="48"/>
      <c r="AV184" s="15"/>
      <c r="AW184" s="15"/>
      <c r="AX184" s="15"/>
      <c r="AY184" s="48"/>
    </row>
    <row r="185" spans="1:51" x14ac:dyDescent="0.3">
      <c r="A185" s="13" t="s">
        <v>421</v>
      </c>
      <c r="B185" s="48"/>
      <c r="C185" s="48"/>
      <c r="D185" s="48"/>
      <c r="E185" s="48"/>
      <c r="F185" s="48"/>
      <c r="G185" s="58" t="str">
        <f>IF(ISNUMBER(MATCH(H185,GIOI_TINH!$B:$B,0)),INDEX(GIOI_TINH!$A:$A,MATCH(H185,GIOI_TINH!$B:$B,0)),"")</f>
        <v/>
      </c>
      <c r="H185" s="15"/>
      <c r="I185" s="15"/>
      <c r="J185" s="58" t="str">
        <f>IF(ISNUMBER(MATCH(K185,QUOC_GIA!$B:$B,0)),INDEX(QUOC_GIA!$A:$A,MATCH(K185,QUOC_GIA!$B:$B,0)),"")</f>
        <v/>
      </c>
      <c r="K185" s="50"/>
      <c r="L185" s="15"/>
      <c r="M185" s="58" t="str">
        <f>IF(ISNUMBER(MATCH(N185,LOAI_THUE!$B:$B,0)),INDEX(LOAI_THUE!$A:$A,MATCH(N185,LOAI_THUE!$B:$B,0)),"")</f>
        <v/>
      </c>
      <c r="N185" s="50"/>
      <c r="O185" s="58" t="str">
        <f>IF(ISNUMBER(MATCH(P185,CHI_TIET_LOAI_KH!$B:$B,0)),INDEX(CHI_TIET_LOAI_KH!$A:$A,MATCH(P185,CHI_TIET_LOAI_KH!$B:$B,0)),"")</f>
        <v/>
      </c>
      <c r="P185" s="50"/>
      <c r="Q185" s="58" t="str">
        <f>IF(ISNUMBER(MATCH(R185,NGHE_NGHIEP!$B:$B,0)),INDEX(NGHE_NGHIEP!$A:$A,MATCH(R185,NGHE_NGHIEP!$B:$B,0)),"")</f>
        <v/>
      </c>
      <c r="R185" s="50"/>
      <c r="S185" s="58" t="str">
        <f>IF(ISNUMBER(MATCH(T185,LOAI_ID!$B:$B,0)),INDEX(LOAI_ID!$A:$A,MATCH(T185,LOAI_ID!$B:$B,0)),"")</f>
        <v/>
      </c>
      <c r="T185" s="16"/>
      <c r="U185" s="48"/>
      <c r="V185" s="48"/>
      <c r="W185" s="17"/>
      <c r="X185" s="17"/>
      <c r="Y185" s="15"/>
      <c r="Z185" s="15"/>
      <c r="AA185" s="59" t="str">
        <f>IFERROR(INDEX(NOI_CAP!$B:$B,MATCH(Z185,NOI_CAP!$A:$A,0)),"")</f>
        <v/>
      </c>
      <c r="AB185" s="58" t="str">
        <f>IF(ISNUMBER(MATCH(AC185,LOAI_DIA_CHI!$B:$B,0)),INDEX(LOAI_DIA_CHI!$A:$A,MATCH(AC185,LOAI_DIA_CHI!$B:$B,0)),"")</f>
        <v/>
      </c>
      <c r="AC185" s="16"/>
      <c r="AD185" s="58" t="str">
        <f>IF(ISNUMBER(MATCH(AE185,QUOC_GIA!$B:$B,0)),INDEX(QUOC_GIA!$A:$A,MATCH(AE185,QUOC_GIA!$B:$B,0)),"")</f>
        <v/>
      </c>
      <c r="AE185" s="16"/>
      <c r="AF185" s="48"/>
      <c r="AG185" s="59" t="str">
        <f>IFERROR(INDEX(TINH_TP!$B:$B,MATCH(AF185,TINH_TP!$A:$A,0)),"")</f>
        <v/>
      </c>
      <c r="AH185" s="50"/>
      <c r="AI185" s="59" t="str">
        <f>IF(OR(AF185="",AH185=""),"",IF(COUNTIFS(PHUONG_XA!$A$2:$A$3323,AH185,PHUONG_XA!$C$2:$C$3323,AF185)=0,"",INDEX(PHUONG_XA!$B$2:$B$3323,SUMPRODUCT((PHUONG_XA!$A$2:$A$3323&amp;""=AH185&amp;"")*(PHUONG_XA!$C$2:$C$3323&amp;""=AF185&amp;"")*(ROW(PHUONG_XA!$A$2:$A$3323)-ROW(PHUONG_XA!$A$2)+1)))))</f>
        <v/>
      </c>
      <c r="AJ185" s="14"/>
      <c r="AK185" s="14"/>
      <c r="AL185" s="57" t="str">
        <f t="shared" si="3"/>
        <v/>
      </c>
      <c r="AM185" s="14"/>
      <c r="AN185" s="15"/>
      <c r="AO185" s="15"/>
      <c r="AP185" s="48"/>
      <c r="AQ185" s="15"/>
      <c r="AR185" s="15"/>
      <c r="AS185" s="15"/>
      <c r="AT185" s="60" t="str">
        <f>IF(ISNUMBER(MATCH(AU185,LOAI_THE!$B:$B,0)),INDEX(LOAI_THE!$A:$A,MATCH(AU185,LOAI_THE!$B:$B,0)),"")</f>
        <v/>
      </c>
      <c r="AU185" s="48"/>
      <c r="AV185" s="15"/>
      <c r="AW185" s="15"/>
      <c r="AX185" s="15"/>
      <c r="AY185" s="48"/>
    </row>
    <row r="186" spans="1:51" x14ac:dyDescent="0.3">
      <c r="A186" s="13" t="s">
        <v>423</v>
      </c>
      <c r="B186" s="48"/>
      <c r="C186" s="48"/>
      <c r="D186" s="48"/>
      <c r="E186" s="48"/>
      <c r="F186" s="48"/>
      <c r="G186" s="58" t="str">
        <f>IF(ISNUMBER(MATCH(H186,GIOI_TINH!$B:$B,0)),INDEX(GIOI_TINH!$A:$A,MATCH(H186,GIOI_TINH!$B:$B,0)),"")</f>
        <v/>
      </c>
      <c r="H186" s="15"/>
      <c r="I186" s="15"/>
      <c r="J186" s="58" t="str">
        <f>IF(ISNUMBER(MATCH(K186,QUOC_GIA!$B:$B,0)),INDEX(QUOC_GIA!$A:$A,MATCH(K186,QUOC_GIA!$B:$B,0)),"")</f>
        <v/>
      </c>
      <c r="K186" s="50"/>
      <c r="L186" s="15"/>
      <c r="M186" s="58" t="str">
        <f>IF(ISNUMBER(MATCH(N186,LOAI_THUE!$B:$B,0)),INDEX(LOAI_THUE!$A:$A,MATCH(N186,LOAI_THUE!$B:$B,0)),"")</f>
        <v/>
      </c>
      <c r="N186" s="50"/>
      <c r="O186" s="58" t="str">
        <f>IF(ISNUMBER(MATCH(P186,CHI_TIET_LOAI_KH!$B:$B,0)),INDEX(CHI_TIET_LOAI_KH!$A:$A,MATCH(P186,CHI_TIET_LOAI_KH!$B:$B,0)),"")</f>
        <v/>
      </c>
      <c r="P186" s="50"/>
      <c r="Q186" s="58" t="str">
        <f>IF(ISNUMBER(MATCH(R186,NGHE_NGHIEP!$B:$B,0)),INDEX(NGHE_NGHIEP!$A:$A,MATCH(R186,NGHE_NGHIEP!$B:$B,0)),"")</f>
        <v/>
      </c>
      <c r="R186" s="50"/>
      <c r="S186" s="58" t="str">
        <f>IF(ISNUMBER(MATCH(T186,LOAI_ID!$B:$B,0)),INDEX(LOAI_ID!$A:$A,MATCH(T186,LOAI_ID!$B:$B,0)),"")</f>
        <v/>
      </c>
      <c r="T186" s="16"/>
      <c r="U186" s="48"/>
      <c r="V186" s="48"/>
      <c r="W186" s="17"/>
      <c r="X186" s="17"/>
      <c r="Y186" s="15"/>
      <c r="Z186" s="15"/>
      <c r="AA186" s="59" t="str">
        <f>IFERROR(INDEX(NOI_CAP!$B:$B,MATCH(Z186,NOI_CAP!$A:$A,0)),"")</f>
        <v/>
      </c>
      <c r="AB186" s="58" t="str">
        <f>IF(ISNUMBER(MATCH(AC186,LOAI_DIA_CHI!$B:$B,0)),INDEX(LOAI_DIA_CHI!$A:$A,MATCH(AC186,LOAI_DIA_CHI!$B:$B,0)),"")</f>
        <v/>
      </c>
      <c r="AC186" s="16"/>
      <c r="AD186" s="58" t="str">
        <f>IF(ISNUMBER(MATCH(AE186,QUOC_GIA!$B:$B,0)),INDEX(QUOC_GIA!$A:$A,MATCH(AE186,QUOC_GIA!$B:$B,0)),"")</f>
        <v/>
      </c>
      <c r="AE186" s="16"/>
      <c r="AF186" s="48"/>
      <c r="AG186" s="59" t="str">
        <f>IFERROR(INDEX(TINH_TP!$B:$B,MATCH(AF186,TINH_TP!$A:$A,0)),"")</f>
        <v/>
      </c>
      <c r="AH186" s="50"/>
      <c r="AI186" s="59" t="str">
        <f>IF(OR(AF186="",AH186=""),"",IF(COUNTIFS(PHUONG_XA!$A$2:$A$3323,AH186,PHUONG_XA!$C$2:$C$3323,AF186)=0,"",INDEX(PHUONG_XA!$B$2:$B$3323,SUMPRODUCT((PHUONG_XA!$A$2:$A$3323&amp;""=AH186&amp;"")*(PHUONG_XA!$C$2:$C$3323&amp;""=AF186&amp;"")*(ROW(PHUONG_XA!$A$2:$A$3323)-ROW(PHUONG_XA!$A$2)+1)))))</f>
        <v/>
      </c>
      <c r="AJ186" s="14"/>
      <c r="AK186" s="14"/>
      <c r="AL186" s="57" t="str">
        <f t="shared" si="3"/>
        <v/>
      </c>
      <c r="AM186" s="14"/>
      <c r="AN186" s="15"/>
      <c r="AO186" s="15"/>
      <c r="AP186" s="48"/>
      <c r="AQ186" s="15"/>
      <c r="AR186" s="15"/>
      <c r="AS186" s="15"/>
      <c r="AT186" s="60" t="str">
        <f>IF(ISNUMBER(MATCH(AU186,LOAI_THE!$B:$B,0)),INDEX(LOAI_THE!$A:$A,MATCH(AU186,LOAI_THE!$B:$B,0)),"")</f>
        <v/>
      </c>
      <c r="AU186" s="48"/>
      <c r="AV186" s="15"/>
      <c r="AW186" s="15"/>
      <c r="AX186" s="15"/>
      <c r="AY186" s="48"/>
    </row>
    <row r="187" spans="1:51" x14ac:dyDescent="0.3">
      <c r="A187" s="13" t="s">
        <v>425</v>
      </c>
      <c r="B187" s="48"/>
      <c r="C187" s="48"/>
      <c r="D187" s="48"/>
      <c r="E187" s="48"/>
      <c r="F187" s="48"/>
      <c r="G187" s="58" t="str">
        <f>IF(ISNUMBER(MATCH(H187,GIOI_TINH!$B:$B,0)),INDEX(GIOI_TINH!$A:$A,MATCH(H187,GIOI_TINH!$B:$B,0)),"")</f>
        <v/>
      </c>
      <c r="H187" s="15"/>
      <c r="I187" s="15"/>
      <c r="J187" s="58" t="str">
        <f>IF(ISNUMBER(MATCH(K187,QUOC_GIA!$B:$B,0)),INDEX(QUOC_GIA!$A:$A,MATCH(K187,QUOC_GIA!$B:$B,0)),"")</f>
        <v/>
      </c>
      <c r="K187" s="50"/>
      <c r="L187" s="15"/>
      <c r="M187" s="58" t="str">
        <f>IF(ISNUMBER(MATCH(N187,LOAI_THUE!$B:$B,0)),INDEX(LOAI_THUE!$A:$A,MATCH(N187,LOAI_THUE!$B:$B,0)),"")</f>
        <v/>
      </c>
      <c r="N187" s="50"/>
      <c r="O187" s="58" t="str">
        <f>IF(ISNUMBER(MATCH(P187,CHI_TIET_LOAI_KH!$B:$B,0)),INDEX(CHI_TIET_LOAI_KH!$A:$A,MATCH(P187,CHI_TIET_LOAI_KH!$B:$B,0)),"")</f>
        <v/>
      </c>
      <c r="P187" s="50"/>
      <c r="Q187" s="58" t="str">
        <f>IF(ISNUMBER(MATCH(R187,NGHE_NGHIEP!$B:$B,0)),INDEX(NGHE_NGHIEP!$A:$A,MATCH(R187,NGHE_NGHIEP!$B:$B,0)),"")</f>
        <v/>
      </c>
      <c r="R187" s="50"/>
      <c r="S187" s="58" t="str">
        <f>IF(ISNUMBER(MATCH(T187,LOAI_ID!$B:$B,0)),INDEX(LOAI_ID!$A:$A,MATCH(T187,LOAI_ID!$B:$B,0)),"")</f>
        <v/>
      </c>
      <c r="T187" s="16"/>
      <c r="U187" s="48"/>
      <c r="V187" s="48"/>
      <c r="W187" s="17"/>
      <c r="X187" s="17"/>
      <c r="Y187" s="15"/>
      <c r="Z187" s="15"/>
      <c r="AA187" s="59" t="str">
        <f>IFERROR(INDEX(NOI_CAP!$B:$B,MATCH(Z187,NOI_CAP!$A:$A,0)),"")</f>
        <v/>
      </c>
      <c r="AB187" s="58" t="str">
        <f>IF(ISNUMBER(MATCH(AC187,LOAI_DIA_CHI!$B:$B,0)),INDEX(LOAI_DIA_CHI!$A:$A,MATCH(AC187,LOAI_DIA_CHI!$B:$B,0)),"")</f>
        <v/>
      </c>
      <c r="AC187" s="16"/>
      <c r="AD187" s="58" t="str">
        <f>IF(ISNUMBER(MATCH(AE187,QUOC_GIA!$B:$B,0)),INDEX(QUOC_GIA!$A:$A,MATCH(AE187,QUOC_GIA!$B:$B,0)),"")</f>
        <v/>
      </c>
      <c r="AE187" s="16"/>
      <c r="AF187" s="48"/>
      <c r="AG187" s="59" t="str">
        <f>IFERROR(INDEX(TINH_TP!$B:$B,MATCH(AF187,TINH_TP!$A:$A,0)),"")</f>
        <v/>
      </c>
      <c r="AH187" s="50"/>
      <c r="AI187" s="59" t="str">
        <f>IF(OR(AF187="",AH187=""),"",IF(COUNTIFS(PHUONG_XA!$A$2:$A$3323,AH187,PHUONG_XA!$C$2:$C$3323,AF187)=0,"",INDEX(PHUONG_XA!$B$2:$B$3323,SUMPRODUCT((PHUONG_XA!$A$2:$A$3323&amp;""=AH187&amp;"")*(PHUONG_XA!$C$2:$C$3323&amp;""=AF187&amp;"")*(ROW(PHUONG_XA!$A$2:$A$3323)-ROW(PHUONG_XA!$A$2)+1)))))</f>
        <v/>
      </c>
      <c r="AJ187" s="14"/>
      <c r="AK187" s="14"/>
      <c r="AL187" s="57" t="str">
        <f t="shared" si="3"/>
        <v/>
      </c>
      <c r="AM187" s="14"/>
      <c r="AN187" s="15"/>
      <c r="AO187" s="15"/>
      <c r="AP187" s="48"/>
      <c r="AQ187" s="15"/>
      <c r="AR187" s="15"/>
      <c r="AS187" s="15"/>
      <c r="AT187" s="60" t="str">
        <f>IF(ISNUMBER(MATCH(AU187,LOAI_THE!$B:$B,0)),INDEX(LOAI_THE!$A:$A,MATCH(AU187,LOAI_THE!$B:$B,0)),"")</f>
        <v/>
      </c>
      <c r="AU187" s="48"/>
      <c r="AV187" s="15"/>
      <c r="AW187" s="15"/>
      <c r="AX187" s="15"/>
      <c r="AY187" s="48"/>
    </row>
    <row r="188" spans="1:51" x14ac:dyDescent="0.3">
      <c r="A188" s="13" t="s">
        <v>427</v>
      </c>
      <c r="B188" s="48"/>
      <c r="C188" s="48"/>
      <c r="D188" s="48"/>
      <c r="E188" s="48"/>
      <c r="F188" s="48"/>
      <c r="G188" s="58" t="str">
        <f>IF(ISNUMBER(MATCH(H188,GIOI_TINH!$B:$B,0)),INDEX(GIOI_TINH!$A:$A,MATCH(H188,GIOI_TINH!$B:$B,0)),"")</f>
        <v/>
      </c>
      <c r="H188" s="15"/>
      <c r="I188" s="15"/>
      <c r="J188" s="58" t="str">
        <f>IF(ISNUMBER(MATCH(K188,QUOC_GIA!$B:$B,0)),INDEX(QUOC_GIA!$A:$A,MATCH(K188,QUOC_GIA!$B:$B,0)),"")</f>
        <v/>
      </c>
      <c r="K188" s="50"/>
      <c r="L188" s="15"/>
      <c r="M188" s="58" t="str">
        <f>IF(ISNUMBER(MATCH(N188,LOAI_THUE!$B:$B,0)),INDEX(LOAI_THUE!$A:$A,MATCH(N188,LOAI_THUE!$B:$B,0)),"")</f>
        <v/>
      </c>
      <c r="N188" s="50"/>
      <c r="O188" s="58" t="str">
        <f>IF(ISNUMBER(MATCH(P188,CHI_TIET_LOAI_KH!$B:$B,0)),INDEX(CHI_TIET_LOAI_KH!$A:$A,MATCH(P188,CHI_TIET_LOAI_KH!$B:$B,0)),"")</f>
        <v/>
      </c>
      <c r="P188" s="50"/>
      <c r="Q188" s="58" t="str">
        <f>IF(ISNUMBER(MATCH(R188,NGHE_NGHIEP!$B:$B,0)),INDEX(NGHE_NGHIEP!$A:$A,MATCH(R188,NGHE_NGHIEP!$B:$B,0)),"")</f>
        <v/>
      </c>
      <c r="R188" s="50"/>
      <c r="S188" s="58" t="str">
        <f>IF(ISNUMBER(MATCH(T188,LOAI_ID!$B:$B,0)),INDEX(LOAI_ID!$A:$A,MATCH(T188,LOAI_ID!$B:$B,0)),"")</f>
        <v/>
      </c>
      <c r="T188" s="16"/>
      <c r="U188" s="48"/>
      <c r="V188" s="48"/>
      <c r="W188" s="17"/>
      <c r="X188" s="17"/>
      <c r="Y188" s="15"/>
      <c r="Z188" s="15"/>
      <c r="AA188" s="59" t="str">
        <f>IFERROR(INDEX(NOI_CAP!$B:$B,MATCH(Z188,NOI_CAP!$A:$A,0)),"")</f>
        <v/>
      </c>
      <c r="AB188" s="58" t="str">
        <f>IF(ISNUMBER(MATCH(AC188,LOAI_DIA_CHI!$B:$B,0)),INDEX(LOAI_DIA_CHI!$A:$A,MATCH(AC188,LOAI_DIA_CHI!$B:$B,0)),"")</f>
        <v/>
      </c>
      <c r="AC188" s="16"/>
      <c r="AD188" s="58" t="str">
        <f>IF(ISNUMBER(MATCH(AE188,QUOC_GIA!$B:$B,0)),INDEX(QUOC_GIA!$A:$A,MATCH(AE188,QUOC_GIA!$B:$B,0)),"")</f>
        <v/>
      </c>
      <c r="AE188" s="16"/>
      <c r="AF188" s="48"/>
      <c r="AG188" s="59" t="str">
        <f>IFERROR(INDEX(TINH_TP!$B:$B,MATCH(AF188,TINH_TP!$A:$A,0)),"")</f>
        <v/>
      </c>
      <c r="AH188" s="50"/>
      <c r="AI188" s="59" t="str">
        <f>IF(OR(AF188="",AH188=""),"",IF(COUNTIFS(PHUONG_XA!$A$2:$A$3323,AH188,PHUONG_XA!$C$2:$C$3323,AF188)=0,"",INDEX(PHUONG_XA!$B$2:$B$3323,SUMPRODUCT((PHUONG_XA!$A$2:$A$3323&amp;""=AH188&amp;"")*(PHUONG_XA!$C$2:$C$3323&amp;""=AF188&amp;"")*(ROW(PHUONG_XA!$A$2:$A$3323)-ROW(PHUONG_XA!$A$2)+1)))))</f>
        <v/>
      </c>
      <c r="AJ188" s="14"/>
      <c r="AK188" s="14"/>
      <c r="AL188" s="57" t="str">
        <f t="shared" si="3"/>
        <v/>
      </c>
      <c r="AM188" s="14"/>
      <c r="AN188" s="15"/>
      <c r="AO188" s="15"/>
      <c r="AP188" s="48"/>
      <c r="AQ188" s="15"/>
      <c r="AR188" s="15"/>
      <c r="AS188" s="15"/>
      <c r="AT188" s="60" t="str">
        <f>IF(ISNUMBER(MATCH(AU188,LOAI_THE!$B:$B,0)),INDEX(LOAI_THE!$A:$A,MATCH(AU188,LOAI_THE!$B:$B,0)),"")</f>
        <v/>
      </c>
      <c r="AU188" s="48"/>
      <c r="AV188" s="15"/>
      <c r="AW188" s="15"/>
      <c r="AX188" s="15"/>
      <c r="AY188" s="48"/>
    </row>
    <row r="189" spans="1:51" x14ac:dyDescent="0.3">
      <c r="A189" s="13" t="s">
        <v>429</v>
      </c>
      <c r="B189" s="48"/>
      <c r="C189" s="48"/>
      <c r="D189" s="48"/>
      <c r="E189" s="48"/>
      <c r="F189" s="48"/>
      <c r="G189" s="58" t="str">
        <f>IF(ISNUMBER(MATCH(H189,GIOI_TINH!$B:$B,0)),INDEX(GIOI_TINH!$A:$A,MATCH(H189,GIOI_TINH!$B:$B,0)),"")</f>
        <v/>
      </c>
      <c r="H189" s="15"/>
      <c r="I189" s="15"/>
      <c r="J189" s="58" t="str">
        <f>IF(ISNUMBER(MATCH(K189,QUOC_GIA!$B:$B,0)),INDEX(QUOC_GIA!$A:$A,MATCH(K189,QUOC_GIA!$B:$B,0)),"")</f>
        <v/>
      </c>
      <c r="K189" s="50"/>
      <c r="L189" s="15"/>
      <c r="M189" s="58" t="str">
        <f>IF(ISNUMBER(MATCH(N189,LOAI_THUE!$B:$B,0)),INDEX(LOAI_THUE!$A:$A,MATCH(N189,LOAI_THUE!$B:$B,0)),"")</f>
        <v/>
      </c>
      <c r="N189" s="50"/>
      <c r="O189" s="58" t="str">
        <f>IF(ISNUMBER(MATCH(P189,CHI_TIET_LOAI_KH!$B:$B,0)),INDEX(CHI_TIET_LOAI_KH!$A:$A,MATCH(P189,CHI_TIET_LOAI_KH!$B:$B,0)),"")</f>
        <v/>
      </c>
      <c r="P189" s="50"/>
      <c r="Q189" s="58" t="str">
        <f>IF(ISNUMBER(MATCH(R189,NGHE_NGHIEP!$B:$B,0)),INDEX(NGHE_NGHIEP!$A:$A,MATCH(R189,NGHE_NGHIEP!$B:$B,0)),"")</f>
        <v/>
      </c>
      <c r="R189" s="50"/>
      <c r="S189" s="58" t="str">
        <f>IF(ISNUMBER(MATCH(T189,LOAI_ID!$B:$B,0)),INDEX(LOAI_ID!$A:$A,MATCH(T189,LOAI_ID!$B:$B,0)),"")</f>
        <v/>
      </c>
      <c r="T189" s="16"/>
      <c r="U189" s="48"/>
      <c r="V189" s="48"/>
      <c r="W189" s="17"/>
      <c r="X189" s="17"/>
      <c r="Y189" s="15"/>
      <c r="Z189" s="15"/>
      <c r="AA189" s="59" t="str">
        <f>IFERROR(INDEX(NOI_CAP!$B:$B,MATCH(Z189,NOI_CAP!$A:$A,0)),"")</f>
        <v/>
      </c>
      <c r="AB189" s="58" t="str">
        <f>IF(ISNUMBER(MATCH(AC189,LOAI_DIA_CHI!$B:$B,0)),INDEX(LOAI_DIA_CHI!$A:$A,MATCH(AC189,LOAI_DIA_CHI!$B:$B,0)),"")</f>
        <v/>
      </c>
      <c r="AC189" s="16"/>
      <c r="AD189" s="58" t="str">
        <f>IF(ISNUMBER(MATCH(AE189,QUOC_GIA!$B:$B,0)),INDEX(QUOC_GIA!$A:$A,MATCH(AE189,QUOC_GIA!$B:$B,0)),"")</f>
        <v/>
      </c>
      <c r="AE189" s="16"/>
      <c r="AF189" s="48"/>
      <c r="AG189" s="59" t="str">
        <f>IFERROR(INDEX(TINH_TP!$B:$B,MATCH(AF189,TINH_TP!$A:$A,0)),"")</f>
        <v/>
      </c>
      <c r="AH189" s="50"/>
      <c r="AI189" s="59" t="str">
        <f>IF(OR(AF189="",AH189=""),"",IF(COUNTIFS(PHUONG_XA!$A$2:$A$3323,AH189,PHUONG_XA!$C$2:$C$3323,AF189)=0,"",INDEX(PHUONG_XA!$B$2:$B$3323,SUMPRODUCT((PHUONG_XA!$A$2:$A$3323&amp;""=AH189&amp;"")*(PHUONG_XA!$C$2:$C$3323&amp;""=AF189&amp;"")*(ROW(PHUONG_XA!$A$2:$A$3323)-ROW(PHUONG_XA!$A$2)+1)))))</f>
        <v/>
      </c>
      <c r="AJ189" s="14"/>
      <c r="AK189" s="14"/>
      <c r="AL189" s="57" t="str">
        <f t="shared" si="3"/>
        <v/>
      </c>
      <c r="AM189" s="14"/>
      <c r="AN189" s="15"/>
      <c r="AO189" s="15"/>
      <c r="AP189" s="48"/>
      <c r="AQ189" s="15"/>
      <c r="AR189" s="15"/>
      <c r="AS189" s="15"/>
      <c r="AT189" s="60" t="str">
        <f>IF(ISNUMBER(MATCH(AU189,LOAI_THE!$B:$B,0)),INDEX(LOAI_THE!$A:$A,MATCH(AU189,LOAI_THE!$B:$B,0)),"")</f>
        <v/>
      </c>
      <c r="AU189" s="48"/>
      <c r="AV189" s="15"/>
      <c r="AW189" s="15"/>
      <c r="AX189" s="15"/>
      <c r="AY189" s="48"/>
    </row>
    <row r="190" spans="1:51" x14ac:dyDescent="0.3">
      <c r="A190" s="13" t="s">
        <v>431</v>
      </c>
      <c r="B190" s="48"/>
      <c r="C190" s="48"/>
      <c r="D190" s="48"/>
      <c r="E190" s="48"/>
      <c r="F190" s="48"/>
      <c r="G190" s="58" t="str">
        <f>IF(ISNUMBER(MATCH(H190,GIOI_TINH!$B:$B,0)),INDEX(GIOI_TINH!$A:$A,MATCH(H190,GIOI_TINH!$B:$B,0)),"")</f>
        <v/>
      </c>
      <c r="H190" s="15"/>
      <c r="I190" s="15"/>
      <c r="J190" s="58" t="str">
        <f>IF(ISNUMBER(MATCH(K190,QUOC_GIA!$B:$B,0)),INDEX(QUOC_GIA!$A:$A,MATCH(K190,QUOC_GIA!$B:$B,0)),"")</f>
        <v/>
      </c>
      <c r="K190" s="50"/>
      <c r="L190" s="15"/>
      <c r="M190" s="58" t="str">
        <f>IF(ISNUMBER(MATCH(N190,LOAI_THUE!$B:$B,0)),INDEX(LOAI_THUE!$A:$A,MATCH(N190,LOAI_THUE!$B:$B,0)),"")</f>
        <v/>
      </c>
      <c r="N190" s="50"/>
      <c r="O190" s="58" t="str">
        <f>IF(ISNUMBER(MATCH(P190,CHI_TIET_LOAI_KH!$B:$B,0)),INDEX(CHI_TIET_LOAI_KH!$A:$A,MATCH(P190,CHI_TIET_LOAI_KH!$B:$B,0)),"")</f>
        <v/>
      </c>
      <c r="P190" s="50"/>
      <c r="Q190" s="58" t="str">
        <f>IF(ISNUMBER(MATCH(R190,NGHE_NGHIEP!$B:$B,0)),INDEX(NGHE_NGHIEP!$A:$A,MATCH(R190,NGHE_NGHIEP!$B:$B,0)),"")</f>
        <v/>
      </c>
      <c r="R190" s="50"/>
      <c r="S190" s="58" t="str">
        <f>IF(ISNUMBER(MATCH(T190,LOAI_ID!$B:$B,0)),INDEX(LOAI_ID!$A:$A,MATCH(T190,LOAI_ID!$B:$B,0)),"")</f>
        <v/>
      </c>
      <c r="T190" s="16"/>
      <c r="U190" s="48"/>
      <c r="V190" s="48"/>
      <c r="W190" s="17"/>
      <c r="X190" s="17"/>
      <c r="Y190" s="15"/>
      <c r="Z190" s="15"/>
      <c r="AA190" s="59" t="str">
        <f>IFERROR(INDEX(NOI_CAP!$B:$B,MATCH(Z190,NOI_CAP!$A:$A,0)),"")</f>
        <v/>
      </c>
      <c r="AB190" s="58" t="str">
        <f>IF(ISNUMBER(MATCH(AC190,LOAI_DIA_CHI!$B:$B,0)),INDEX(LOAI_DIA_CHI!$A:$A,MATCH(AC190,LOAI_DIA_CHI!$B:$B,0)),"")</f>
        <v/>
      </c>
      <c r="AC190" s="16"/>
      <c r="AD190" s="58" t="str">
        <f>IF(ISNUMBER(MATCH(AE190,QUOC_GIA!$B:$B,0)),INDEX(QUOC_GIA!$A:$A,MATCH(AE190,QUOC_GIA!$B:$B,0)),"")</f>
        <v/>
      </c>
      <c r="AE190" s="16"/>
      <c r="AF190" s="48"/>
      <c r="AG190" s="59" t="str">
        <f>IFERROR(INDEX(TINH_TP!$B:$B,MATCH(AF190,TINH_TP!$A:$A,0)),"")</f>
        <v/>
      </c>
      <c r="AH190" s="50"/>
      <c r="AI190" s="59" t="str">
        <f>IF(OR(AF190="",AH190=""),"",IF(COUNTIFS(PHUONG_XA!$A$2:$A$3323,AH190,PHUONG_XA!$C$2:$C$3323,AF190)=0,"",INDEX(PHUONG_XA!$B$2:$B$3323,SUMPRODUCT((PHUONG_XA!$A$2:$A$3323&amp;""=AH190&amp;"")*(PHUONG_XA!$C$2:$C$3323&amp;""=AF190&amp;"")*(ROW(PHUONG_XA!$A$2:$A$3323)-ROW(PHUONG_XA!$A$2)+1)))))</f>
        <v/>
      </c>
      <c r="AJ190" s="14"/>
      <c r="AK190" s="14"/>
      <c r="AL190" s="57" t="str">
        <f t="shared" si="3"/>
        <v/>
      </c>
      <c r="AM190" s="14"/>
      <c r="AN190" s="15"/>
      <c r="AO190" s="15"/>
      <c r="AP190" s="48"/>
      <c r="AQ190" s="15"/>
      <c r="AR190" s="15"/>
      <c r="AS190" s="15"/>
      <c r="AT190" s="60" t="str">
        <f>IF(ISNUMBER(MATCH(AU190,LOAI_THE!$B:$B,0)),INDEX(LOAI_THE!$A:$A,MATCH(AU190,LOAI_THE!$B:$B,0)),"")</f>
        <v/>
      </c>
      <c r="AU190" s="48"/>
      <c r="AV190" s="15"/>
      <c r="AW190" s="15"/>
      <c r="AX190" s="15"/>
      <c r="AY190" s="48"/>
    </row>
    <row r="191" spans="1:51" x14ac:dyDescent="0.3">
      <c r="A191" s="13" t="s">
        <v>433</v>
      </c>
      <c r="B191" s="48"/>
      <c r="C191" s="48"/>
      <c r="D191" s="48"/>
      <c r="E191" s="48"/>
      <c r="F191" s="48"/>
      <c r="G191" s="58" t="str">
        <f>IF(ISNUMBER(MATCH(H191,GIOI_TINH!$B:$B,0)),INDEX(GIOI_TINH!$A:$A,MATCH(H191,GIOI_TINH!$B:$B,0)),"")</f>
        <v/>
      </c>
      <c r="H191" s="15"/>
      <c r="I191" s="15"/>
      <c r="J191" s="58" t="str">
        <f>IF(ISNUMBER(MATCH(K191,QUOC_GIA!$B:$B,0)),INDEX(QUOC_GIA!$A:$A,MATCH(K191,QUOC_GIA!$B:$B,0)),"")</f>
        <v/>
      </c>
      <c r="K191" s="50"/>
      <c r="L191" s="15"/>
      <c r="M191" s="58" t="str">
        <f>IF(ISNUMBER(MATCH(N191,LOAI_THUE!$B:$B,0)),INDEX(LOAI_THUE!$A:$A,MATCH(N191,LOAI_THUE!$B:$B,0)),"")</f>
        <v/>
      </c>
      <c r="N191" s="50"/>
      <c r="O191" s="58" t="str">
        <f>IF(ISNUMBER(MATCH(P191,CHI_TIET_LOAI_KH!$B:$B,0)),INDEX(CHI_TIET_LOAI_KH!$A:$A,MATCH(P191,CHI_TIET_LOAI_KH!$B:$B,0)),"")</f>
        <v/>
      </c>
      <c r="P191" s="50"/>
      <c r="Q191" s="58" t="str">
        <f>IF(ISNUMBER(MATCH(R191,NGHE_NGHIEP!$B:$B,0)),INDEX(NGHE_NGHIEP!$A:$A,MATCH(R191,NGHE_NGHIEP!$B:$B,0)),"")</f>
        <v/>
      </c>
      <c r="R191" s="50"/>
      <c r="S191" s="58" t="str">
        <f>IF(ISNUMBER(MATCH(T191,LOAI_ID!$B:$B,0)),INDEX(LOAI_ID!$A:$A,MATCH(T191,LOAI_ID!$B:$B,0)),"")</f>
        <v/>
      </c>
      <c r="T191" s="16"/>
      <c r="U191" s="48"/>
      <c r="V191" s="48"/>
      <c r="W191" s="17"/>
      <c r="X191" s="17"/>
      <c r="Y191" s="15"/>
      <c r="Z191" s="15"/>
      <c r="AA191" s="59" t="str">
        <f>IFERROR(INDEX(NOI_CAP!$B:$B,MATCH(Z191,NOI_CAP!$A:$A,0)),"")</f>
        <v/>
      </c>
      <c r="AB191" s="58" t="str">
        <f>IF(ISNUMBER(MATCH(AC191,LOAI_DIA_CHI!$B:$B,0)),INDEX(LOAI_DIA_CHI!$A:$A,MATCH(AC191,LOAI_DIA_CHI!$B:$B,0)),"")</f>
        <v/>
      </c>
      <c r="AC191" s="16"/>
      <c r="AD191" s="58" t="str">
        <f>IF(ISNUMBER(MATCH(AE191,QUOC_GIA!$B:$B,0)),INDEX(QUOC_GIA!$A:$A,MATCH(AE191,QUOC_GIA!$B:$B,0)),"")</f>
        <v/>
      </c>
      <c r="AE191" s="16"/>
      <c r="AF191" s="48"/>
      <c r="AG191" s="59" t="str">
        <f>IFERROR(INDEX(TINH_TP!$B:$B,MATCH(AF191,TINH_TP!$A:$A,0)),"")</f>
        <v/>
      </c>
      <c r="AH191" s="50"/>
      <c r="AI191" s="59" t="str">
        <f>IF(OR(AF191="",AH191=""),"",IF(COUNTIFS(PHUONG_XA!$A$2:$A$3323,AH191,PHUONG_XA!$C$2:$C$3323,AF191)=0,"",INDEX(PHUONG_XA!$B$2:$B$3323,SUMPRODUCT((PHUONG_XA!$A$2:$A$3323&amp;""=AH191&amp;"")*(PHUONG_XA!$C$2:$C$3323&amp;""=AF191&amp;"")*(ROW(PHUONG_XA!$A$2:$A$3323)-ROW(PHUONG_XA!$A$2)+1)))))</f>
        <v/>
      </c>
      <c r="AJ191" s="14"/>
      <c r="AK191" s="14"/>
      <c r="AL191" s="57" t="str">
        <f t="shared" si="3"/>
        <v/>
      </c>
      <c r="AM191" s="14"/>
      <c r="AN191" s="15"/>
      <c r="AO191" s="15"/>
      <c r="AP191" s="48"/>
      <c r="AQ191" s="15"/>
      <c r="AR191" s="15"/>
      <c r="AS191" s="15"/>
      <c r="AT191" s="60" t="str">
        <f>IF(ISNUMBER(MATCH(AU191,LOAI_THE!$B:$B,0)),INDEX(LOAI_THE!$A:$A,MATCH(AU191,LOAI_THE!$B:$B,0)),"")</f>
        <v/>
      </c>
      <c r="AU191" s="48"/>
      <c r="AV191" s="15"/>
      <c r="AW191" s="15"/>
      <c r="AX191" s="15"/>
      <c r="AY191" s="48"/>
    </row>
    <row r="192" spans="1:51" x14ac:dyDescent="0.3">
      <c r="A192" s="13" t="s">
        <v>435</v>
      </c>
      <c r="B192" s="48"/>
      <c r="C192" s="48"/>
      <c r="D192" s="48"/>
      <c r="E192" s="48"/>
      <c r="F192" s="48"/>
      <c r="G192" s="58" t="str">
        <f>IF(ISNUMBER(MATCH(H192,GIOI_TINH!$B:$B,0)),INDEX(GIOI_TINH!$A:$A,MATCH(H192,GIOI_TINH!$B:$B,0)),"")</f>
        <v/>
      </c>
      <c r="H192" s="15"/>
      <c r="I192" s="15"/>
      <c r="J192" s="58" t="str">
        <f>IF(ISNUMBER(MATCH(K192,QUOC_GIA!$B:$B,0)),INDEX(QUOC_GIA!$A:$A,MATCH(K192,QUOC_GIA!$B:$B,0)),"")</f>
        <v/>
      </c>
      <c r="K192" s="50"/>
      <c r="L192" s="15"/>
      <c r="M192" s="58" t="str">
        <f>IF(ISNUMBER(MATCH(N192,LOAI_THUE!$B:$B,0)),INDEX(LOAI_THUE!$A:$A,MATCH(N192,LOAI_THUE!$B:$B,0)),"")</f>
        <v/>
      </c>
      <c r="N192" s="50"/>
      <c r="O192" s="58" t="str">
        <f>IF(ISNUMBER(MATCH(P192,CHI_TIET_LOAI_KH!$B:$B,0)),INDEX(CHI_TIET_LOAI_KH!$A:$A,MATCH(P192,CHI_TIET_LOAI_KH!$B:$B,0)),"")</f>
        <v/>
      </c>
      <c r="P192" s="50"/>
      <c r="Q192" s="58" t="str">
        <f>IF(ISNUMBER(MATCH(R192,NGHE_NGHIEP!$B:$B,0)),INDEX(NGHE_NGHIEP!$A:$A,MATCH(R192,NGHE_NGHIEP!$B:$B,0)),"")</f>
        <v/>
      </c>
      <c r="R192" s="50"/>
      <c r="S192" s="58" t="str">
        <f>IF(ISNUMBER(MATCH(T192,LOAI_ID!$B:$B,0)),INDEX(LOAI_ID!$A:$A,MATCH(T192,LOAI_ID!$B:$B,0)),"")</f>
        <v/>
      </c>
      <c r="T192" s="16"/>
      <c r="U192" s="48"/>
      <c r="V192" s="48"/>
      <c r="W192" s="17"/>
      <c r="X192" s="17"/>
      <c r="Y192" s="15"/>
      <c r="Z192" s="15"/>
      <c r="AA192" s="59" t="str">
        <f>IFERROR(INDEX(NOI_CAP!$B:$B,MATCH(Z192,NOI_CAP!$A:$A,0)),"")</f>
        <v/>
      </c>
      <c r="AB192" s="58" t="str">
        <f>IF(ISNUMBER(MATCH(AC192,LOAI_DIA_CHI!$B:$B,0)),INDEX(LOAI_DIA_CHI!$A:$A,MATCH(AC192,LOAI_DIA_CHI!$B:$B,0)),"")</f>
        <v/>
      </c>
      <c r="AC192" s="16"/>
      <c r="AD192" s="58" t="str">
        <f>IF(ISNUMBER(MATCH(AE192,QUOC_GIA!$B:$B,0)),INDEX(QUOC_GIA!$A:$A,MATCH(AE192,QUOC_GIA!$B:$B,0)),"")</f>
        <v/>
      </c>
      <c r="AE192" s="16"/>
      <c r="AF192" s="48"/>
      <c r="AG192" s="59" t="str">
        <f>IFERROR(INDEX(TINH_TP!$B:$B,MATCH(AF192,TINH_TP!$A:$A,0)),"")</f>
        <v/>
      </c>
      <c r="AH192" s="50"/>
      <c r="AI192" s="59" t="str">
        <f>IF(OR(AF192="",AH192=""),"",IF(COUNTIFS(PHUONG_XA!$A$2:$A$3323,AH192,PHUONG_XA!$C$2:$C$3323,AF192)=0,"",INDEX(PHUONG_XA!$B$2:$B$3323,SUMPRODUCT((PHUONG_XA!$A$2:$A$3323&amp;""=AH192&amp;"")*(PHUONG_XA!$C$2:$C$3323&amp;""=AF192&amp;"")*(ROW(PHUONG_XA!$A$2:$A$3323)-ROW(PHUONG_XA!$A$2)+1)))))</f>
        <v/>
      </c>
      <c r="AJ192" s="14"/>
      <c r="AK192" s="14"/>
      <c r="AL192" s="57" t="str">
        <f t="shared" si="3"/>
        <v/>
      </c>
      <c r="AM192" s="14"/>
      <c r="AN192" s="15"/>
      <c r="AO192" s="15"/>
      <c r="AP192" s="48"/>
      <c r="AQ192" s="15"/>
      <c r="AR192" s="15"/>
      <c r="AS192" s="15"/>
      <c r="AT192" s="60" t="str">
        <f>IF(ISNUMBER(MATCH(AU192,LOAI_THE!$B:$B,0)),INDEX(LOAI_THE!$A:$A,MATCH(AU192,LOAI_THE!$B:$B,0)),"")</f>
        <v/>
      </c>
      <c r="AU192" s="48"/>
      <c r="AV192" s="15"/>
      <c r="AW192" s="15"/>
      <c r="AX192" s="15"/>
      <c r="AY192" s="48"/>
    </row>
    <row r="193" spans="1:51" x14ac:dyDescent="0.3">
      <c r="A193" s="13" t="s">
        <v>437</v>
      </c>
      <c r="B193" s="48"/>
      <c r="C193" s="48"/>
      <c r="D193" s="48"/>
      <c r="E193" s="48"/>
      <c r="F193" s="48"/>
      <c r="G193" s="58" t="str">
        <f>IF(ISNUMBER(MATCH(H193,GIOI_TINH!$B:$B,0)),INDEX(GIOI_TINH!$A:$A,MATCH(H193,GIOI_TINH!$B:$B,0)),"")</f>
        <v/>
      </c>
      <c r="H193" s="15"/>
      <c r="I193" s="15"/>
      <c r="J193" s="58" t="str">
        <f>IF(ISNUMBER(MATCH(K193,QUOC_GIA!$B:$B,0)),INDEX(QUOC_GIA!$A:$A,MATCH(K193,QUOC_GIA!$B:$B,0)),"")</f>
        <v/>
      </c>
      <c r="K193" s="50"/>
      <c r="L193" s="15"/>
      <c r="M193" s="58" t="str">
        <f>IF(ISNUMBER(MATCH(N193,LOAI_THUE!$B:$B,0)),INDEX(LOAI_THUE!$A:$A,MATCH(N193,LOAI_THUE!$B:$B,0)),"")</f>
        <v/>
      </c>
      <c r="N193" s="50"/>
      <c r="O193" s="58" t="str">
        <f>IF(ISNUMBER(MATCH(P193,CHI_TIET_LOAI_KH!$B:$B,0)),INDEX(CHI_TIET_LOAI_KH!$A:$A,MATCH(P193,CHI_TIET_LOAI_KH!$B:$B,0)),"")</f>
        <v/>
      </c>
      <c r="P193" s="50"/>
      <c r="Q193" s="58" t="str">
        <f>IF(ISNUMBER(MATCH(R193,NGHE_NGHIEP!$B:$B,0)),INDEX(NGHE_NGHIEP!$A:$A,MATCH(R193,NGHE_NGHIEP!$B:$B,0)),"")</f>
        <v/>
      </c>
      <c r="R193" s="50"/>
      <c r="S193" s="58" t="str">
        <f>IF(ISNUMBER(MATCH(T193,LOAI_ID!$B:$B,0)),INDEX(LOAI_ID!$A:$A,MATCH(T193,LOAI_ID!$B:$B,0)),"")</f>
        <v/>
      </c>
      <c r="T193" s="16"/>
      <c r="U193" s="48"/>
      <c r="V193" s="48"/>
      <c r="W193" s="17"/>
      <c r="X193" s="17"/>
      <c r="Y193" s="15"/>
      <c r="Z193" s="15"/>
      <c r="AA193" s="59" t="str">
        <f>IFERROR(INDEX(NOI_CAP!$B:$B,MATCH(Z193,NOI_CAP!$A:$A,0)),"")</f>
        <v/>
      </c>
      <c r="AB193" s="58" t="str">
        <f>IF(ISNUMBER(MATCH(AC193,LOAI_DIA_CHI!$B:$B,0)),INDEX(LOAI_DIA_CHI!$A:$A,MATCH(AC193,LOAI_DIA_CHI!$B:$B,0)),"")</f>
        <v/>
      </c>
      <c r="AC193" s="16"/>
      <c r="AD193" s="58" t="str">
        <f>IF(ISNUMBER(MATCH(AE193,QUOC_GIA!$B:$B,0)),INDEX(QUOC_GIA!$A:$A,MATCH(AE193,QUOC_GIA!$B:$B,0)),"")</f>
        <v/>
      </c>
      <c r="AE193" s="16"/>
      <c r="AF193" s="48"/>
      <c r="AG193" s="59" t="str">
        <f>IFERROR(INDEX(TINH_TP!$B:$B,MATCH(AF193,TINH_TP!$A:$A,0)),"")</f>
        <v/>
      </c>
      <c r="AH193" s="50"/>
      <c r="AI193" s="59" t="str">
        <f>IF(OR(AF193="",AH193=""),"",IF(COUNTIFS(PHUONG_XA!$A$2:$A$3323,AH193,PHUONG_XA!$C$2:$C$3323,AF193)=0,"",INDEX(PHUONG_XA!$B$2:$B$3323,SUMPRODUCT((PHUONG_XA!$A$2:$A$3323&amp;""=AH193&amp;"")*(PHUONG_XA!$C$2:$C$3323&amp;""=AF193&amp;"")*(ROW(PHUONG_XA!$A$2:$A$3323)-ROW(PHUONG_XA!$A$2)+1)))))</f>
        <v/>
      </c>
      <c r="AJ193" s="14"/>
      <c r="AK193" s="14"/>
      <c r="AL193" s="57" t="str">
        <f t="shared" si="3"/>
        <v/>
      </c>
      <c r="AM193" s="14"/>
      <c r="AN193" s="15"/>
      <c r="AO193" s="15"/>
      <c r="AP193" s="48"/>
      <c r="AQ193" s="15"/>
      <c r="AR193" s="15"/>
      <c r="AS193" s="15"/>
      <c r="AT193" s="60" t="str">
        <f>IF(ISNUMBER(MATCH(AU193,LOAI_THE!$B:$B,0)),INDEX(LOAI_THE!$A:$A,MATCH(AU193,LOAI_THE!$B:$B,0)),"")</f>
        <v/>
      </c>
      <c r="AU193" s="48"/>
      <c r="AV193" s="15"/>
      <c r="AW193" s="15"/>
      <c r="AX193" s="15"/>
      <c r="AY193" s="48"/>
    </row>
    <row r="194" spans="1:51" x14ac:dyDescent="0.3">
      <c r="A194" s="13" t="s">
        <v>439</v>
      </c>
      <c r="B194" s="48"/>
      <c r="C194" s="48"/>
      <c r="D194" s="48"/>
      <c r="E194" s="48"/>
      <c r="F194" s="48"/>
      <c r="G194" s="58" t="str">
        <f>IF(ISNUMBER(MATCH(H194,GIOI_TINH!$B:$B,0)),INDEX(GIOI_TINH!$A:$A,MATCH(H194,GIOI_TINH!$B:$B,0)),"")</f>
        <v/>
      </c>
      <c r="H194" s="15"/>
      <c r="I194" s="15"/>
      <c r="J194" s="58" t="str">
        <f>IF(ISNUMBER(MATCH(K194,QUOC_GIA!$B:$B,0)),INDEX(QUOC_GIA!$A:$A,MATCH(K194,QUOC_GIA!$B:$B,0)),"")</f>
        <v/>
      </c>
      <c r="K194" s="50"/>
      <c r="L194" s="15"/>
      <c r="M194" s="58" t="str">
        <f>IF(ISNUMBER(MATCH(N194,LOAI_THUE!$B:$B,0)),INDEX(LOAI_THUE!$A:$A,MATCH(N194,LOAI_THUE!$B:$B,0)),"")</f>
        <v/>
      </c>
      <c r="N194" s="50"/>
      <c r="O194" s="58" t="str">
        <f>IF(ISNUMBER(MATCH(P194,CHI_TIET_LOAI_KH!$B:$B,0)),INDEX(CHI_TIET_LOAI_KH!$A:$A,MATCH(P194,CHI_TIET_LOAI_KH!$B:$B,0)),"")</f>
        <v/>
      </c>
      <c r="P194" s="50"/>
      <c r="Q194" s="58" t="str">
        <f>IF(ISNUMBER(MATCH(R194,NGHE_NGHIEP!$B:$B,0)),INDEX(NGHE_NGHIEP!$A:$A,MATCH(R194,NGHE_NGHIEP!$B:$B,0)),"")</f>
        <v/>
      </c>
      <c r="R194" s="50"/>
      <c r="S194" s="58" t="str">
        <f>IF(ISNUMBER(MATCH(T194,LOAI_ID!$B:$B,0)),INDEX(LOAI_ID!$A:$A,MATCH(T194,LOAI_ID!$B:$B,0)),"")</f>
        <v/>
      </c>
      <c r="T194" s="16"/>
      <c r="U194" s="48"/>
      <c r="V194" s="48"/>
      <c r="W194" s="17"/>
      <c r="X194" s="17"/>
      <c r="Y194" s="15"/>
      <c r="Z194" s="15"/>
      <c r="AA194" s="59" t="str">
        <f>IFERROR(INDEX(NOI_CAP!$B:$B,MATCH(Z194,NOI_CAP!$A:$A,0)),"")</f>
        <v/>
      </c>
      <c r="AB194" s="58" t="str">
        <f>IF(ISNUMBER(MATCH(AC194,LOAI_DIA_CHI!$B:$B,0)),INDEX(LOAI_DIA_CHI!$A:$A,MATCH(AC194,LOAI_DIA_CHI!$B:$B,0)),"")</f>
        <v/>
      </c>
      <c r="AC194" s="16"/>
      <c r="AD194" s="58" t="str">
        <f>IF(ISNUMBER(MATCH(AE194,QUOC_GIA!$B:$B,0)),INDEX(QUOC_GIA!$A:$A,MATCH(AE194,QUOC_GIA!$B:$B,0)),"")</f>
        <v/>
      </c>
      <c r="AE194" s="16"/>
      <c r="AF194" s="48"/>
      <c r="AG194" s="59" t="str">
        <f>IFERROR(INDEX(TINH_TP!$B:$B,MATCH(AF194,TINH_TP!$A:$A,0)),"")</f>
        <v/>
      </c>
      <c r="AH194" s="50"/>
      <c r="AI194" s="59" t="str">
        <f>IF(OR(AF194="",AH194=""),"",IF(COUNTIFS(PHUONG_XA!$A$2:$A$3323,AH194,PHUONG_XA!$C$2:$C$3323,AF194)=0,"",INDEX(PHUONG_XA!$B$2:$B$3323,SUMPRODUCT((PHUONG_XA!$A$2:$A$3323&amp;""=AH194&amp;"")*(PHUONG_XA!$C$2:$C$3323&amp;""=AF194&amp;"")*(ROW(PHUONG_XA!$A$2:$A$3323)-ROW(PHUONG_XA!$A$2)+1)))))</f>
        <v/>
      </c>
      <c r="AJ194" s="14"/>
      <c r="AK194" s="14"/>
      <c r="AL194" s="57" t="str">
        <f t="shared" si="3"/>
        <v/>
      </c>
      <c r="AM194" s="14"/>
      <c r="AN194" s="15"/>
      <c r="AO194" s="15"/>
      <c r="AP194" s="48"/>
      <c r="AQ194" s="15"/>
      <c r="AR194" s="15"/>
      <c r="AS194" s="15"/>
      <c r="AT194" s="60" t="str">
        <f>IF(ISNUMBER(MATCH(AU194,LOAI_THE!$B:$B,0)),INDEX(LOAI_THE!$A:$A,MATCH(AU194,LOAI_THE!$B:$B,0)),"")</f>
        <v/>
      </c>
      <c r="AU194" s="48"/>
      <c r="AV194" s="15"/>
      <c r="AW194" s="15"/>
      <c r="AX194" s="15"/>
      <c r="AY194" s="48"/>
    </row>
    <row r="195" spans="1:51" x14ac:dyDescent="0.3">
      <c r="A195" s="13" t="s">
        <v>441</v>
      </c>
      <c r="B195" s="48"/>
      <c r="C195" s="48"/>
      <c r="D195" s="48"/>
      <c r="E195" s="48"/>
      <c r="F195" s="48"/>
      <c r="G195" s="58" t="str">
        <f>IF(ISNUMBER(MATCH(H195,GIOI_TINH!$B:$B,0)),INDEX(GIOI_TINH!$A:$A,MATCH(H195,GIOI_TINH!$B:$B,0)),"")</f>
        <v/>
      </c>
      <c r="H195" s="15"/>
      <c r="I195" s="15"/>
      <c r="J195" s="58" t="str">
        <f>IF(ISNUMBER(MATCH(K195,QUOC_GIA!$B:$B,0)),INDEX(QUOC_GIA!$A:$A,MATCH(K195,QUOC_GIA!$B:$B,0)),"")</f>
        <v/>
      </c>
      <c r="K195" s="50"/>
      <c r="L195" s="15"/>
      <c r="M195" s="58" t="str">
        <f>IF(ISNUMBER(MATCH(N195,LOAI_THUE!$B:$B,0)),INDEX(LOAI_THUE!$A:$A,MATCH(N195,LOAI_THUE!$B:$B,0)),"")</f>
        <v/>
      </c>
      <c r="N195" s="50"/>
      <c r="O195" s="58" t="str">
        <f>IF(ISNUMBER(MATCH(P195,CHI_TIET_LOAI_KH!$B:$B,0)),INDEX(CHI_TIET_LOAI_KH!$A:$A,MATCH(P195,CHI_TIET_LOAI_KH!$B:$B,0)),"")</f>
        <v/>
      </c>
      <c r="P195" s="50"/>
      <c r="Q195" s="58" t="str">
        <f>IF(ISNUMBER(MATCH(R195,NGHE_NGHIEP!$B:$B,0)),INDEX(NGHE_NGHIEP!$A:$A,MATCH(R195,NGHE_NGHIEP!$B:$B,0)),"")</f>
        <v/>
      </c>
      <c r="R195" s="50"/>
      <c r="S195" s="58" t="str">
        <f>IF(ISNUMBER(MATCH(T195,LOAI_ID!$B:$B,0)),INDEX(LOAI_ID!$A:$A,MATCH(T195,LOAI_ID!$B:$B,0)),"")</f>
        <v/>
      </c>
      <c r="T195" s="16"/>
      <c r="U195" s="48"/>
      <c r="V195" s="48"/>
      <c r="W195" s="17"/>
      <c r="X195" s="17"/>
      <c r="Y195" s="15"/>
      <c r="Z195" s="15"/>
      <c r="AA195" s="59" t="str">
        <f>IFERROR(INDEX(NOI_CAP!$B:$B,MATCH(Z195,NOI_CAP!$A:$A,0)),"")</f>
        <v/>
      </c>
      <c r="AB195" s="58" t="str">
        <f>IF(ISNUMBER(MATCH(AC195,LOAI_DIA_CHI!$B:$B,0)),INDEX(LOAI_DIA_CHI!$A:$A,MATCH(AC195,LOAI_DIA_CHI!$B:$B,0)),"")</f>
        <v/>
      </c>
      <c r="AC195" s="16"/>
      <c r="AD195" s="58" t="str">
        <f>IF(ISNUMBER(MATCH(AE195,QUOC_GIA!$B:$B,0)),INDEX(QUOC_GIA!$A:$A,MATCH(AE195,QUOC_GIA!$B:$B,0)),"")</f>
        <v/>
      </c>
      <c r="AE195" s="16"/>
      <c r="AF195" s="48"/>
      <c r="AG195" s="59" t="str">
        <f>IFERROR(INDEX(TINH_TP!$B:$B,MATCH(AF195,TINH_TP!$A:$A,0)),"")</f>
        <v/>
      </c>
      <c r="AH195" s="50"/>
      <c r="AI195" s="59" t="str">
        <f>IF(OR(AF195="",AH195=""),"",IF(COUNTIFS(PHUONG_XA!$A$2:$A$3323,AH195,PHUONG_XA!$C$2:$C$3323,AF195)=0,"",INDEX(PHUONG_XA!$B$2:$B$3323,SUMPRODUCT((PHUONG_XA!$A$2:$A$3323&amp;""=AH195&amp;"")*(PHUONG_XA!$C$2:$C$3323&amp;""=AF195&amp;"")*(ROW(PHUONG_XA!$A$2:$A$3323)-ROW(PHUONG_XA!$A$2)+1)))))</f>
        <v/>
      </c>
      <c r="AJ195" s="14"/>
      <c r="AK195" s="14"/>
      <c r="AL195" s="57" t="str">
        <f t="shared" si="3"/>
        <v/>
      </c>
      <c r="AM195" s="14"/>
      <c r="AN195" s="15"/>
      <c r="AO195" s="15"/>
      <c r="AP195" s="48"/>
      <c r="AQ195" s="15"/>
      <c r="AR195" s="15"/>
      <c r="AS195" s="15"/>
      <c r="AT195" s="60" t="str">
        <f>IF(ISNUMBER(MATCH(AU195,LOAI_THE!$B:$B,0)),INDEX(LOAI_THE!$A:$A,MATCH(AU195,LOAI_THE!$B:$B,0)),"")</f>
        <v/>
      </c>
      <c r="AU195" s="48"/>
      <c r="AV195" s="15"/>
      <c r="AW195" s="15"/>
      <c r="AX195" s="15"/>
      <c r="AY195" s="48"/>
    </row>
    <row r="196" spans="1:51" x14ac:dyDescent="0.3">
      <c r="A196" s="13" t="s">
        <v>443</v>
      </c>
      <c r="B196" s="48"/>
      <c r="C196" s="48"/>
      <c r="D196" s="48"/>
      <c r="E196" s="48"/>
      <c r="F196" s="48"/>
      <c r="G196" s="58" t="str">
        <f>IF(ISNUMBER(MATCH(H196,GIOI_TINH!$B:$B,0)),INDEX(GIOI_TINH!$A:$A,MATCH(H196,GIOI_TINH!$B:$B,0)),"")</f>
        <v/>
      </c>
      <c r="H196" s="15"/>
      <c r="I196" s="15"/>
      <c r="J196" s="58" t="str">
        <f>IF(ISNUMBER(MATCH(K196,QUOC_GIA!$B:$B,0)),INDEX(QUOC_GIA!$A:$A,MATCH(K196,QUOC_GIA!$B:$B,0)),"")</f>
        <v/>
      </c>
      <c r="K196" s="50"/>
      <c r="L196" s="15"/>
      <c r="M196" s="58" t="str">
        <f>IF(ISNUMBER(MATCH(N196,LOAI_THUE!$B:$B,0)),INDEX(LOAI_THUE!$A:$A,MATCH(N196,LOAI_THUE!$B:$B,0)),"")</f>
        <v/>
      </c>
      <c r="N196" s="50"/>
      <c r="O196" s="58" t="str">
        <f>IF(ISNUMBER(MATCH(P196,CHI_TIET_LOAI_KH!$B:$B,0)),INDEX(CHI_TIET_LOAI_KH!$A:$A,MATCH(P196,CHI_TIET_LOAI_KH!$B:$B,0)),"")</f>
        <v/>
      </c>
      <c r="P196" s="50"/>
      <c r="Q196" s="58" t="str">
        <f>IF(ISNUMBER(MATCH(R196,NGHE_NGHIEP!$B:$B,0)),INDEX(NGHE_NGHIEP!$A:$A,MATCH(R196,NGHE_NGHIEP!$B:$B,0)),"")</f>
        <v/>
      </c>
      <c r="R196" s="50"/>
      <c r="S196" s="58" t="str">
        <f>IF(ISNUMBER(MATCH(T196,LOAI_ID!$B:$B,0)),INDEX(LOAI_ID!$A:$A,MATCH(T196,LOAI_ID!$B:$B,0)),"")</f>
        <v/>
      </c>
      <c r="T196" s="16"/>
      <c r="U196" s="48"/>
      <c r="V196" s="48"/>
      <c r="W196" s="17"/>
      <c r="X196" s="17"/>
      <c r="Y196" s="15"/>
      <c r="Z196" s="15"/>
      <c r="AA196" s="59" t="str">
        <f>IFERROR(INDEX(NOI_CAP!$B:$B,MATCH(Z196,NOI_CAP!$A:$A,0)),"")</f>
        <v/>
      </c>
      <c r="AB196" s="58" t="str">
        <f>IF(ISNUMBER(MATCH(AC196,LOAI_DIA_CHI!$B:$B,0)),INDEX(LOAI_DIA_CHI!$A:$A,MATCH(AC196,LOAI_DIA_CHI!$B:$B,0)),"")</f>
        <v/>
      </c>
      <c r="AC196" s="16"/>
      <c r="AD196" s="58" t="str">
        <f>IF(ISNUMBER(MATCH(AE196,QUOC_GIA!$B:$B,0)),INDEX(QUOC_GIA!$A:$A,MATCH(AE196,QUOC_GIA!$B:$B,0)),"")</f>
        <v/>
      </c>
      <c r="AE196" s="16"/>
      <c r="AF196" s="48"/>
      <c r="AG196" s="59" t="str">
        <f>IFERROR(INDEX(TINH_TP!$B:$B,MATCH(AF196,TINH_TP!$A:$A,0)),"")</f>
        <v/>
      </c>
      <c r="AH196" s="50"/>
      <c r="AI196" s="59" t="str">
        <f>IF(OR(AF196="",AH196=""),"",IF(COUNTIFS(PHUONG_XA!$A$2:$A$3323,AH196,PHUONG_XA!$C$2:$C$3323,AF196)=0,"",INDEX(PHUONG_XA!$B$2:$B$3323,SUMPRODUCT((PHUONG_XA!$A$2:$A$3323&amp;""=AH196&amp;"")*(PHUONG_XA!$C$2:$C$3323&amp;""=AF196&amp;"")*(ROW(PHUONG_XA!$A$2:$A$3323)-ROW(PHUONG_XA!$A$2)+1)))))</f>
        <v/>
      </c>
      <c r="AJ196" s="14"/>
      <c r="AK196" s="14"/>
      <c r="AL196" s="57" t="str">
        <f t="shared" si="3"/>
        <v/>
      </c>
      <c r="AM196" s="14"/>
      <c r="AN196" s="15"/>
      <c r="AO196" s="15"/>
      <c r="AP196" s="48"/>
      <c r="AQ196" s="15"/>
      <c r="AR196" s="15"/>
      <c r="AS196" s="15"/>
      <c r="AT196" s="60" t="str">
        <f>IF(ISNUMBER(MATCH(AU196,LOAI_THE!$B:$B,0)),INDEX(LOAI_THE!$A:$A,MATCH(AU196,LOAI_THE!$B:$B,0)),"")</f>
        <v/>
      </c>
      <c r="AU196" s="48"/>
      <c r="AV196" s="15"/>
      <c r="AW196" s="15"/>
      <c r="AX196" s="15"/>
      <c r="AY196" s="48"/>
    </row>
    <row r="197" spans="1:51" x14ac:dyDescent="0.3">
      <c r="A197" s="13" t="s">
        <v>445</v>
      </c>
      <c r="B197" s="48"/>
      <c r="C197" s="48"/>
      <c r="D197" s="48"/>
      <c r="E197" s="48"/>
      <c r="F197" s="48"/>
      <c r="G197" s="58" t="str">
        <f>IF(ISNUMBER(MATCH(H197,GIOI_TINH!$B:$B,0)),INDEX(GIOI_TINH!$A:$A,MATCH(H197,GIOI_TINH!$B:$B,0)),"")</f>
        <v/>
      </c>
      <c r="H197" s="15"/>
      <c r="I197" s="15"/>
      <c r="J197" s="58" t="str">
        <f>IF(ISNUMBER(MATCH(K197,QUOC_GIA!$B:$B,0)),INDEX(QUOC_GIA!$A:$A,MATCH(K197,QUOC_GIA!$B:$B,0)),"")</f>
        <v/>
      </c>
      <c r="K197" s="50"/>
      <c r="L197" s="15"/>
      <c r="M197" s="58" t="str">
        <f>IF(ISNUMBER(MATCH(N197,LOAI_THUE!$B:$B,0)),INDEX(LOAI_THUE!$A:$A,MATCH(N197,LOAI_THUE!$B:$B,0)),"")</f>
        <v/>
      </c>
      <c r="N197" s="50"/>
      <c r="O197" s="58" t="str">
        <f>IF(ISNUMBER(MATCH(P197,CHI_TIET_LOAI_KH!$B:$B,0)),INDEX(CHI_TIET_LOAI_KH!$A:$A,MATCH(P197,CHI_TIET_LOAI_KH!$B:$B,0)),"")</f>
        <v/>
      </c>
      <c r="P197" s="50"/>
      <c r="Q197" s="58" t="str">
        <f>IF(ISNUMBER(MATCH(R197,NGHE_NGHIEP!$B:$B,0)),INDEX(NGHE_NGHIEP!$A:$A,MATCH(R197,NGHE_NGHIEP!$B:$B,0)),"")</f>
        <v/>
      </c>
      <c r="R197" s="50"/>
      <c r="S197" s="58" t="str">
        <f>IF(ISNUMBER(MATCH(T197,LOAI_ID!$B:$B,0)),INDEX(LOAI_ID!$A:$A,MATCH(T197,LOAI_ID!$B:$B,0)),"")</f>
        <v/>
      </c>
      <c r="T197" s="16"/>
      <c r="U197" s="48"/>
      <c r="V197" s="48"/>
      <c r="W197" s="17"/>
      <c r="X197" s="17"/>
      <c r="Y197" s="15"/>
      <c r="Z197" s="15"/>
      <c r="AA197" s="59" t="str">
        <f>IFERROR(INDEX(NOI_CAP!$B:$B,MATCH(Z197,NOI_CAP!$A:$A,0)),"")</f>
        <v/>
      </c>
      <c r="AB197" s="58" t="str">
        <f>IF(ISNUMBER(MATCH(AC197,LOAI_DIA_CHI!$B:$B,0)),INDEX(LOAI_DIA_CHI!$A:$A,MATCH(AC197,LOAI_DIA_CHI!$B:$B,0)),"")</f>
        <v/>
      </c>
      <c r="AC197" s="16"/>
      <c r="AD197" s="58" t="str">
        <f>IF(ISNUMBER(MATCH(AE197,QUOC_GIA!$B:$B,0)),INDEX(QUOC_GIA!$A:$A,MATCH(AE197,QUOC_GIA!$B:$B,0)),"")</f>
        <v/>
      </c>
      <c r="AE197" s="16"/>
      <c r="AF197" s="48"/>
      <c r="AG197" s="59" t="str">
        <f>IFERROR(INDEX(TINH_TP!$B:$B,MATCH(AF197,TINH_TP!$A:$A,0)),"")</f>
        <v/>
      </c>
      <c r="AH197" s="50"/>
      <c r="AI197" s="59" t="str">
        <f>IF(OR(AF197="",AH197=""),"",IF(COUNTIFS(PHUONG_XA!$A$2:$A$3323,AH197,PHUONG_XA!$C$2:$C$3323,AF197)=0,"",INDEX(PHUONG_XA!$B$2:$B$3323,SUMPRODUCT((PHUONG_XA!$A$2:$A$3323&amp;""=AH197&amp;"")*(PHUONG_XA!$C$2:$C$3323&amp;""=AF197&amp;"")*(ROW(PHUONG_XA!$A$2:$A$3323)-ROW(PHUONG_XA!$A$2)+1)))))</f>
        <v/>
      </c>
      <c r="AJ197" s="14"/>
      <c r="AK197" s="14"/>
      <c r="AL197" s="57" t="str">
        <f t="shared" si="3"/>
        <v/>
      </c>
      <c r="AM197" s="14"/>
      <c r="AN197" s="15"/>
      <c r="AO197" s="15"/>
      <c r="AP197" s="48"/>
      <c r="AQ197" s="15"/>
      <c r="AR197" s="15"/>
      <c r="AS197" s="15"/>
      <c r="AT197" s="60" t="str">
        <f>IF(ISNUMBER(MATCH(AU197,LOAI_THE!$B:$B,0)),INDEX(LOAI_THE!$A:$A,MATCH(AU197,LOAI_THE!$B:$B,0)),"")</f>
        <v/>
      </c>
      <c r="AU197" s="48"/>
      <c r="AV197" s="15"/>
      <c r="AW197" s="15"/>
      <c r="AX197" s="15"/>
      <c r="AY197" s="48"/>
    </row>
    <row r="198" spans="1:51" x14ac:dyDescent="0.3">
      <c r="A198" s="13" t="s">
        <v>447</v>
      </c>
      <c r="B198" s="48"/>
      <c r="C198" s="48"/>
      <c r="D198" s="48"/>
      <c r="E198" s="48"/>
      <c r="F198" s="48"/>
      <c r="G198" s="58" t="str">
        <f>IF(ISNUMBER(MATCH(H198,GIOI_TINH!$B:$B,0)),INDEX(GIOI_TINH!$A:$A,MATCH(H198,GIOI_TINH!$B:$B,0)),"")</f>
        <v/>
      </c>
      <c r="H198" s="15"/>
      <c r="I198" s="15"/>
      <c r="J198" s="58" t="str">
        <f>IF(ISNUMBER(MATCH(K198,QUOC_GIA!$B:$B,0)),INDEX(QUOC_GIA!$A:$A,MATCH(K198,QUOC_GIA!$B:$B,0)),"")</f>
        <v/>
      </c>
      <c r="K198" s="50"/>
      <c r="L198" s="15"/>
      <c r="M198" s="58" t="str">
        <f>IF(ISNUMBER(MATCH(N198,LOAI_THUE!$B:$B,0)),INDEX(LOAI_THUE!$A:$A,MATCH(N198,LOAI_THUE!$B:$B,0)),"")</f>
        <v/>
      </c>
      <c r="N198" s="50"/>
      <c r="O198" s="58" t="str">
        <f>IF(ISNUMBER(MATCH(P198,CHI_TIET_LOAI_KH!$B:$B,0)),INDEX(CHI_TIET_LOAI_KH!$A:$A,MATCH(P198,CHI_TIET_LOAI_KH!$B:$B,0)),"")</f>
        <v/>
      </c>
      <c r="P198" s="50"/>
      <c r="Q198" s="58" t="str">
        <f>IF(ISNUMBER(MATCH(R198,NGHE_NGHIEP!$B:$B,0)),INDEX(NGHE_NGHIEP!$A:$A,MATCH(R198,NGHE_NGHIEP!$B:$B,0)),"")</f>
        <v/>
      </c>
      <c r="R198" s="50"/>
      <c r="S198" s="58" t="str">
        <f>IF(ISNUMBER(MATCH(T198,LOAI_ID!$B:$B,0)),INDEX(LOAI_ID!$A:$A,MATCH(T198,LOAI_ID!$B:$B,0)),"")</f>
        <v/>
      </c>
      <c r="T198" s="16"/>
      <c r="U198" s="48"/>
      <c r="V198" s="48"/>
      <c r="W198" s="17"/>
      <c r="X198" s="17"/>
      <c r="Y198" s="15"/>
      <c r="Z198" s="15"/>
      <c r="AA198" s="59" t="str">
        <f>IFERROR(INDEX(NOI_CAP!$B:$B,MATCH(Z198,NOI_CAP!$A:$A,0)),"")</f>
        <v/>
      </c>
      <c r="AB198" s="58" t="str">
        <f>IF(ISNUMBER(MATCH(AC198,LOAI_DIA_CHI!$B:$B,0)),INDEX(LOAI_DIA_CHI!$A:$A,MATCH(AC198,LOAI_DIA_CHI!$B:$B,0)),"")</f>
        <v/>
      </c>
      <c r="AC198" s="16"/>
      <c r="AD198" s="58" t="str">
        <f>IF(ISNUMBER(MATCH(AE198,QUOC_GIA!$B:$B,0)),INDEX(QUOC_GIA!$A:$A,MATCH(AE198,QUOC_GIA!$B:$B,0)),"")</f>
        <v/>
      </c>
      <c r="AE198" s="16"/>
      <c r="AF198" s="48"/>
      <c r="AG198" s="59" t="str">
        <f>IFERROR(INDEX(TINH_TP!$B:$B,MATCH(AF198,TINH_TP!$A:$A,0)),"")</f>
        <v/>
      </c>
      <c r="AH198" s="50"/>
      <c r="AI198" s="59" t="str">
        <f>IF(OR(AF198="",AH198=""),"",IF(COUNTIFS(PHUONG_XA!$A$2:$A$3323,AH198,PHUONG_XA!$C$2:$C$3323,AF198)=0,"",INDEX(PHUONG_XA!$B$2:$B$3323,SUMPRODUCT((PHUONG_XA!$A$2:$A$3323&amp;""=AH198&amp;"")*(PHUONG_XA!$C$2:$C$3323&amp;""=AF198&amp;"")*(ROW(PHUONG_XA!$A$2:$A$3323)-ROW(PHUONG_XA!$A$2)+1)))))</f>
        <v/>
      </c>
      <c r="AJ198" s="14"/>
      <c r="AK198" s="14"/>
      <c r="AL198" s="57" t="str">
        <f t="shared" si="3"/>
        <v/>
      </c>
      <c r="AM198" s="14"/>
      <c r="AN198" s="15"/>
      <c r="AO198" s="15"/>
      <c r="AP198" s="48"/>
      <c r="AQ198" s="15"/>
      <c r="AR198" s="15"/>
      <c r="AS198" s="15"/>
      <c r="AT198" s="60" t="str">
        <f>IF(ISNUMBER(MATCH(AU198,LOAI_THE!$B:$B,0)),INDEX(LOAI_THE!$A:$A,MATCH(AU198,LOAI_THE!$B:$B,0)),"")</f>
        <v/>
      </c>
      <c r="AU198" s="48"/>
      <c r="AV198" s="15"/>
      <c r="AW198" s="15"/>
      <c r="AX198" s="15"/>
      <c r="AY198" s="48"/>
    </row>
    <row r="199" spans="1:51" x14ac:dyDescent="0.3">
      <c r="A199" s="13" t="s">
        <v>449</v>
      </c>
      <c r="B199" s="48"/>
      <c r="C199" s="48"/>
      <c r="D199" s="48"/>
      <c r="E199" s="48"/>
      <c r="F199" s="48"/>
      <c r="G199" s="58" t="str">
        <f>IF(ISNUMBER(MATCH(H199,GIOI_TINH!$B:$B,0)),INDEX(GIOI_TINH!$A:$A,MATCH(H199,GIOI_TINH!$B:$B,0)),"")</f>
        <v/>
      </c>
      <c r="H199" s="15"/>
      <c r="I199" s="15"/>
      <c r="J199" s="58" t="str">
        <f>IF(ISNUMBER(MATCH(K199,QUOC_GIA!$B:$B,0)),INDEX(QUOC_GIA!$A:$A,MATCH(K199,QUOC_GIA!$B:$B,0)),"")</f>
        <v/>
      </c>
      <c r="K199" s="50"/>
      <c r="L199" s="15"/>
      <c r="M199" s="58" t="str">
        <f>IF(ISNUMBER(MATCH(N199,LOAI_THUE!$B:$B,0)),INDEX(LOAI_THUE!$A:$A,MATCH(N199,LOAI_THUE!$B:$B,0)),"")</f>
        <v/>
      </c>
      <c r="N199" s="50"/>
      <c r="O199" s="58" t="str">
        <f>IF(ISNUMBER(MATCH(P199,CHI_TIET_LOAI_KH!$B:$B,0)),INDEX(CHI_TIET_LOAI_KH!$A:$A,MATCH(P199,CHI_TIET_LOAI_KH!$B:$B,0)),"")</f>
        <v/>
      </c>
      <c r="P199" s="50"/>
      <c r="Q199" s="58" t="str">
        <f>IF(ISNUMBER(MATCH(R199,NGHE_NGHIEP!$B:$B,0)),INDEX(NGHE_NGHIEP!$A:$A,MATCH(R199,NGHE_NGHIEP!$B:$B,0)),"")</f>
        <v/>
      </c>
      <c r="R199" s="50"/>
      <c r="S199" s="58" t="str">
        <f>IF(ISNUMBER(MATCH(T199,LOAI_ID!$B:$B,0)),INDEX(LOAI_ID!$A:$A,MATCH(T199,LOAI_ID!$B:$B,0)),"")</f>
        <v/>
      </c>
      <c r="T199" s="16"/>
      <c r="U199" s="48"/>
      <c r="V199" s="48"/>
      <c r="W199" s="17"/>
      <c r="X199" s="17"/>
      <c r="Y199" s="15"/>
      <c r="Z199" s="15"/>
      <c r="AA199" s="59" t="str">
        <f>IFERROR(INDEX(NOI_CAP!$B:$B,MATCH(Z199,NOI_CAP!$A:$A,0)),"")</f>
        <v/>
      </c>
      <c r="AB199" s="58" t="str">
        <f>IF(ISNUMBER(MATCH(AC199,LOAI_DIA_CHI!$B:$B,0)),INDEX(LOAI_DIA_CHI!$A:$A,MATCH(AC199,LOAI_DIA_CHI!$B:$B,0)),"")</f>
        <v/>
      </c>
      <c r="AC199" s="16"/>
      <c r="AD199" s="58" t="str">
        <f>IF(ISNUMBER(MATCH(AE199,QUOC_GIA!$B:$B,0)),INDEX(QUOC_GIA!$A:$A,MATCH(AE199,QUOC_GIA!$B:$B,0)),"")</f>
        <v/>
      </c>
      <c r="AE199" s="16"/>
      <c r="AF199" s="48"/>
      <c r="AG199" s="59" t="str">
        <f>IFERROR(INDEX(TINH_TP!$B:$B,MATCH(AF199,TINH_TP!$A:$A,0)),"")</f>
        <v/>
      </c>
      <c r="AH199" s="50"/>
      <c r="AI199" s="59" t="str">
        <f>IF(OR(AF199="",AH199=""),"",IF(COUNTIFS(PHUONG_XA!$A$2:$A$3323,AH199,PHUONG_XA!$C$2:$C$3323,AF199)=0,"",INDEX(PHUONG_XA!$B$2:$B$3323,SUMPRODUCT((PHUONG_XA!$A$2:$A$3323&amp;""=AH199&amp;"")*(PHUONG_XA!$C$2:$C$3323&amp;""=AF199&amp;"")*(ROW(PHUONG_XA!$A$2:$A$3323)-ROW(PHUONG_XA!$A$2)+1)))))</f>
        <v/>
      </c>
      <c r="AJ199" s="14"/>
      <c r="AK199" s="14"/>
      <c r="AL199" s="57" t="str">
        <f t="shared" ref="AL199:AL262" si="4">IF(OR(AI199="",AG199=""),"",SUBSTITUTE(SUBSTITUTE(AI199,"Phường","P."),"Xã","X.")&amp;", "&amp;SUBSTITUTE(SUBSTITUTE(AG199,"Thành phố","TP."),"Tỉnh","T."))</f>
        <v/>
      </c>
      <c r="AM199" s="14"/>
      <c r="AN199" s="15"/>
      <c r="AO199" s="15"/>
      <c r="AP199" s="48"/>
      <c r="AQ199" s="15"/>
      <c r="AR199" s="15"/>
      <c r="AS199" s="15"/>
      <c r="AT199" s="60" t="str">
        <f>IF(ISNUMBER(MATCH(AU199,LOAI_THE!$B:$B,0)),INDEX(LOAI_THE!$A:$A,MATCH(AU199,LOAI_THE!$B:$B,0)),"")</f>
        <v/>
      </c>
      <c r="AU199" s="48"/>
      <c r="AV199" s="15"/>
      <c r="AW199" s="15"/>
      <c r="AX199" s="15"/>
      <c r="AY199" s="48"/>
    </row>
    <row r="200" spans="1:51" x14ac:dyDescent="0.3">
      <c r="A200" s="13" t="s">
        <v>451</v>
      </c>
      <c r="B200" s="48"/>
      <c r="C200" s="48"/>
      <c r="D200" s="48"/>
      <c r="E200" s="48"/>
      <c r="F200" s="48"/>
      <c r="G200" s="58" t="str">
        <f>IF(ISNUMBER(MATCH(H200,GIOI_TINH!$B:$B,0)),INDEX(GIOI_TINH!$A:$A,MATCH(H200,GIOI_TINH!$B:$B,0)),"")</f>
        <v/>
      </c>
      <c r="H200" s="15"/>
      <c r="I200" s="15"/>
      <c r="J200" s="58" t="str">
        <f>IF(ISNUMBER(MATCH(K200,QUOC_GIA!$B:$B,0)),INDEX(QUOC_GIA!$A:$A,MATCH(K200,QUOC_GIA!$B:$B,0)),"")</f>
        <v/>
      </c>
      <c r="K200" s="50"/>
      <c r="L200" s="15"/>
      <c r="M200" s="58" t="str">
        <f>IF(ISNUMBER(MATCH(N200,LOAI_THUE!$B:$B,0)),INDEX(LOAI_THUE!$A:$A,MATCH(N200,LOAI_THUE!$B:$B,0)),"")</f>
        <v/>
      </c>
      <c r="N200" s="50"/>
      <c r="O200" s="58" t="str">
        <f>IF(ISNUMBER(MATCH(P200,CHI_TIET_LOAI_KH!$B:$B,0)),INDEX(CHI_TIET_LOAI_KH!$A:$A,MATCH(P200,CHI_TIET_LOAI_KH!$B:$B,0)),"")</f>
        <v/>
      </c>
      <c r="P200" s="50"/>
      <c r="Q200" s="58" t="str">
        <f>IF(ISNUMBER(MATCH(R200,NGHE_NGHIEP!$B:$B,0)),INDEX(NGHE_NGHIEP!$A:$A,MATCH(R200,NGHE_NGHIEP!$B:$B,0)),"")</f>
        <v/>
      </c>
      <c r="R200" s="50"/>
      <c r="S200" s="58" t="str">
        <f>IF(ISNUMBER(MATCH(T200,LOAI_ID!$B:$B,0)),INDEX(LOAI_ID!$A:$A,MATCH(T200,LOAI_ID!$B:$B,0)),"")</f>
        <v/>
      </c>
      <c r="T200" s="16"/>
      <c r="U200" s="48"/>
      <c r="V200" s="48"/>
      <c r="W200" s="17"/>
      <c r="X200" s="17"/>
      <c r="Y200" s="15"/>
      <c r="Z200" s="15"/>
      <c r="AA200" s="59" t="str">
        <f>IFERROR(INDEX(NOI_CAP!$B:$B,MATCH(Z200,NOI_CAP!$A:$A,0)),"")</f>
        <v/>
      </c>
      <c r="AB200" s="58" t="str">
        <f>IF(ISNUMBER(MATCH(AC200,LOAI_DIA_CHI!$B:$B,0)),INDEX(LOAI_DIA_CHI!$A:$A,MATCH(AC200,LOAI_DIA_CHI!$B:$B,0)),"")</f>
        <v/>
      </c>
      <c r="AC200" s="16"/>
      <c r="AD200" s="58" t="str">
        <f>IF(ISNUMBER(MATCH(AE200,QUOC_GIA!$B:$B,0)),INDEX(QUOC_GIA!$A:$A,MATCH(AE200,QUOC_GIA!$B:$B,0)),"")</f>
        <v/>
      </c>
      <c r="AE200" s="16"/>
      <c r="AF200" s="48"/>
      <c r="AG200" s="59" t="str">
        <f>IFERROR(INDEX(TINH_TP!$B:$B,MATCH(AF200,TINH_TP!$A:$A,0)),"")</f>
        <v/>
      </c>
      <c r="AH200" s="50"/>
      <c r="AI200" s="59" t="str">
        <f>IF(OR(AF200="",AH200=""),"",IF(COUNTIFS(PHUONG_XA!$A$2:$A$3323,AH200,PHUONG_XA!$C$2:$C$3323,AF200)=0,"",INDEX(PHUONG_XA!$B$2:$B$3323,SUMPRODUCT((PHUONG_XA!$A$2:$A$3323&amp;""=AH200&amp;"")*(PHUONG_XA!$C$2:$C$3323&amp;""=AF200&amp;"")*(ROW(PHUONG_XA!$A$2:$A$3323)-ROW(PHUONG_XA!$A$2)+1)))))</f>
        <v/>
      </c>
      <c r="AJ200" s="14"/>
      <c r="AK200" s="14"/>
      <c r="AL200" s="57" t="str">
        <f t="shared" si="4"/>
        <v/>
      </c>
      <c r="AM200" s="14"/>
      <c r="AN200" s="15"/>
      <c r="AO200" s="15"/>
      <c r="AP200" s="48"/>
      <c r="AQ200" s="15"/>
      <c r="AR200" s="15"/>
      <c r="AS200" s="15"/>
      <c r="AT200" s="60" t="str">
        <f>IF(ISNUMBER(MATCH(AU200,LOAI_THE!$B:$B,0)),INDEX(LOAI_THE!$A:$A,MATCH(AU200,LOAI_THE!$B:$B,0)),"")</f>
        <v/>
      </c>
      <c r="AU200" s="48"/>
      <c r="AV200" s="15"/>
      <c r="AW200" s="15"/>
      <c r="AX200" s="15"/>
      <c r="AY200" s="48"/>
    </row>
    <row r="201" spans="1:51" x14ac:dyDescent="0.3">
      <c r="A201" s="13" t="s">
        <v>453</v>
      </c>
      <c r="B201" s="48"/>
      <c r="C201" s="48"/>
      <c r="D201" s="48"/>
      <c r="E201" s="48"/>
      <c r="F201" s="48"/>
      <c r="G201" s="58" t="str">
        <f>IF(ISNUMBER(MATCH(H201,GIOI_TINH!$B:$B,0)),INDEX(GIOI_TINH!$A:$A,MATCH(H201,GIOI_TINH!$B:$B,0)),"")</f>
        <v/>
      </c>
      <c r="H201" s="15"/>
      <c r="I201" s="15"/>
      <c r="J201" s="58" t="str">
        <f>IF(ISNUMBER(MATCH(K201,QUOC_GIA!$B:$B,0)),INDEX(QUOC_GIA!$A:$A,MATCH(K201,QUOC_GIA!$B:$B,0)),"")</f>
        <v/>
      </c>
      <c r="K201" s="50"/>
      <c r="L201" s="15"/>
      <c r="M201" s="58" t="str">
        <f>IF(ISNUMBER(MATCH(N201,LOAI_THUE!$B:$B,0)),INDEX(LOAI_THUE!$A:$A,MATCH(N201,LOAI_THUE!$B:$B,0)),"")</f>
        <v/>
      </c>
      <c r="N201" s="50"/>
      <c r="O201" s="58" t="str">
        <f>IF(ISNUMBER(MATCH(P201,CHI_TIET_LOAI_KH!$B:$B,0)),INDEX(CHI_TIET_LOAI_KH!$A:$A,MATCH(P201,CHI_TIET_LOAI_KH!$B:$B,0)),"")</f>
        <v/>
      </c>
      <c r="P201" s="50"/>
      <c r="Q201" s="58" t="str">
        <f>IF(ISNUMBER(MATCH(R201,NGHE_NGHIEP!$B:$B,0)),INDEX(NGHE_NGHIEP!$A:$A,MATCH(R201,NGHE_NGHIEP!$B:$B,0)),"")</f>
        <v/>
      </c>
      <c r="R201" s="50"/>
      <c r="S201" s="58" t="str">
        <f>IF(ISNUMBER(MATCH(T201,LOAI_ID!$B:$B,0)),INDEX(LOAI_ID!$A:$A,MATCH(T201,LOAI_ID!$B:$B,0)),"")</f>
        <v/>
      </c>
      <c r="T201" s="16"/>
      <c r="U201" s="48"/>
      <c r="V201" s="48"/>
      <c r="W201" s="17"/>
      <c r="X201" s="17"/>
      <c r="Y201" s="15"/>
      <c r="Z201" s="15"/>
      <c r="AA201" s="59" t="str">
        <f>IFERROR(INDEX(NOI_CAP!$B:$B,MATCH(Z201,NOI_CAP!$A:$A,0)),"")</f>
        <v/>
      </c>
      <c r="AB201" s="58" t="str">
        <f>IF(ISNUMBER(MATCH(AC201,LOAI_DIA_CHI!$B:$B,0)),INDEX(LOAI_DIA_CHI!$A:$A,MATCH(AC201,LOAI_DIA_CHI!$B:$B,0)),"")</f>
        <v/>
      </c>
      <c r="AC201" s="16"/>
      <c r="AD201" s="58" t="str">
        <f>IF(ISNUMBER(MATCH(AE201,QUOC_GIA!$B:$B,0)),INDEX(QUOC_GIA!$A:$A,MATCH(AE201,QUOC_GIA!$B:$B,0)),"")</f>
        <v/>
      </c>
      <c r="AE201" s="16"/>
      <c r="AF201" s="48"/>
      <c r="AG201" s="59" t="str">
        <f>IFERROR(INDEX(TINH_TP!$B:$B,MATCH(AF201,TINH_TP!$A:$A,0)),"")</f>
        <v/>
      </c>
      <c r="AH201" s="50"/>
      <c r="AI201" s="59" t="str">
        <f>IF(OR(AF201="",AH201=""),"",IF(COUNTIFS(PHUONG_XA!$A$2:$A$3323,AH201,PHUONG_XA!$C$2:$C$3323,AF201)=0,"",INDEX(PHUONG_XA!$B$2:$B$3323,SUMPRODUCT((PHUONG_XA!$A$2:$A$3323&amp;""=AH201&amp;"")*(PHUONG_XA!$C$2:$C$3323&amp;""=AF201&amp;"")*(ROW(PHUONG_XA!$A$2:$A$3323)-ROW(PHUONG_XA!$A$2)+1)))))</f>
        <v/>
      </c>
      <c r="AJ201" s="14"/>
      <c r="AK201" s="14"/>
      <c r="AL201" s="57" t="str">
        <f t="shared" si="4"/>
        <v/>
      </c>
      <c r="AM201" s="14"/>
      <c r="AN201" s="15"/>
      <c r="AO201" s="15"/>
      <c r="AP201" s="48"/>
      <c r="AQ201" s="15"/>
      <c r="AR201" s="15"/>
      <c r="AS201" s="15"/>
      <c r="AT201" s="60" t="str">
        <f>IF(ISNUMBER(MATCH(AU201,LOAI_THE!$B:$B,0)),INDEX(LOAI_THE!$A:$A,MATCH(AU201,LOAI_THE!$B:$B,0)),"")</f>
        <v/>
      </c>
      <c r="AU201" s="48"/>
      <c r="AV201" s="15"/>
      <c r="AW201" s="15"/>
      <c r="AX201" s="15"/>
      <c r="AY201" s="48"/>
    </row>
    <row r="202" spans="1:51" x14ac:dyDescent="0.3">
      <c r="A202" s="13" t="s">
        <v>455</v>
      </c>
      <c r="B202" s="48"/>
      <c r="C202" s="48"/>
      <c r="D202" s="48"/>
      <c r="E202" s="48"/>
      <c r="F202" s="48"/>
      <c r="G202" s="58" t="str">
        <f>IF(ISNUMBER(MATCH(H202,GIOI_TINH!$B:$B,0)),INDEX(GIOI_TINH!$A:$A,MATCH(H202,GIOI_TINH!$B:$B,0)),"")</f>
        <v/>
      </c>
      <c r="H202" s="15"/>
      <c r="I202" s="15"/>
      <c r="J202" s="58" t="str">
        <f>IF(ISNUMBER(MATCH(K202,QUOC_GIA!$B:$B,0)),INDEX(QUOC_GIA!$A:$A,MATCH(K202,QUOC_GIA!$B:$B,0)),"")</f>
        <v/>
      </c>
      <c r="K202" s="50"/>
      <c r="L202" s="15"/>
      <c r="M202" s="58" t="str">
        <f>IF(ISNUMBER(MATCH(N202,LOAI_THUE!$B:$B,0)),INDEX(LOAI_THUE!$A:$A,MATCH(N202,LOAI_THUE!$B:$B,0)),"")</f>
        <v/>
      </c>
      <c r="N202" s="50"/>
      <c r="O202" s="58" t="str">
        <f>IF(ISNUMBER(MATCH(P202,CHI_TIET_LOAI_KH!$B:$B,0)),INDEX(CHI_TIET_LOAI_KH!$A:$A,MATCH(P202,CHI_TIET_LOAI_KH!$B:$B,0)),"")</f>
        <v/>
      </c>
      <c r="P202" s="50"/>
      <c r="Q202" s="58" t="str">
        <f>IF(ISNUMBER(MATCH(R202,NGHE_NGHIEP!$B:$B,0)),INDEX(NGHE_NGHIEP!$A:$A,MATCH(R202,NGHE_NGHIEP!$B:$B,0)),"")</f>
        <v/>
      </c>
      <c r="R202" s="50"/>
      <c r="S202" s="58" t="str">
        <f>IF(ISNUMBER(MATCH(T202,LOAI_ID!$B:$B,0)),INDEX(LOAI_ID!$A:$A,MATCH(T202,LOAI_ID!$B:$B,0)),"")</f>
        <v/>
      </c>
      <c r="T202" s="16"/>
      <c r="U202" s="48"/>
      <c r="V202" s="48"/>
      <c r="W202" s="17"/>
      <c r="X202" s="17"/>
      <c r="Y202" s="15"/>
      <c r="Z202" s="15"/>
      <c r="AA202" s="59" t="str">
        <f>IFERROR(INDEX(NOI_CAP!$B:$B,MATCH(Z202,NOI_CAP!$A:$A,0)),"")</f>
        <v/>
      </c>
      <c r="AB202" s="58" t="str">
        <f>IF(ISNUMBER(MATCH(AC202,LOAI_DIA_CHI!$B:$B,0)),INDEX(LOAI_DIA_CHI!$A:$A,MATCH(AC202,LOAI_DIA_CHI!$B:$B,0)),"")</f>
        <v/>
      </c>
      <c r="AC202" s="16"/>
      <c r="AD202" s="58" t="str">
        <f>IF(ISNUMBER(MATCH(AE202,QUOC_GIA!$B:$B,0)),INDEX(QUOC_GIA!$A:$A,MATCH(AE202,QUOC_GIA!$B:$B,0)),"")</f>
        <v/>
      </c>
      <c r="AE202" s="16"/>
      <c r="AF202" s="48"/>
      <c r="AG202" s="59" t="str">
        <f>IFERROR(INDEX(TINH_TP!$B:$B,MATCH(AF202,TINH_TP!$A:$A,0)),"")</f>
        <v/>
      </c>
      <c r="AH202" s="50"/>
      <c r="AI202" s="59" t="str">
        <f>IF(OR(AF202="",AH202=""),"",IF(COUNTIFS(PHUONG_XA!$A$2:$A$3323,AH202,PHUONG_XA!$C$2:$C$3323,AF202)=0,"",INDEX(PHUONG_XA!$B$2:$B$3323,SUMPRODUCT((PHUONG_XA!$A$2:$A$3323&amp;""=AH202&amp;"")*(PHUONG_XA!$C$2:$C$3323&amp;""=AF202&amp;"")*(ROW(PHUONG_XA!$A$2:$A$3323)-ROW(PHUONG_XA!$A$2)+1)))))</f>
        <v/>
      </c>
      <c r="AJ202" s="14"/>
      <c r="AK202" s="14"/>
      <c r="AL202" s="57" t="str">
        <f t="shared" si="4"/>
        <v/>
      </c>
      <c r="AM202" s="14"/>
      <c r="AN202" s="15"/>
      <c r="AO202" s="15"/>
      <c r="AP202" s="48"/>
      <c r="AQ202" s="15"/>
      <c r="AR202" s="15"/>
      <c r="AS202" s="15"/>
      <c r="AT202" s="60" t="str">
        <f>IF(ISNUMBER(MATCH(AU202,LOAI_THE!$B:$B,0)),INDEX(LOAI_THE!$A:$A,MATCH(AU202,LOAI_THE!$B:$B,0)),"")</f>
        <v/>
      </c>
      <c r="AU202" s="48"/>
      <c r="AV202" s="15"/>
      <c r="AW202" s="15"/>
      <c r="AX202" s="15"/>
      <c r="AY202" s="48"/>
    </row>
    <row r="203" spans="1:51" x14ac:dyDescent="0.3">
      <c r="A203" s="13" t="s">
        <v>457</v>
      </c>
      <c r="B203" s="48"/>
      <c r="C203" s="48"/>
      <c r="D203" s="48"/>
      <c r="E203" s="48"/>
      <c r="F203" s="48"/>
      <c r="G203" s="58" t="str">
        <f>IF(ISNUMBER(MATCH(H203,GIOI_TINH!$B:$B,0)),INDEX(GIOI_TINH!$A:$A,MATCH(H203,GIOI_TINH!$B:$B,0)),"")</f>
        <v/>
      </c>
      <c r="H203" s="15"/>
      <c r="I203" s="15"/>
      <c r="J203" s="58" t="str">
        <f>IF(ISNUMBER(MATCH(K203,QUOC_GIA!$B:$B,0)),INDEX(QUOC_GIA!$A:$A,MATCH(K203,QUOC_GIA!$B:$B,0)),"")</f>
        <v/>
      </c>
      <c r="K203" s="50"/>
      <c r="L203" s="15"/>
      <c r="M203" s="58" t="str">
        <f>IF(ISNUMBER(MATCH(N203,LOAI_THUE!$B:$B,0)),INDEX(LOAI_THUE!$A:$A,MATCH(N203,LOAI_THUE!$B:$B,0)),"")</f>
        <v/>
      </c>
      <c r="N203" s="50"/>
      <c r="O203" s="58" t="str">
        <f>IF(ISNUMBER(MATCH(P203,CHI_TIET_LOAI_KH!$B:$B,0)),INDEX(CHI_TIET_LOAI_KH!$A:$A,MATCH(P203,CHI_TIET_LOAI_KH!$B:$B,0)),"")</f>
        <v/>
      </c>
      <c r="P203" s="50"/>
      <c r="Q203" s="58" t="str">
        <f>IF(ISNUMBER(MATCH(R203,NGHE_NGHIEP!$B:$B,0)),INDEX(NGHE_NGHIEP!$A:$A,MATCH(R203,NGHE_NGHIEP!$B:$B,0)),"")</f>
        <v/>
      </c>
      <c r="R203" s="50"/>
      <c r="S203" s="58" t="str">
        <f>IF(ISNUMBER(MATCH(T203,LOAI_ID!$B:$B,0)),INDEX(LOAI_ID!$A:$A,MATCH(T203,LOAI_ID!$B:$B,0)),"")</f>
        <v/>
      </c>
      <c r="T203" s="16"/>
      <c r="U203" s="48"/>
      <c r="V203" s="48"/>
      <c r="W203" s="17"/>
      <c r="X203" s="17"/>
      <c r="Y203" s="15"/>
      <c r="Z203" s="15"/>
      <c r="AA203" s="59" t="str">
        <f>IFERROR(INDEX(NOI_CAP!$B:$B,MATCH(Z203,NOI_CAP!$A:$A,0)),"")</f>
        <v/>
      </c>
      <c r="AB203" s="58" t="str">
        <f>IF(ISNUMBER(MATCH(AC203,LOAI_DIA_CHI!$B:$B,0)),INDEX(LOAI_DIA_CHI!$A:$A,MATCH(AC203,LOAI_DIA_CHI!$B:$B,0)),"")</f>
        <v/>
      </c>
      <c r="AC203" s="16"/>
      <c r="AD203" s="58" t="str">
        <f>IF(ISNUMBER(MATCH(AE203,QUOC_GIA!$B:$B,0)),INDEX(QUOC_GIA!$A:$A,MATCH(AE203,QUOC_GIA!$B:$B,0)),"")</f>
        <v/>
      </c>
      <c r="AE203" s="16"/>
      <c r="AF203" s="48"/>
      <c r="AG203" s="59" t="str">
        <f>IFERROR(INDEX(TINH_TP!$B:$B,MATCH(AF203,TINH_TP!$A:$A,0)),"")</f>
        <v/>
      </c>
      <c r="AH203" s="50"/>
      <c r="AI203" s="59" t="str">
        <f>IF(OR(AF203="",AH203=""),"",IF(COUNTIFS(PHUONG_XA!$A$2:$A$3323,AH203,PHUONG_XA!$C$2:$C$3323,AF203)=0,"",INDEX(PHUONG_XA!$B$2:$B$3323,SUMPRODUCT((PHUONG_XA!$A$2:$A$3323&amp;""=AH203&amp;"")*(PHUONG_XA!$C$2:$C$3323&amp;""=AF203&amp;"")*(ROW(PHUONG_XA!$A$2:$A$3323)-ROW(PHUONG_XA!$A$2)+1)))))</f>
        <v/>
      </c>
      <c r="AJ203" s="14"/>
      <c r="AK203" s="14"/>
      <c r="AL203" s="57" t="str">
        <f t="shared" si="4"/>
        <v/>
      </c>
      <c r="AM203" s="14"/>
      <c r="AN203" s="15"/>
      <c r="AO203" s="15"/>
      <c r="AP203" s="48"/>
      <c r="AQ203" s="15"/>
      <c r="AR203" s="15"/>
      <c r="AS203" s="15"/>
      <c r="AT203" s="60" t="str">
        <f>IF(ISNUMBER(MATCH(AU203,LOAI_THE!$B:$B,0)),INDEX(LOAI_THE!$A:$A,MATCH(AU203,LOAI_THE!$B:$B,0)),"")</f>
        <v/>
      </c>
      <c r="AU203" s="48"/>
      <c r="AV203" s="15"/>
      <c r="AW203" s="15"/>
      <c r="AX203" s="15"/>
      <c r="AY203" s="48"/>
    </row>
    <row r="204" spans="1:51" x14ac:dyDescent="0.3">
      <c r="A204" s="13" t="s">
        <v>459</v>
      </c>
      <c r="B204" s="48"/>
      <c r="C204" s="48"/>
      <c r="D204" s="48"/>
      <c r="E204" s="48"/>
      <c r="F204" s="48"/>
      <c r="G204" s="58" t="str">
        <f>IF(ISNUMBER(MATCH(H204,GIOI_TINH!$B:$B,0)),INDEX(GIOI_TINH!$A:$A,MATCH(H204,GIOI_TINH!$B:$B,0)),"")</f>
        <v/>
      </c>
      <c r="H204" s="15"/>
      <c r="I204" s="15"/>
      <c r="J204" s="58" t="str">
        <f>IF(ISNUMBER(MATCH(K204,QUOC_GIA!$B:$B,0)),INDEX(QUOC_GIA!$A:$A,MATCH(K204,QUOC_GIA!$B:$B,0)),"")</f>
        <v/>
      </c>
      <c r="K204" s="50"/>
      <c r="L204" s="15"/>
      <c r="M204" s="58" t="str">
        <f>IF(ISNUMBER(MATCH(N204,LOAI_THUE!$B:$B,0)),INDEX(LOAI_THUE!$A:$A,MATCH(N204,LOAI_THUE!$B:$B,0)),"")</f>
        <v/>
      </c>
      <c r="N204" s="50"/>
      <c r="O204" s="58" t="str">
        <f>IF(ISNUMBER(MATCH(P204,CHI_TIET_LOAI_KH!$B:$B,0)),INDEX(CHI_TIET_LOAI_KH!$A:$A,MATCH(P204,CHI_TIET_LOAI_KH!$B:$B,0)),"")</f>
        <v/>
      </c>
      <c r="P204" s="50"/>
      <c r="Q204" s="58" t="str">
        <f>IF(ISNUMBER(MATCH(R204,NGHE_NGHIEP!$B:$B,0)),INDEX(NGHE_NGHIEP!$A:$A,MATCH(R204,NGHE_NGHIEP!$B:$B,0)),"")</f>
        <v/>
      </c>
      <c r="R204" s="50"/>
      <c r="S204" s="58" t="str">
        <f>IF(ISNUMBER(MATCH(T204,LOAI_ID!$B:$B,0)),INDEX(LOAI_ID!$A:$A,MATCH(T204,LOAI_ID!$B:$B,0)),"")</f>
        <v/>
      </c>
      <c r="T204" s="16"/>
      <c r="U204" s="48"/>
      <c r="V204" s="48"/>
      <c r="W204" s="17"/>
      <c r="X204" s="17"/>
      <c r="Y204" s="15"/>
      <c r="Z204" s="15"/>
      <c r="AA204" s="59" t="str">
        <f>IFERROR(INDEX(NOI_CAP!$B:$B,MATCH(Z204,NOI_CAP!$A:$A,0)),"")</f>
        <v/>
      </c>
      <c r="AB204" s="58" t="str">
        <f>IF(ISNUMBER(MATCH(AC204,LOAI_DIA_CHI!$B:$B,0)),INDEX(LOAI_DIA_CHI!$A:$A,MATCH(AC204,LOAI_DIA_CHI!$B:$B,0)),"")</f>
        <v/>
      </c>
      <c r="AC204" s="16"/>
      <c r="AD204" s="58" t="str">
        <f>IF(ISNUMBER(MATCH(AE204,QUOC_GIA!$B:$B,0)),INDEX(QUOC_GIA!$A:$A,MATCH(AE204,QUOC_GIA!$B:$B,0)),"")</f>
        <v/>
      </c>
      <c r="AE204" s="16"/>
      <c r="AF204" s="48"/>
      <c r="AG204" s="59" t="str">
        <f>IFERROR(INDEX(TINH_TP!$B:$B,MATCH(AF204,TINH_TP!$A:$A,0)),"")</f>
        <v/>
      </c>
      <c r="AH204" s="50"/>
      <c r="AI204" s="59" t="str">
        <f>IF(OR(AF204="",AH204=""),"",IF(COUNTIFS(PHUONG_XA!$A$2:$A$3323,AH204,PHUONG_XA!$C$2:$C$3323,AF204)=0,"",INDEX(PHUONG_XA!$B$2:$B$3323,SUMPRODUCT((PHUONG_XA!$A$2:$A$3323&amp;""=AH204&amp;"")*(PHUONG_XA!$C$2:$C$3323&amp;""=AF204&amp;"")*(ROW(PHUONG_XA!$A$2:$A$3323)-ROW(PHUONG_XA!$A$2)+1)))))</f>
        <v/>
      </c>
      <c r="AJ204" s="14"/>
      <c r="AK204" s="14"/>
      <c r="AL204" s="57" t="str">
        <f t="shared" si="4"/>
        <v/>
      </c>
      <c r="AM204" s="14"/>
      <c r="AN204" s="15"/>
      <c r="AO204" s="15"/>
      <c r="AP204" s="48"/>
      <c r="AQ204" s="15"/>
      <c r="AR204" s="15"/>
      <c r="AS204" s="15"/>
      <c r="AT204" s="60" t="str">
        <f>IF(ISNUMBER(MATCH(AU204,LOAI_THE!$B:$B,0)),INDEX(LOAI_THE!$A:$A,MATCH(AU204,LOAI_THE!$B:$B,0)),"")</f>
        <v/>
      </c>
      <c r="AU204" s="48"/>
      <c r="AV204" s="15"/>
      <c r="AW204" s="15"/>
      <c r="AX204" s="15"/>
      <c r="AY204" s="48"/>
    </row>
    <row r="205" spans="1:51" x14ac:dyDescent="0.3">
      <c r="A205" s="13" t="s">
        <v>461</v>
      </c>
      <c r="B205" s="48"/>
      <c r="C205" s="48"/>
      <c r="D205" s="48"/>
      <c r="E205" s="48"/>
      <c r="F205" s="48"/>
      <c r="G205" s="58" t="str">
        <f>IF(ISNUMBER(MATCH(H205,GIOI_TINH!$B:$B,0)),INDEX(GIOI_TINH!$A:$A,MATCH(H205,GIOI_TINH!$B:$B,0)),"")</f>
        <v/>
      </c>
      <c r="H205" s="15"/>
      <c r="I205" s="15"/>
      <c r="J205" s="58" t="str">
        <f>IF(ISNUMBER(MATCH(K205,QUOC_GIA!$B:$B,0)),INDEX(QUOC_GIA!$A:$A,MATCH(K205,QUOC_GIA!$B:$B,0)),"")</f>
        <v/>
      </c>
      <c r="K205" s="50"/>
      <c r="L205" s="15"/>
      <c r="M205" s="58" t="str">
        <f>IF(ISNUMBER(MATCH(N205,LOAI_THUE!$B:$B,0)),INDEX(LOAI_THUE!$A:$A,MATCH(N205,LOAI_THUE!$B:$B,0)),"")</f>
        <v/>
      </c>
      <c r="N205" s="50"/>
      <c r="O205" s="58" t="str">
        <f>IF(ISNUMBER(MATCH(P205,CHI_TIET_LOAI_KH!$B:$B,0)),INDEX(CHI_TIET_LOAI_KH!$A:$A,MATCH(P205,CHI_TIET_LOAI_KH!$B:$B,0)),"")</f>
        <v/>
      </c>
      <c r="P205" s="50"/>
      <c r="Q205" s="58" t="str">
        <f>IF(ISNUMBER(MATCH(R205,NGHE_NGHIEP!$B:$B,0)),INDEX(NGHE_NGHIEP!$A:$A,MATCH(R205,NGHE_NGHIEP!$B:$B,0)),"")</f>
        <v/>
      </c>
      <c r="R205" s="50"/>
      <c r="S205" s="58" t="str">
        <f>IF(ISNUMBER(MATCH(T205,LOAI_ID!$B:$B,0)),INDEX(LOAI_ID!$A:$A,MATCH(T205,LOAI_ID!$B:$B,0)),"")</f>
        <v/>
      </c>
      <c r="T205" s="16"/>
      <c r="U205" s="48"/>
      <c r="V205" s="48"/>
      <c r="W205" s="17"/>
      <c r="X205" s="17"/>
      <c r="Y205" s="15"/>
      <c r="Z205" s="15"/>
      <c r="AA205" s="59" t="str">
        <f>IFERROR(INDEX(NOI_CAP!$B:$B,MATCH(Z205,NOI_CAP!$A:$A,0)),"")</f>
        <v/>
      </c>
      <c r="AB205" s="58" t="str">
        <f>IF(ISNUMBER(MATCH(AC205,LOAI_DIA_CHI!$B:$B,0)),INDEX(LOAI_DIA_CHI!$A:$A,MATCH(AC205,LOAI_DIA_CHI!$B:$B,0)),"")</f>
        <v/>
      </c>
      <c r="AC205" s="16"/>
      <c r="AD205" s="58" t="str">
        <f>IF(ISNUMBER(MATCH(AE205,QUOC_GIA!$B:$B,0)),INDEX(QUOC_GIA!$A:$A,MATCH(AE205,QUOC_GIA!$B:$B,0)),"")</f>
        <v/>
      </c>
      <c r="AE205" s="16"/>
      <c r="AF205" s="48"/>
      <c r="AG205" s="59" t="str">
        <f>IFERROR(INDEX(TINH_TP!$B:$B,MATCH(AF205,TINH_TP!$A:$A,0)),"")</f>
        <v/>
      </c>
      <c r="AH205" s="50"/>
      <c r="AI205" s="59" t="str">
        <f>IF(OR(AF205="",AH205=""),"",IF(COUNTIFS(PHUONG_XA!$A$2:$A$3323,AH205,PHUONG_XA!$C$2:$C$3323,AF205)=0,"",INDEX(PHUONG_XA!$B$2:$B$3323,SUMPRODUCT((PHUONG_XA!$A$2:$A$3323&amp;""=AH205&amp;"")*(PHUONG_XA!$C$2:$C$3323&amp;""=AF205&amp;"")*(ROW(PHUONG_XA!$A$2:$A$3323)-ROW(PHUONG_XA!$A$2)+1)))))</f>
        <v/>
      </c>
      <c r="AJ205" s="14"/>
      <c r="AK205" s="14"/>
      <c r="AL205" s="57" t="str">
        <f t="shared" si="4"/>
        <v/>
      </c>
      <c r="AM205" s="14"/>
      <c r="AN205" s="15"/>
      <c r="AO205" s="15"/>
      <c r="AP205" s="48"/>
      <c r="AQ205" s="15"/>
      <c r="AR205" s="15"/>
      <c r="AS205" s="15"/>
      <c r="AT205" s="60" t="str">
        <f>IF(ISNUMBER(MATCH(AU205,LOAI_THE!$B:$B,0)),INDEX(LOAI_THE!$A:$A,MATCH(AU205,LOAI_THE!$B:$B,0)),"")</f>
        <v/>
      </c>
      <c r="AU205" s="48"/>
      <c r="AV205" s="15"/>
      <c r="AW205" s="15"/>
      <c r="AX205" s="15"/>
      <c r="AY205" s="48"/>
    </row>
    <row r="206" spans="1:51" x14ac:dyDescent="0.3">
      <c r="A206" s="13" t="s">
        <v>463</v>
      </c>
      <c r="B206" s="48"/>
      <c r="C206" s="48"/>
      <c r="D206" s="48"/>
      <c r="E206" s="48"/>
      <c r="F206" s="48"/>
      <c r="G206" s="58" t="str">
        <f>IF(ISNUMBER(MATCH(H206,GIOI_TINH!$B:$B,0)),INDEX(GIOI_TINH!$A:$A,MATCH(H206,GIOI_TINH!$B:$B,0)),"")</f>
        <v/>
      </c>
      <c r="H206" s="15"/>
      <c r="I206" s="15"/>
      <c r="J206" s="58" t="str">
        <f>IF(ISNUMBER(MATCH(K206,QUOC_GIA!$B:$B,0)),INDEX(QUOC_GIA!$A:$A,MATCH(K206,QUOC_GIA!$B:$B,0)),"")</f>
        <v/>
      </c>
      <c r="K206" s="50"/>
      <c r="L206" s="15"/>
      <c r="M206" s="58" t="str">
        <f>IF(ISNUMBER(MATCH(N206,LOAI_THUE!$B:$B,0)),INDEX(LOAI_THUE!$A:$A,MATCH(N206,LOAI_THUE!$B:$B,0)),"")</f>
        <v/>
      </c>
      <c r="N206" s="50"/>
      <c r="O206" s="58" t="str">
        <f>IF(ISNUMBER(MATCH(P206,CHI_TIET_LOAI_KH!$B:$B,0)),INDEX(CHI_TIET_LOAI_KH!$A:$A,MATCH(P206,CHI_TIET_LOAI_KH!$B:$B,0)),"")</f>
        <v/>
      </c>
      <c r="P206" s="50"/>
      <c r="Q206" s="58" t="str">
        <f>IF(ISNUMBER(MATCH(R206,NGHE_NGHIEP!$B:$B,0)),INDEX(NGHE_NGHIEP!$A:$A,MATCH(R206,NGHE_NGHIEP!$B:$B,0)),"")</f>
        <v/>
      </c>
      <c r="R206" s="50"/>
      <c r="S206" s="58" t="str">
        <f>IF(ISNUMBER(MATCH(T206,LOAI_ID!$B:$B,0)),INDEX(LOAI_ID!$A:$A,MATCH(T206,LOAI_ID!$B:$B,0)),"")</f>
        <v/>
      </c>
      <c r="T206" s="16"/>
      <c r="U206" s="48"/>
      <c r="V206" s="48"/>
      <c r="W206" s="17"/>
      <c r="X206" s="17"/>
      <c r="Y206" s="15"/>
      <c r="Z206" s="15"/>
      <c r="AA206" s="59" t="str">
        <f>IFERROR(INDEX(NOI_CAP!$B:$B,MATCH(Z206,NOI_CAP!$A:$A,0)),"")</f>
        <v/>
      </c>
      <c r="AB206" s="58" t="str">
        <f>IF(ISNUMBER(MATCH(AC206,LOAI_DIA_CHI!$B:$B,0)),INDEX(LOAI_DIA_CHI!$A:$A,MATCH(AC206,LOAI_DIA_CHI!$B:$B,0)),"")</f>
        <v/>
      </c>
      <c r="AC206" s="16"/>
      <c r="AD206" s="58" t="str">
        <f>IF(ISNUMBER(MATCH(AE206,QUOC_GIA!$B:$B,0)),INDEX(QUOC_GIA!$A:$A,MATCH(AE206,QUOC_GIA!$B:$B,0)),"")</f>
        <v/>
      </c>
      <c r="AE206" s="16"/>
      <c r="AF206" s="48"/>
      <c r="AG206" s="59" t="str">
        <f>IFERROR(INDEX(TINH_TP!$B:$B,MATCH(AF206,TINH_TP!$A:$A,0)),"")</f>
        <v/>
      </c>
      <c r="AH206" s="50"/>
      <c r="AI206" s="59" t="str">
        <f>IF(OR(AF206="",AH206=""),"",IF(COUNTIFS(PHUONG_XA!$A$2:$A$3323,AH206,PHUONG_XA!$C$2:$C$3323,AF206)=0,"",INDEX(PHUONG_XA!$B$2:$B$3323,SUMPRODUCT((PHUONG_XA!$A$2:$A$3323&amp;""=AH206&amp;"")*(PHUONG_XA!$C$2:$C$3323&amp;""=AF206&amp;"")*(ROW(PHUONG_XA!$A$2:$A$3323)-ROW(PHUONG_XA!$A$2)+1)))))</f>
        <v/>
      </c>
      <c r="AJ206" s="14"/>
      <c r="AK206" s="14"/>
      <c r="AL206" s="57" t="str">
        <f t="shared" si="4"/>
        <v/>
      </c>
      <c r="AM206" s="14"/>
      <c r="AN206" s="15"/>
      <c r="AO206" s="15"/>
      <c r="AP206" s="48"/>
      <c r="AQ206" s="15"/>
      <c r="AR206" s="15"/>
      <c r="AS206" s="15"/>
      <c r="AT206" s="60" t="str">
        <f>IF(ISNUMBER(MATCH(AU206,LOAI_THE!$B:$B,0)),INDEX(LOAI_THE!$A:$A,MATCH(AU206,LOAI_THE!$B:$B,0)),"")</f>
        <v/>
      </c>
      <c r="AU206" s="48"/>
      <c r="AV206" s="15"/>
      <c r="AW206" s="15"/>
      <c r="AX206" s="15"/>
      <c r="AY206" s="48"/>
    </row>
    <row r="207" spans="1:51" x14ac:dyDescent="0.3">
      <c r="A207" s="13" t="s">
        <v>465</v>
      </c>
      <c r="B207" s="48"/>
      <c r="C207" s="48"/>
      <c r="D207" s="48"/>
      <c r="E207" s="48"/>
      <c r="F207" s="48"/>
      <c r="G207" s="58" t="str">
        <f>IF(ISNUMBER(MATCH(H207,GIOI_TINH!$B:$B,0)),INDEX(GIOI_TINH!$A:$A,MATCH(H207,GIOI_TINH!$B:$B,0)),"")</f>
        <v/>
      </c>
      <c r="H207" s="15"/>
      <c r="I207" s="15"/>
      <c r="J207" s="58" t="str">
        <f>IF(ISNUMBER(MATCH(K207,QUOC_GIA!$B:$B,0)),INDEX(QUOC_GIA!$A:$A,MATCH(K207,QUOC_GIA!$B:$B,0)),"")</f>
        <v/>
      </c>
      <c r="K207" s="50"/>
      <c r="L207" s="15"/>
      <c r="M207" s="58" t="str">
        <f>IF(ISNUMBER(MATCH(N207,LOAI_THUE!$B:$B,0)),INDEX(LOAI_THUE!$A:$A,MATCH(N207,LOAI_THUE!$B:$B,0)),"")</f>
        <v/>
      </c>
      <c r="N207" s="50"/>
      <c r="O207" s="58" t="str">
        <f>IF(ISNUMBER(MATCH(P207,CHI_TIET_LOAI_KH!$B:$B,0)),INDEX(CHI_TIET_LOAI_KH!$A:$A,MATCH(P207,CHI_TIET_LOAI_KH!$B:$B,0)),"")</f>
        <v/>
      </c>
      <c r="P207" s="50"/>
      <c r="Q207" s="58" t="str">
        <f>IF(ISNUMBER(MATCH(R207,NGHE_NGHIEP!$B:$B,0)),INDEX(NGHE_NGHIEP!$A:$A,MATCH(R207,NGHE_NGHIEP!$B:$B,0)),"")</f>
        <v/>
      </c>
      <c r="R207" s="50"/>
      <c r="S207" s="58" t="str">
        <f>IF(ISNUMBER(MATCH(T207,LOAI_ID!$B:$B,0)),INDEX(LOAI_ID!$A:$A,MATCH(T207,LOAI_ID!$B:$B,0)),"")</f>
        <v/>
      </c>
      <c r="T207" s="16"/>
      <c r="U207" s="48"/>
      <c r="V207" s="48"/>
      <c r="W207" s="17"/>
      <c r="X207" s="17"/>
      <c r="Y207" s="15"/>
      <c r="Z207" s="15"/>
      <c r="AA207" s="59" t="str">
        <f>IFERROR(INDEX(NOI_CAP!$B:$B,MATCH(Z207,NOI_CAP!$A:$A,0)),"")</f>
        <v/>
      </c>
      <c r="AB207" s="58" t="str">
        <f>IF(ISNUMBER(MATCH(AC207,LOAI_DIA_CHI!$B:$B,0)),INDEX(LOAI_DIA_CHI!$A:$A,MATCH(AC207,LOAI_DIA_CHI!$B:$B,0)),"")</f>
        <v/>
      </c>
      <c r="AC207" s="16"/>
      <c r="AD207" s="58" t="str">
        <f>IF(ISNUMBER(MATCH(AE207,QUOC_GIA!$B:$B,0)),INDEX(QUOC_GIA!$A:$A,MATCH(AE207,QUOC_GIA!$B:$B,0)),"")</f>
        <v/>
      </c>
      <c r="AE207" s="16"/>
      <c r="AF207" s="48"/>
      <c r="AG207" s="59" t="str">
        <f>IFERROR(INDEX(TINH_TP!$B:$B,MATCH(AF207,TINH_TP!$A:$A,0)),"")</f>
        <v/>
      </c>
      <c r="AH207" s="50"/>
      <c r="AI207" s="59" t="str">
        <f>IF(OR(AF207="",AH207=""),"",IF(COUNTIFS(PHUONG_XA!$A$2:$A$3323,AH207,PHUONG_XA!$C$2:$C$3323,AF207)=0,"",INDEX(PHUONG_XA!$B$2:$B$3323,SUMPRODUCT((PHUONG_XA!$A$2:$A$3323&amp;""=AH207&amp;"")*(PHUONG_XA!$C$2:$C$3323&amp;""=AF207&amp;"")*(ROW(PHUONG_XA!$A$2:$A$3323)-ROW(PHUONG_XA!$A$2)+1)))))</f>
        <v/>
      </c>
      <c r="AJ207" s="14"/>
      <c r="AK207" s="14"/>
      <c r="AL207" s="57" t="str">
        <f t="shared" si="4"/>
        <v/>
      </c>
      <c r="AM207" s="14"/>
      <c r="AN207" s="15"/>
      <c r="AO207" s="15"/>
      <c r="AP207" s="48"/>
      <c r="AQ207" s="15"/>
      <c r="AR207" s="15"/>
      <c r="AS207" s="15"/>
      <c r="AT207" s="60" t="str">
        <f>IF(ISNUMBER(MATCH(AU207,LOAI_THE!$B:$B,0)),INDEX(LOAI_THE!$A:$A,MATCH(AU207,LOAI_THE!$B:$B,0)),"")</f>
        <v/>
      </c>
      <c r="AU207" s="48"/>
      <c r="AV207" s="15"/>
      <c r="AW207" s="15"/>
      <c r="AX207" s="15"/>
      <c r="AY207" s="48"/>
    </row>
    <row r="208" spans="1:51" x14ac:dyDescent="0.3">
      <c r="A208" s="13" t="s">
        <v>24</v>
      </c>
      <c r="B208" s="48"/>
      <c r="C208" s="48"/>
      <c r="D208" s="48"/>
      <c r="E208" s="48"/>
      <c r="F208" s="48"/>
      <c r="G208" s="58" t="str">
        <f>IF(ISNUMBER(MATCH(H208,GIOI_TINH!$B:$B,0)),INDEX(GIOI_TINH!$A:$A,MATCH(H208,GIOI_TINH!$B:$B,0)),"")</f>
        <v/>
      </c>
      <c r="H208" s="15"/>
      <c r="I208" s="15"/>
      <c r="J208" s="58" t="str">
        <f>IF(ISNUMBER(MATCH(K208,QUOC_GIA!$B:$B,0)),INDEX(QUOC_GIA!$A:$A,MATCH(K208,QUOC_GIA!$B:$B,0)),"")</f>
        <v/>
      </c>
      <c r="K208" s="50"/>
      <c r="L208" s="15"/>
      <c r="M208" s="58" t="str">
        <f>IF(ISNUMBER(MATCH(N208,LOAI_THUE!$B:$B,0)),INDEX(LOAI_THUE!$A:$A,MATCH(N208,LOAI_THUE!$B:$B,0)),"")</f>
        <v/>
      </c>
      <c r="N208" s="50"/>
      <c r="O208" s="58" t="str">
        <f>IF(ISNUMBER(MATCH(P208,CHI_TIET_LOAI_KH!$B:$B,0)),INDEX(CHI_TIET_LOAI_KH!$A:$A,MATCH(P208,CHI_TIET_LOAI_KH!$B:$B,0)),"")</f>
        <v/>
      </c>
      <c r="P208" s="50"/>
      <c r="Q208" s="58" t="str">
        <f>IF(ISNUMBER(MATCH(R208,NGHE_NGHIEP!$B:$B,0)),INDEX(NGHE_NGHIEP!$A:$A,MATCH(R208,NGHE_NGHIEP!$B:$B,0)),"")</f>
        <v/>
      </c>
      <c r="R208" s="50"/>
      <c r="S208" s="58" t="str">
        <f>IF(ISNUMBER(MATCH(T208,LOAI_ID!$B:$B,0)),INDEX(LOAI_ID!$A:$A,MATCH(T208,LOAI_ID!$B:$B,0)),"")</f>
        <v/>
      </c>
      <c r="T208" s="16"/>
      <c r="U208" s="48"/>
      <c r="V208" s="48"/>
      <c r="W208" s="17"/>
      <c r="X208" s="17"/>
      <c r="Y208" s="15"/>
      <c r="Z208" s="15"/>
      <c r="AA208" s="59" t="str">
        <f>IFERROR(INDEX(NOI_CAP!$B:$B,MATCH(Z208,NOI_CAP!$A:$A,0)),"")</f>
        <v/>
      </c>
      <c r="AB208" s="58" t="str">
        <f>IF(ISNUMBER(MATCH(AC208,LOAI_DIA_CHI!$B:$B,0)),INDEX(LOAI_DIA_CHI!$A:$A,MATCH(AC208,LOAI_DIA_CHI!$B:$B,0)),"")</f>
        <v/>
      </c>
      <c r="AC208" s="16"/>
      <c r="AD208" s="58" t="str">
        <f>IF(ISNUMBER(MATCH(AE208,QUOC_GIA!$B:$B,0)),INDEX(QUOC_GIA!$A:$A,MATCH(AE208,QUOC_GIA!$B:$B,0)),"")</f>
        <v/>
      </c>
      <c r="AE208" s="16"/>
      <c r="AF208" s="48"/>
      <c r="AG208" s="59" t="str">
        <f>IFERROR(INDEX(TINH_TP!$B:$B,MATCH(AF208,TINH_TP!$A:$A,0)),"")</f>
        <v/>
      </c>
      <c r="AH208" s="50"/>
      <c r="AI208" s="59" t="str">
        <f>IF(OR(AF208="",AH208=""),"",IF(COUNTIFS(PHUONG_XA!$A$2:$A$3323,AH208,PHUONG_XA!$C$2:$C$3323,AF208)=0,"",INDEX(PHUONG_XA!$B$2:$B$3323,SUMPRODUCT((PHUONG_XA!$A$2:$A$3323&amp;""=AH208&amp;"")*(PHUONG_XA!$C$2:$C$3323&amp;""=AF208&amp;"")*(ROW(PHUONG_XA!$A$2:$A$3323)-ROW(PHUONG_XA!$A$2)+1)))))</f>
        <v/>
      </c>
      <c r="AJ208" s="14"/>
      <c r="AK208" s="14"/>
      <c r="AL208" s="57" t="str">
        <f t="shared" si="4"/>
        <v/>
      </c>
      <c r="AM208" s="14"/>
      <c r="AN208" s="15"/>
      <c r="AO208" s="15"/>
      <c r="AP208" s="48"/>
      <c r="AQ208" s="15"/>
      <c r="AR208" s="15"/>
      <c r="AS208" s="15"/>
      <c r="AT208" s="60" t="str">
        <f>IF(ISNUMBER(MATCH(AU208,LOAI_THE!$B:$B,0)),INDEX(LOAI_THE!$A:$A,MATCH(AU208,LOAI_THE!$B:$B,0)),"")</f>
        <v/>
      </c>
      <c r="AU208" s="48"/>
      <c r="AV208" s="15"/>
      <c r="AW208" s="15"/>
      <c r="AX208" s="15"/>
      <c r="AY208" s="48"/>
    </row>
    <row r="209" spans="1:51" x14ac:dyDescent="0.3">
      <c r="A209" s="13" t="s">
        <v>468</v>
      </c>
      <c r="B209" s="48"/>
      <c r="C209" s="48"/>
      <c r="D209" s="48"/>
      <c r="E209" s="48"/>
      <c r="F209" s="48"/>
      <c r="G209" s="58" t="str">
        <f>IF(ISNUMBER(MATCH(H209,GIOI_TINH!$B:$B,0)),INDEX(GIOI_TINH!$A:$A,MATCH(H209,GIOI_TINH!$B:$B,0)),"")</f>
        <v/>
      </c>
      <c r="H209" s="15"/>
      <c r="I209" s="15"/>
      <c r="J209" s="58" t="str">
        <f>IF(ISNUMBER(MATCH(K209,QUOC_GIA!$B:$B,0)),INDEX(QUOC_GIA!$A:$A,MATCH(K209,QUOC_GIA!$B:$B,0)),"")</f>
        <v/>
      </c>
      <c r="K209" s="50"/>
      <c r="L209" s="15"/>
      <c r="M209" s="58" t="str">
        <f>IF(ISNUMBER(MATCH(N209,LOAI_THUE!$B:$B,0)),INDEX(LOAI_THUE!$A:$A,MATCH(N209,LOAI_THUE!$B:$B,0)),"")</f>
        <v/>
      </c>
      <c r="N209" s="50"/>
      <c r="O209" s="58" t="str">
        <f>IF(ISNUMBER(MATCH(P209,CHI_TIET_LOAI_KH!$B:$B,0)),INDEX(CHI_TIET_LOAI_KH!$A:$A,MATCH(P209,CHI_TIET_LOAI_KH!$B:$B,0)),"")</f>
        <v/>
      </c>
      <c r="P209" s="50"/>
      <c r="Q209" s="58" t="str">
        <f>IF(ISNUMBER(MATCH(R209,NGHE_NGHIEP!$B:$B,0)),INDEX(NGHE_NGHIEP!$A:$A,MATCH(R209,NGHE_NGHIEP!$B:$B,0)),"")</f>
        <v/>
      </c>
      <c r="R209" s="50"/>
      <c r="S209" s="58" t="str">
        <f>IF(ISNUMBER(MATCH(T209,LOAI_ID!$B:$B,0)),INDEX(LOAI_ID!$A:$A,MATCH(T209,LOAI_ID!$B:$B,0)),"")</f>
        <v/>
      </c>
      <c r="T209" s="16"/>
      <c r="U209" s="48"/>
      <c r="V209" s="48"/>
      <c r="W209" s="17"/>
      <c r="X209" s="17"/>
      <c r="Y209" s="15"/>
      <c r="Z209" s="15"/>
      <c r="AA209" s="59" t="str">
        <f>IFERROR(INDEX(NOI_CAP!$B:$B,MATCH(Z209,NOI_CAP!$A:$A,0)),"")</f>
        <v/>
      </c>
      <c r="AB209" s="58" t="str">
        <f>IF(ISNUMBER(MATCH(AC209,LOAI_DIA_CHI!$B:$B,0)),INDEX(LOAI_DIA_CHI!$A:$A,MATCH(AC209,LOAI_DIA_CHI!$B:$B,0)),"")</f>
        <v/>
      </c>
      <c r="AC209" s="16"/>
      <c r="AD209" s="58" t="str">
        <f>IF(ISNUMBER(MATCH(AE209,QUOC_GIA!$B:$B,0)),INDEX(QUOC_GIA!$A:$A,MATCH(AE209,QUOC_GIA!$B:$B,0)),"")</f>
        <v/>
      </c>
      <c r="AE209" s="16"/>
      <c r="AF209" s="48"/>
      <c r="AG209" s="59" t="str">
        <f>IFERROR(INDEX(TINH_TP!$B:$B,MATCH(AF209,TINH_TP!$A:$A,0)),"")</f>
        <v/>
      </c>
      <c r="AH209" s="50"/>
      <c r="AI209" s="59" t="str">
        <f>IF(OR(AF209="",AH209=""),"",IF(COUNTIFS(PHUONG_XA!$A$2:$A$3323,AH209,PHUONG_XA!$C$2:$C$3323,AF209)=0,"",INDEX(PHUONG_XA!$B$2:$B$3323,SUMPRODUCT((PHUONG_XA!$A$2:$A$3323&amp;""=AH209&amp;"")*(PHUONG_XA!$C$2:$C$3323&amp;""=AF209&amp;"")*(ROW(PHUONG_XA!$A$2:$A$3323)-ROW(PHUONG_XA!$A$2)+1)))))</f>
        <v/>
      </c>
      <c r="AJ209" s="14"/>
      <c r="AK209" s="14"/>
      <c r="AL209" s="57" t="str">
        <f t="shared" si="4"/>
        <v/>
      </c>
      <c r="AM209" s="14"/>
      <c r="AN209" s="15"/>
      <c r="AO209" s="15"/>
      <c r="AP209" s="48"/>
      <c r="AQ209" s="15"/>
      <c r="AR209" s="15"/>
      <c r="AS209" s="15"/>
      <c r="AT209" s="60" t="str">
        <f>IF(ISNUMBER(MATCH(AU209,LOAI_THE!$B:$B,0)),INDEX(LOAI_THE!$A:$A,MATCH(AU209,LOAI_THE!$B:$B,0)),"")</f>
        <v/>
      </c>
      <c r="AU209" s="48"/>
      <c r="AV209" s="15"/>
      <c r="AW209" s="15"/>
      <c r="AX209" s="15"/>
      <c r="AY209" s="48"/>
    </row>
    <row r="210" spans="1:51" x14ac:dyDescent="0.3">
      <c r="A210" s="13" t="s">
        <v>470</v>
      </c>
      <c r="B210" s="48"/>
      <c r="C210" s="48"/>
      <c r="D210" s="48"/>
      <c r="E210" s="48"/>
      <c r="F210" s="48"/>
      <c r="G210" s="58" t="str">
        <f>IF(ISNUMBER(MATCH(H210,GIOI_TINH!$B:$B,0)),INDEX(GIOI_TINH!$A:$A,MATCH(H210,GIOI_TINH!$B:$B,0)),"")</f>
        <v/>
      </c>
      <c r="H210" s="15"/>
      <c r="I210" s="15"/>
      <c r="J210" s="58" t="str">
        <f>IF(ISNUMBER(MATCH(K210,QUOC_GIA!$B:$B,0)),INDEX(QUOC_GIA!$A:$A,MATCH(K210,QUOC_GIA!$B:$B,0)),"")</f>
        <v/>
      </c>
      <c r="K210" s="50"/>
      <c r="L210" s="15"/>
      <c r="M210" s="58" t="str">
        <f>IF(ISNUMBER(MATCH(N210,LOAI_THUE!$B:$B,0)),INDEX(LOAI_THUE!$A:$A,MATCH(N210,LOAI_THUE!$B:$B,0)),"")</f>
        <v/>
      </c>
      <c r="N210" s="50"/>
      <c r="O210" s="58" t="str">
        <f>IF(ISNUMBER(MATCH(P210,CHI_TIET_LOAI_KH!$B:$B,0)),INDEX(CHI_TIET_LOAI_KH!$A:$A,MATCH(P210,CHI_TIET_LOAI_KH!$B:$B,0)),"")</f>
        <v/>
      </c>
      <c r="P210" s="50"/>
      <c r="Q210" s="58" t="str">
        <f>IF(ISNUMBER(MATCH(R210,NGHE_NGHIEP!$B:$B,0)),INDEX(NGHE_NGHIEP!$A:$A,MATCH(R210,NGHE_NGHIEP!$B:$B,0)),"")</f>
        <v/>
      </c>
      <c r="R210" s="50"/>
      <c r="S210" s="58" t="str">
        <f>IF(ISNUMBER(MATCH(T210,LOAI_ID!$B:$B,0)),INDEX(LOAI_ID!$A:$A,MATCH(T210,LOAI_ID!$B:$B,0)),"")</f>
        <v/>
      </c>
      <c r="T210" s="16"/>
      <c r="U210" s="48"/>
      <c r="V210" s="48"/>
      <c r="W210" s="17"/>
      <c r="X210" s="17"/>
      <c r="Y210" s="15"/>
      <c r="Z210" s="15"/>
      <c r="AA210" s="59" t="str">
        <f>IFERROR(INDEX(NOI_CAP!$B:$B,MATCH(Z210,NOI_CAP!$A:$A,0)),"")</f>
        <v/>
      </c>
      <c r="AB210" s="58" t="str">
        <f>IF(ISNUMBER(MATCH(AC210,LOAI_DIA_CHI!$B:$B,0)),INDEX(LOAI_DIA_CHI!$A:$A,MATCH(AC210,LOAI_DIA_CHI!$B:$B,0)),"")</f>
        <v/>
      </c>
      <c r="AC210" s="16"/>
      <c r="AD210" s="58" t="str">
        <f>IF(ISNUMBER(MATCH(AE210,QUOC_GIA!$B:$B,0)),INDEX(QUOC_GIA!$A:$A,MATCH(AE210,QUOC_GIA!$B:$B,0)),"")</f>
        <v/>
      </c>
      <c r="AE210" s="16"/>
      <c r="AF210" s="48"/>
      <c r="AG210" s="59" t="str">
        <f>IFERROR(INDEX(TINH_TP!$B:$B,MATCH(AF210,TINH_TP!$A:$A,0)),"")</f>
        <v/>
      </c>
      <c r="AH210" s="50"/>
      <c r="AI210" s="59" t="str">
        <f>IF(OR(AF210="",AH210=""),"",IF(COUNTIFS(PHUONG_XA!$A$2:$A$3323,AH210,PHUONG_XA!$C$2:$C$3323,AF210)=0,"",INDEX(PHUONG_XA!$B$2:$B$3323,SUMPRODUCT((PHUONG_XA!$A$2:$A$3323&amp;""=AH210&amp;"")*(PHUONG_XA!$C$2:$C$3323&amp;""=AF210&amp;"")*(ROW(PHUONG_XA!$A$2:$A$3323)-ROW(PHUONG_XA!$A$2)+1)))))</f>
        <v/>
      </c>
      <c r="AJ210" s="14"/>
      <c r="AK210" s="14"/>
      <c r="AL210" s="57" t="str">
        <f t="shared" si="4"/>
        <v/>
      </c>
      <c r="AM210" s="14"/>
      <c r="AN210" s="15"/>
      <c r="AO210" s="15"/>
      <c r="AP210" s="48"/>
      <c r="AQ210" s="15"/>
      <c r="AR210" s="15"/>
      <c r="AS210" s="15"/>
      <c r="AT210" s="60" t="str">
        <f>IF(ISNUMBER(MATCH(AU210,LOAI_THE!$B:$B,0)),INDEX(LOAI_THE!$A:$A,MATCH(AU210,LOAI_THE!$B:$B,0)),"")</f>
        <v/>
      </c>
      <c r="AU210" s="48"/>
      <c r="AV210" s="15"/>
      <c r="AW210" s="15"/>
      <c r="AX210" s="15"/>
      <c r="AY210" s="48"/>
    </row>
    <row r="211" spans="1:51" x14ac:dyDescent="0.3">
      <c r="A211" s="13" t="s">
        <v>472</v>
      </c>
      <c r="B211" s="48"/>
      <c r="C211" s="48"/>
      <c r="D211" s="48"/>
      <c r="E211" s="48"/>
      <c r="F211" s="48"/>
      <c r="G211" s="58" t="str">
        <f>IF(ISNUMBER(MATCH(H211,GIOI_TINH!$B:$B,0)),INDEX(GIOI_TINH!$A:$A,MATCH(H211,GIOI_TINH!$B:$B,0)),"")</f>
        <v/>
      </c>
      <c r="H211" s="15"/>
      <c r="I211" s="15"/>
      <c r="J211" s="58" t="str">
        <f>IF(ISNUMBER(MATCH(K211,QUOC_GIA!$B:$B,0)),INDEX(QUOC_GIA!$A:$A,MATCH(K211,QUOC_GIA!$B:$B,0)),"")</f>
        <v/>
      </c>
      <c r="K211" s="50"/>
      <c r="L211" s="15"/>
      <c r="M211" s="58" t="str">
        <f>IF(ISNUMBER(MATCH(N211,LOAI_THUE!$B:$B,0)),INDEX(LOAI_THUE!$A:$A,MATCH(N211,LOAI_THUE!$B:$B,0)),"")</f>
        <v/>
      </c>
      <c r="N211" s="50"/>
      <c r="O211" s="58" t="str">
        <f>IF(ISNUMBER(MATCH(P211,CHI_TIET_LOAI_KH!$B:$B,0)),INDEX(CHI_TIET_LOAI_KH!$A:$A,MATCH(P211,CHI_TIET_LOAI_KH!$B:$B,0)),"")</f>
        <v/>
      </c>
      <c r="P211" s="50"/>
      <c r="Q211" s="58" t="str">
        <f>IF(ISNUMBER(MATCH(R211,NGHE_NGHIEP!$B:$B,0)),INDEX(NGHE_NGHIEP!$A:$A,MATCH(R211,NGHE_NGHIEP!$B:$B,0)),"")</f>
        <v/>
      </c>
      <c r="R211" s="50"/>
      <c r="S211" s="58" t="str">
        <f>IF(ISNUMBER(MATCH(T211,LOAI_ID!$B:$B,0)),INDEX(LOAI_ID!$A:$A,MATCH(T211,LOAI_ID!$B:$B,0)),"")</f>
        <v/>
      </c>
      <c r="T211" s="16"/>
      <c r="U211" s="48"/>
      <c r="V211" s="48"/>
      <c r="W211" s="17"/>
      <c r="X211" s="17"/>
      <c r="Y211" s="15"/>
      <c r="Z211" s="15"/>
      <c r="AA211" s="59" t="str">
        <f>IFERROR(INDEX(NOI_CAP!$B:$B,MATCH(Z211,NOI_CAP!$A:$A,0)),"")</f>
        <v/>
      </c>
      <c r="AB211" s="58" t="str">
        <f>IF(ISNUMBER(MATCH(AC211,LOAI_DIA_CHI!$B:$B,0)),INDEX(LOAI_DIA_CHI!$A:$A,MATCH(AC211,LOAI_DIA_CHI!$B:$B,0)),"")</f>
        <v/>
      </c>
      <c r="AC211" s="16"/>
      <c r="AD211" s="58" t="str">
        <f>IF(ISNUMBER(MATCH(AE211,QUOC_GIA!$B:$B,0)),INDEX(QUOC_GIA!$A:$A,MATCH(AE211,QUOC_GIA!$B:$B,0)),"")</f>
        <v/>
      </c>
      <c r="AE211" s="16"/>
      <c r="AF211" s="48"/>
      <c r="AG211" s="59" t="str">
        <f>IFERROR(INDEX(TINH_TP!$B:$B,MATCH(AF211,TINH_TP!$A:$A,0)),"")</f>
        <v/>
      </c>
      <c r="AH211" s="50"/>
      <c r="AI211" s="59" t="str">
        <f>IF(OR(AF211="",AH211=""),"",IF(COUNTIFS(PHUONG_XA!$A$2:$A$3323,AH211,PHUONG_XA!$C$2:$C$3323,AF211)=0,"",INDEX(PHUONG_XA!$B$2:$B$3323,SUMPRODUCT((PHUONG_XA!$A$2:$A$3323&amp;""=AH211&amp;"")*(PHUONG_XA!$C$2:$C$3323&amp;""=AF211&amp;"")*(ROW(PHUONG_XA!$A$2:$A$3323)-ROW(PHUONG_XA!$A$2)+1)))))</f>
        <v/>
      </c>
      <c r="AJ211" s="14"/>
      <c r="AK211" s="14"/>
      <c r="AL211" s="57" t="str">
        <f t="shared" si="4"/>
        <v/>
      </c>
      <c r="AM211" s="14"/>
      <c r="AN211" s="15"/>
      <c r="AO211" s="15"/>
      <c r="AP211" s="48"/>
      <c r="AQ211" s="15"/>
      <c r="AR211" s="15"/>
      <c r="AS211" s="15"/>
      <c r="AT211" s="60" t="str">
        <f>IF(ISNUMBER(MATCH(AU211,LOAI_THE!$B:$B,0)),INDEX(LOAI_THE!$A:$A,MATCH(AU211,LOAI_THE!$B:$B,0)),"")</f>
        <v/>
      </c>
      <c r="AU211" s="48"/>
      <c r="AV211" s="15"/>
      <c r="AW211" s="15"/>
      <c r="AX211" s="15"/>
      <c r="AY211" s="48"/>
    </row>
    <row r="212" spans="1:51" x14ac:dyDescent="0.3">
      <c r="A212" s="13" t="s">
        <v>474</v>
      </c>
      <c r="B212" s="48"/>
      <c r="C212" s="48"/>
      <c r="D212" s="48"/>
      <c r="E212" s="48"/>
      <c r="F212" s="48"/>
      <c r="G212" s="58" t="str">
        <f>IF(ISNUMBER(MATCH(H212,GIOI_TINH!$B:$B,0)),INDEX(GIOI_TINH!$A:$A,MATCH(H212,GIOI_TINH!$B:$B,0)),"")</f>
        <v/>
      </c>
      <c r="H212" s="15"/>
      <c r="I212" s="15"/>
      <c r="J212" s="58" t="str">
        <f>IF(ISNUMBER(MATCH(K212,QUOC_GIA!$B:$B,0)),INDEX(QUOC_GIA!$A:$A,MATCH(K212,QUOC_GIA!$B:$B,0)),"")</f>
        <v/>
      </c>
      <c r="K212" s="50"/>
      <c r="L212" s="15"/>
      <c r="M212" s="58" t="str">
        <f>IF(ISNUMBER(MATCH(N212,LOAI_THUE!$B:$B,0)),INDEX(LOAI_THUE!$A:$A,MATCH(N212,LOAI_THUE!$B:$B,0)),"")</f>
        <v/>
      </c>
      <c r="N212" s="50"/>
      <c r="O212" s="58" t="str">
        <f>IF(ISNUMBER(MATCH(P212,CHI_TIET_LOAI_KH!$B:$B,0)),INDEX(CHI_TIET_LOAI_KH!$A:$A,MATCH(P212,CHI_TIET_LOAI_KH!$B:$B,0)),"")</f>
        <v/>
      </c>
      <c r="P212" s="50"/>
      <c r="Q212" s="58" t="str">
        <f>IF(ISNUMBER(MATCH(R212,NGHE_NGHIEP!$B:$B,0)),INDEX(NGHE_NGHIEP!$A:$A,MATCH(R212,NGHE_NGHIEP!$B:$B,0)),"")</f>
        <v/>
      </c>
      <c r="R212" s="50"/>
      <c r="S212" s="58" t="str">
        <f>IF(ISNUMBER(MATCH(T212,LOAI_ID!$B:$B,0)),INDEX(LOAI_ID!$A:$A,MATCH(T212,LOAI_ID!$B:$B,0)),"")</f>
        <v/>
      </c>
      <c r="T212" s="16"/>
      <c r="U212" s="48"/>
      <c r="V212" s="48"/>
      <c r="W212" s="17"/>
      <c r="X212" s="17"/>
      <c r="Y212" s="15"/>
      <c r="Z212" s="15"/>
      <c r="AA212" s="59" t="str">
        <f>IFERROR(INDEX(NOI_CAP!$B:$B,MATCH(Z212,NOI_CAP!$A:$A,0)),"")</f>
        <v/>
      </c>
      <c r="AB212" s="58" t="str">
        <f>IF(ISNUMBER(MATCH(AC212,LOAI_DIA_CHI!$B:$B,0)),INDEX(LOAI_DIA_CHI!$A:$A,MATCH(AC212,LOAI_DIA_CHI!$B:$B,0)),"")</f>
        <v/>
      </c>
      <c r="AC212" s="16"/>
      <c r="AD212" s="58" t="str">
        <f>IF(ISNUMBER(MATCH(AE212,QUOC_GIA!$B:$B,0)),INDEX(QUOC_GIA!$A:$A,MATCH(AE212,QUOC_GIA!$B:$B,0)),"")</f>
        <v/>
      </c>
      <c r="AE212" s="16"/>
      <c r="AF212" s="48"/>
      <c r="AG212" s="59" t="str">
        <f>IFERROR(INDEX(TINH_TP!$B:$B,MATCH(AF212,TINH_TP!$A:$A,0)),"")</f>
        <v/>
      </c>
      <c r="AH212" s="50"/>
      <c r="AI212" s="59" t="str">
        <f>IF(OR(AF212="",AH212=""),"",IF(COUNTIFS(PHUONG_XA!$A$2:$A$3323,AH212,PHUONG_XA!$C$2:$C$3323,AF212)=0,"",INDEX(PHUONG_XA!$B$2:$B$3323,SUMPRODUCT((PHUONG_XA!$A$2:$A$3323&amp;""=AH212&amp;"")*(PHUONG_XA!$C$2:$C$3323&amp;""=AF212&amp;"")*(ROW(PHUONG_XA!$A$2:$A$3323)-ROW(PHUONG_XA!$A$2)+1)))))</f>
        <v/>
      </c>
      <c r="AJ212" s="14"/>
      <c r="AK212" s="14"/>
      <c r="AL212" s="57" t="str">
        <f t="shared" si="4"/>
        <v/>
      </c>
      <c r="AM212" s="14"/>
      <c r="AN212" s="15"/>
      <c r="AO212" s="15"/>
      <c r="AP212" s="48"/>
      <c r="AQ212" s="15"/>
      <c r="AR212" s="15"/>
      <c r="AS212" s="15"/>
      <c r="AT212" s="60" t="str">
        <f>IF(ISNUMBER(MATCH(AU212,LOAI_THE!$B:$B,0)),INDEX(LOAI_THE!$A:$A,MATCH(AU212,LOAI_THE!$B:$B,0)),"")</f>
        <v/>
      </c>
      <c r="AU212" s="48"/>
      <c r="AV212" s="15"/>
      <c r="AW212" s="15"/>
      <c r="AX212" s="15"/>
      <c r="AY212" s="48"/>
    </row>
    <row r="213" spans="1:51" x14ac:dyDescent="0.3">
      <c r="A213" s="13" t="s">
        <v>476</v>
      </c>
      <c r="B213" s="48"/>
      <c r="C213" s="48"/>
      <c r="D213" s="48"/>
      <c r="E213" s="48"/>
      <c r="F213" s="48"/>
      <c r="G213" s="58" t="str">
        <f>IF(ISNUMBER(MATCH(H213,GIOI_TINH!$B:$B,0)),INDEX(GIOI_TINH!$A:$A,MATCH(H213,GIOI_TINH!$B:$B,0)),"")</f>
        <v/>
      </c>
      <c r="H213" s="15"/>
      <c r="I213" s="15"/>
      <c r="J213" s="58" t="str">
        <f>IF(ISNUMBER(MATCH(K213,QUOC_GIA!$B:$B,0)),INDEX(QUOC_GIA!$A:$A,MATCH(K213,QUOC_GIA!$B:$B,0)),"")</f>
        <v/>
      </c>
      <c r="K213" s="50"/>
      <c r="L213" s="15"/>
      <c r="M213" s="58" t="str">
        <f>IF(ISNUMBER(MATCH(N213,LOAI_THUE!$B:$B,0)),INDEX(LOAI_THUE!$A:$A,MATCH(N213,LOAI_THUE!$B:$B,0)),"")</f>
        <v/>
      </c>
      <c r="N213" s="50"/>
      <c r="O213" s="58" t="str">
        <f>IF(ISNUMBER(MATCH(P213,CHI_TIET_LOAI_KH!$B:$B,0)),INDEX(CHI_TIET_LOAI_KH!$A:$A,MATCH(P213,CHI_TIET_LOAI_KH!$B:$B,0)),"")</f>
        <v/>
      </c>
      <c r="P213" s="50"/>
      <c r="Q213" s="58" t="str">
        <f>IF(ISNUMBER(MATCH(R213,NGHE_NGHIEP!$B:$B,0)),INDEX(NGHE_NGHIEP!$A:$A,MATCH(R213,NGHE_NGHIEP!$B:$B,0)),"")</f>
        <v/>
      </c>
      <c r="R213" s="50"/>
      <c r="S213" s="58" t="str">
        <f>IF(ISNUMBER(MATCH(T213,LOAI_ID!$B:$B,0)),INDEX(LOAI_ID!$A:$A,MATCH(T213,LOAI_ID!$B:$B,0)),"")</f>
        <v/>
      </c>
      <c r="T213" s="16"/>
      <c r="U213" s="48"/>
      <c r="V213" s="48"/>
      <c r="W213" s="17"/>
      <c r="X213" s="17"/>
      <c r="Y213" s="15"/>
      <c r="Z213" s="15"/>
      <c r="AA213" s="59" t="str">
        <f>IFERROR(INDEX(NOI_CAP!$B:$B,MATCH(Z213,NOI_CAP!$A:$A,0)),"")</f>
        <v/>
      </c>
      <c r="AB213" s="58" t="str">
        <f>IF(ISNUMBER(MATCH(AC213,LOAI_DIA_CHI!$B:$B,0)),INDEX(LOAI_DIA_CHI!$A:$A,MATCH(AC213,LOAI_DIA_CHI!$B:$B,0)),"")</f>
        <v/>
      </c>
      <c r="AC213" s="16"/>
      <c r="AD213" s="58" t="str">
        <f>IF(ISNUMBER(MATCH(AE213,QUOC_GIA!$B:$B,0)),INDEX(QUOC_GIA!$A:$A,MATCH(AE213,QUOC_GIA!$B:$B,0)),"")</f>
        <v/>
      </c>
      <c r="AE213" s="16"/>
      <c r="AF213" s="48"/>
      <c r="AG213" s="59" t="str">
        <f>IFERROR(INDEX(TINH_TP!$B:$B,MATCH(AF213,TINH_TP!$A:$A,0)),"")</f>
        <v/>
      </c>
      <c r="AH213" s="50"/>
      <c r="AI213" s="59" t="str">
        <f>IF(OR(AF213="",AH213=""),"",IF(COUNTIFS(PHUONG_XA!$A$2:$A$3323,AH213,PHUONG_XA!$C$2:$C$3323,AF213)=0,"",INDEX(PHUONG_XA!$B$2:$B$3323,SUMPRODUCT((PHUONG_XA!$A$2:$A$3323&amp;""=AH213&amp;"")*(PHUONG_XA!$C$2:$C$3323&amp;""=AF213&amp;"")*(ROW(PHUONG_XA!$A$2:$A$3323)-ROW(PHUONG_XA!$A$2)+1)))))</f>
        <v/>
      </c>
      <c r="AJ213" s="14"/>
      <c r="AK213" s="14"/>
      <c r="AL213" s="57" t="str">
        <f t="shared" si="4"/>
        <v/>
      </c>
      <c r="AM213" s="14"/>
      <c r="AN213" s="15"/>
      <c r="AO213" s="15"/>
      <c r="AP213" s="48"/>
      <c r="AQ213" s="15"/>
      <c r="AR213" s="15"/>
      <c r="AS213" s="15"/>
      <c r="AT213" s="60" t="str">
        <f>IF(ISNUMBER(MATCH(AU213,LOAI_THE!$B:$B,0)),INDEX(LOAI_THE!$A:$A,MATCH(AU213,LOAI_THE!$B:$B,0)),"")</f>
        <v/>
      </c>
      <c r="AU213" s="48"/>
      <c r="AV213" s="15"/>
      <c r="AW213" s="15"/>
      <c r="AX213" s="15"/>
      <c r="AY213" s="48"/>
    </row>
    <row r="214" spans="1:51" x14ac:dyDescent="0.3">
      <c r="A214" s="13" t="s">
        <v>478</v>
      </c>
      <c r="B214" s="48"/>
      <c r="C214" s="48"/>
      <c r="D214" s="48"/>
      <c r="E214" s="48"/>
      <c r="F214" s="48"/>
      <c r="G214" s="58" t="str">
        <f>IF(ISNUMBER(MATCH(H214,GIOI_TINH!$B:$B,0)),INDEX(GIOI_TINH!$A:$A,MATCH(H214,GIOI_TINH!$B:$B,0)),"")</f>
        <v/>
      </c>
      <c r="H214" s="15"/>
      <c r="I214" s="15"/>
      <c r="J214" s="58" t="str">
        <f>IF(ISNUMBER(MATCH(K214,QUOC_GIA!$B:$B,0)),INDEX(QUOC_GIA!$A:$A,MATCH(K214,QUOC_GIA!$B:$B,0)),"")</f>
        <v/>
      </c>
      <c r="K214" s="50"/>
      <c r="L214" s="15"/>
      <c r="M214" s="58" t="str">
        <f>IF(ISNUMBER(MATCH(N214,LOAI_THUE!$B:$B,0)),INDEX(LOAI_THUE!$A:$A,MATCH(N214,LOAI_THUE!$B:$B,0)),"")</f>
        <v/>
      </c>
      <c r="N214" s="50"/>
      <c r="O214" s="58" t="str">
        <f>IF(ISNUMBER(MATCH(P214,CHI_TIET_LOAI_KH!$B:$B,0)),INDEX(CHI_TIET_LOAI_KH!$A:$A,MATCH(P214,CHI_TIET_LOAI_KH!$B:$B,0)),"")</f>
        <v/>
      </c>
      <c r="P214" s="50"/>
      <c r="Q214" s="58" t="str">
        <f>IF(ISNUMBER(MATCH(R214,NGHE_NGHIEP!$B:$B,0)),INDEX(NGHE_NGHIEP!$A:$A,MATCH(R214,NGHE_NGHIEP!$B:$B,0)),"")</f>
        <v/>
      </c>
      <c r="R214" s="50"/>
      <c r="S214" s="58" t="str">
        <f>IF(ISNUMBER(MATCH(T214,LOAI_ID!$B:$B,0)),INDEX(LOAI_ID!$A:$A,MATCH(T214,LOAI_ID!$B:$B,0)),"")</f>
        <v/>
      </c>
      <c r="T214" s="16"/>
      <c r="U214" s="48"/>
      <c r="V214" s="48"/>
      <c r="W214" s="17"/>
      <c r="X214" s="17"/>
      <c r="Y214" s="15"/>
      <c r="Z214" s="15"/>
      <c r="AA214" s="59" t="str">
        <f>IFERROR(INDEX(NOI_CAP!$B:$B,MATCH(Z214,NOI_CAP!$A:$A,0)),"")</f>
        <v/>
      </c>
      <c r="AB214" s="58" t="str">
        <f>IF(ISNUMBER(MATCH(AC214,LOAI_DIA_CHI!$B:$B,0)),INDEX(LOAI_DIA_CHI!$A:$A,MATCH(AC214,LOAI_DIA_CHI!$B:$B,0)),"")</f>
        <v/>
      </c>
      <c r="AC214" s="16"/>
      <c r="AD214" s="58" t="str">
        <f>IF(ISNUMBER(MATCH(AE214,QUOC_GIA!$B:$B,0)),INDEX(QUOC_GIA!$A:$A,MATCH(AE214,QUOC_GIA!$B:$B,0)),"")</f>
        <v/>
      </c>
      <c r="AE214" s="16"/>
      <c r="AF214" s="48"/>
      <c r="AG214" s="59" t="str">
        <f>IFERROR(INDEX(TINH_TP!$B:$B,MATCH(AF214,TINH_TP!$A:$A,0)),"")</f>
        <v/>
      </c>
      <c r="AH214" s="50"/>
      <c r="AI214" s="59" t="str">
        <f>IF(OR(AF214="",AH214=""),"",IF(COUNTIFS(PHUONG_XA!$A$2:$A$3323,AH214,PHUONG_XA!$C$2:$C$3323,AF214)=0,"",INDEX(PHUONG_XA!$B$2:$B$3323,SUMPRODUCT((PHUONG_XA!$A$2:$A$3323&amp;""=AH214&amp;"")*(PHUONG_XA!$C$2:$C$3323&amp;""=AF214&amp;"")*(ROW(PHUONG_XA!$A$2:$A$3323)-ROW(PHUONG_XA!$A$2)+1)))))</f>
        <v/>
      </c>
      <c r="AJ214" s="14"/>
      <c r="AK214" s="14"/>
      <c r="AL214" s="57" t="str">
        <f t="shared" si="4"/>
        <v/>
      </c>
      <c r="AM214" s="14"/>
      <c r="AN214" s="15"/>
      <c r="AO214" s="15"/>
      <c r="AP214" s="48"/>
      <c r="AQ214" s="15"/>
      <c r="AR214" s="15"/>
      <c r="AS214" s="15"/>
      <c r="AT214" s="60" t="str">
        <f>IF(ISNUMBER(MATCH(AU214,LOAI_THE!$B:$B,0)),INDEX(LOAI_THE!$A:$A,MATCH(AU214,LOAI_THE!$B:$B,0)),"")</f>
        <v/>
      </c>
      <c r="AU214" s="48"/>
      <c r="AV214" s="15"/>
      <c r="AW214" s="15"/>
      <c r="AX214" s="15"/>
      <c r="AY214" s="48"/>
    </row>
    <row r="215" spans="1:51" x14ac:dyDescent="0.3">
      <c r="A215" s="13" t="s">
        <v>480</v>
      </c>
      <c r="B215" s="48"/>
      <c r="C215" s="48"/>
      <c r="D215" s="48"/>
      <c r="E215" s="48"/>
      <c r="F215" s="48"/>
      <c r="G215" s="58" t="str">
        <f>IF(ISNUMBER(MATCH(H215,GIOI_TINH!$B:$B,0)),INDEX(GIOI_TINH!$A:$A,MATCH(H215,GIOI_TINH!$B:$B,0)),"")</f>
        <v/>
      </c>
      <c r="H215" s="15"/>
      <c r="I215" s="15"/>
      <c r="J215" s="58" t="str">
        <f>IF(ISNUMBER(MATCH(K215,QUOC_GIA!$B:$B,0)),INDEX(QUOC_GIA!$A:$A,MATCH(K215,QUOC_GIA!$B:$B,0)),"")</f>
        <v/>
      </c>
      <c r="K215" s="50"/>
      <c r="L215" s="15"/>
      <c r="M215" s="58" t="str">
        <f>IF(ISNUMBER(MATCH(N215,LOAI_THUE!$B:$B,0)),INDEX(LOAI_THUE!$A:$A,MATCH(N215,LOAI_THUE!$B:$B,0)),"")</f>
        <v/>
      </c>
      <c r="N215" s="50"/>
      <c r="O215" s="58" t="str">
        <f>IF(ISNUMBER(MATCH(P215,CHI_TIET_LOAI_KH!$B:$B,0)),INDEX(CHI_TIET_LOAI_KH!$A:$A,MATCH(P215,CHI_TIET_LOAI_KH!$B:$B,0)),"")</f>
        <v/>
      </c>
      <c r="P215" s="50"/>
      <c r="Q215" s="58" t="str">
        <f>IF(ISNUMBER(MATCH(R215,NGHE_NGHIEP!$B:$B,0)),INDEX(NGHE_NGHIEP!$A:$A,MATCH(R215,NGHE_NGHIEP!$B:$B,0)),"")</f>
        <v/>
      </c>
      <c r="R215" s="50"/>
      <c r="S215" s="58" t="str">
        <f>IF(ISNUMBER(MATCH(T215,LOAI_ID!$B:$B,0)),INDEX(LOAI_ID!$A:$A,MATCH(T215,LOAI_ID!$B:$B,0)),"")</f>
        <v/>
      </c>
      <c r="T215" s="16"/>
      <c r="U215" s="48"/>
      <c r="V215" s="48"/>
      <c r="W215" s="17"/>
      <c r="X215" s="17"/>
      <c r="Y215" s="15"/>
      <c r="Z215" s="15"/>
      <c r="AA215" s="59" t="str">
        <f>IFERROR(INDEX(NOI_CAP!$B:$B,MATCH(Z215,NOI_CAP!$A:$A,0)),"")</f>
        <v/>
      </c>
      <c r="AB215" s="58" t="str">
        <f>IF(ISNUMBER(MATCH(AC215,LOAI_DIA_CHI!$B:$B,0)),INDEX(LOAI_DIA_CHI!$A:$A,MATCH(AC215,LOAI_DIA_CHI!$B:$B,0)),"")</f>
        <v/>
      </c>
      <c r="AC215" s="16"/>
      <c r="AD215" s="58" t="str">
        <f>IF(ISNUMBER(MATCH(AE215,QUOC_GIA!$B:$B,0)),INDEX(QUOC_GIA!$A:$A,MATCH(AE215,QUOC_GIA!$B:$B,0)),"")</f>
        <v/>
      </c>
      <c r="AE215" s="16"/>
      <c r="AF215" s="48"/>
      <c r="AG215" s="59" t="str">
        <f>IFERROR(INDEX(TINH_TP!$B:$B,MATCH(AF215,TINH_TP!$A:$A,0)),"")</f>
        <v/>
      </c>
      <c r="AH215" s="50"/>
      <c r="AI215" s="59" t="str">
        <f>IF(OR(AF215="",AH215=""),"",IF(COUNTIFS(PHUONG_XA!$A$2:$A$3323,AH215,PHUONG_XA!$C$2:$C$3323,AF215)=0,"",INDEX(PHUONG_XA!$B$2:$B$3323,SUMPRODUCT((PHUONG_XA!$A$2:$A$3323&amp;""=AH215&amp;"")*(PHUONG_XA!$C$2:$C$3323&amp;""=AF215&amp;"")*(ROW(PHUONG_XA!$A$2:$A$3323)-ROW(PHUONG_XA!$A$2)+1)))))</f>
        <v/>
      </c>
      <c r="AJ215" s="14"/>
      <c r="AK215" s="14"/>
      <c r="AL215" s="57" t="str">
        <f t="shared" si="4"/>
        <v/>
      </c>
      <c r="AM215" s="14"/>
      <c r="AN215" s="15"/>
      <c r="AO215" s="15"/>
      <c r="AP215" s="48"/>
      <c r="AQ215" s="15"/>
      <c r="AR215" s="15"/>
      <c r="AS215" s="15"/>
      <c r="AT215" s="60" t="str">
        <f>IF(ISNUMBER(MATCH(AU215,LOAI_THE!$B:$B,0)),INDEX(LOAI_THE!$A:$A,MATCH(AU215,LOAI_THE!$B:$B,0)),"")</f>
        <v/>
      </c>
      <c r="AU215" s="48"/>
      <c r="AV215" s="15"/>
      <c r="AW215" s="15"/>
      <c r="AX215" s="15"/>
      <c r="AY215" s="48"/>
    </row>
    <row r="216" spans="1:51" x14ac:dyDescent="0.3">
      <c r="A216" s="13" t="s">
        <v>482</v>
      </c>
      <c r="B216" s="48"/>
      <c r="C216" s="48"/>
      <c r="D216" s="48"/>
      <c r="E216" s="48"/>
      <c r="F216" s="48"/>
      <c r="G216" s="58" t="str">
        <f>IF(ISNUMBER(MATCH(H216,GIOI_TINH!$B:$B,0)),INDEX(GIOI_TINH!$A:$A,MATCH(H216,GIOI_TINH!$B:$B,0)),"")</f>
        <v/>
      </c>
      <c r="H216" s="15"/>
      <c r="I216" s="15"/>
      <c r="J216" s="58" t="str">
        <f>IF(ISNUMBER(MATCH(K216,QUOC_GIA!$B:$B,0)),INDEX(QUOC_GIA!$A:$A,MATCH(K216,QUOC_GIA!$B:$B,0)),"")</f>
        <v/>
      </c>
      <c r="K216" s="50"/>
      <c r="L216" s="15"/>
      <c r="M216" s="58" t="str">
        <f>IF(ISNUMBER(MATCH(N216,LOAI_THUE!$B:$B,0)),INDEX(LOAI_THUE!$A:$A,MATCH(N216,LOAI_THUE!$B:$B,0)),"")</f>
        <v/>
      </c>
      <c r="N216" s="50"/>
      <c r="O216" s="58" t="str">
        <f>IF(ISNUMBER(MATCH(P216,CHI_TIET_LOAI_KH!$B:$B,0)),INDEX(CHI_TIET_LOAI_KH!$A:$A,MATCH(P216,CHI_TIET_LOAI_KH!$B:$B,0)),"")</f>
        <v/>
      </c>
      <c r="P216" s="50"/>
      <c r="Q216" s="58" t="str">
        <f>IF(ISNUMBER(MATCH(R216,NGHE_NGHIEP!$B:$B,0)),INDEX(NGHE_NGHIEP!$A:$A,MATCH(R216,NGHE_NGHIEP!$B:$B,0)),"")</f>
        <v/>
      </c>
      <c r="R216" s="50"/>
      <c r="S216" s="58" t="str">
        <f>IF(ISNUMBER(MATCH(T216,LOAI_ID!$B:$B,0)),INDEX(LOAI_ID!$A:$A,MATCH(T216,LOAI_ID!$B:$B,0)),"")</f>
        <v/>
      </c>
      <c r="T216" s="16"/>
      <c r="U216" s="48"/>
      <c r="V216" s="48"/>
      <c r="W216" s="17"/>
      <c r="X216" s="17"/>
      <c r="Y216" s="15"/>
      <c r="Z216" s="15"/>
      <c r="AA216" s="59" t="str">
        <f>IFERROR(INDEX(NOI_CAP!$B:$B,MATCH(Z216,NOI_CAP!$A:$A,0)),"")</f>
        <v/>
      </c>
      <c r="AB216" s="58" t="str">
        <f>IF(ISNUMBER(MATCH(AC216,LOAI_DIA_CHI!$B:$B,0)),INDEX(LOAI_DIA_CHI!$A:$A,MATCH(AC216,LOAI_DIA_CHI!$B:$B,0)),"")</f>
        <v/>
      </c>
      <c r="AC216" s="16"/>
      <c r="AD216" s="58" t="str">
        <f>IF(ISNUMBER(MATCH(AE216,QUOC_GIA!$B:$B,0)),INDEX(QUOC_GIA!$A:$A,MATCH(AE216,QUOC_GIA!$B:$B,0)),"")</f>
        <v/>
      </c>
      <c r="AE216" s="16"/>
      <c r="AF216" s="48"/>
      <c r="AG216" s="59" t="str">
        <f>IFERROR(INDEX(TINH_TP!$B:$B,MATCH(AF216,TINH_TP!$A:$A,0)),"")</f>
        <v/>
      </c>
      <c r="AH216" s="50"/>
      <c r="AI216" s="59" t="str">
        <f>IF(OR(AF216="",AH216=""),"",IF(COUNTIFS(PHUONG_XA!$A$2:$A$3323,AH216,PHUONG_XA!$C$2:$C$3323,AF216)=0,"",INDEX(PHUONG_XA!$B$2:$B$3323,SUMPRODUCT((PHUONG_XA!$A$2:$A$3323&amp;""=AH216&amp;"")*(PHUONG_XA!$C$2:$C$3323&amp;""=AF216&amp;"")*(ROW(PHUONG_XA!$A$2:$A$3323)-ROW(PHUONG_XA!$A$2)+1)))))</f>
        <v/>
      </c>
      <c r="AJ216" s="14"/>
      <c r="AK216" s="14"/>
      <c r="AL216" s="57" t="str">
        <f t="shared" si="4"/>
        <v/>
      </c>
      <c r="AM216" s="14"/>
      <c r="AN216" s="15"/>
      <c r="AO216" s="15"/>
      <c r="AP216" s="48"/>
      <c r="AQ216" s="15"/>
      <c r="AR216" s="15"/>
      <c r="AS216" s="15"/>
      <c r="AT216" s="60" t="str">
        <f>IF(ISNUMBER(MATCH(AU216,LOAI_THE!$B:$B,0)),INDEX(LOAI_THE!$A:$A,MATCH(AU216,LOAI_THE!$B:$B,0)),"")</f>
        <v/>
      </c>
      <c r="AU216" s="48"/>
      <c r="AV216" s="15"/>
      <c r="AW216" s="15"/>
      <c r="AX216" s="15"/>
      <c r="AY216" s="48"/>
    </row>
    <row r="217" spans="1:51" x14ac:dyDescent="0.3">
      <c r="A217" s="13" t="s">
        <v>484</v>
      </c>
      <c r="B217" s="48"/>
      <c r="C217" s="48"/>
      <c r="D217" s="48"/>
      <c r="E217" s="48"/>
      <c r="F217" s="48"/>
      <c r="G217" s="58" t="str">
        <f>IF(ISNUMBER(MATCH(H217,GIOI_TINH!$B:$B,0)),INDEX(GIOI_TINH!$A:$A,MATCH(H217,GIOI_TINH!$B:$B,0)),"")</f>
        <v/>
      </c>
      <c r="H217" s="15"/>
      <c r="I217" s="15"/>
      <c r="J217" s="58" t="str">
        <f>IF(ISNUMBER(MATCH(K217,QUOC_GIA!$B:$B,0)),INDEX(QUOC_GIA!$A:$A,MATCH(K217,QUOC_GIA!$B:$B,0)),"")</f>
        <v/>
      </c>
      <c r="K217" s="50"/>
      <c r="L217" s="15"/>
      <c r="M217" s="58" t="str">
        <f>IF(ISNUMBER(MATCH(N217,LOAI_THUE!$B:$B,0)),INDEX(LOAI_THUE!$A:$A,MATCH(N217,LOAI_THUE!$B:$B,0)),"")</f>
        <v/>
      </c>
      <c r="N217" s="50"/>
      <c r="O217" s="58" t="str">
        <f>IF(ISNUMBER(MATCH(P217,CHI_TIET_LOAI_KH!$B:$B,0)),INDEX(CHI_TIET_LOAI_KH!$A:$A,MATCH(P217,CHI_TIET_LOAI_KH!$B:$B,0)),"")</f>
        <v/>
      </c>
      <c r="P217" s="50"/>
      <c r="Q217" s="58" t="str">
        <f>IF(ISNUMBER(MATCH(R217,NGHE_NGHIEP!$B:$B,0)),INDEX(NGHE_NGHIEP!$A:$A,MATCH(R217,NGHE_NGHIEP!$B:$B,0)),"")</f>
        <v/>
      </c>
      <c r="R217" s="50"/>
      <c r="S217" s="58" t="str">
        <f>IF(ISNUMBER(MATCH(T217,LOAI_ID!$B:$B,0)),INDEX(LOAI_ID!$A:$A,MATCH(T217,LOAI_ID!$B:$B,0)),"")</f>
        <v/>
      </c>
      <c r="T217" s="16"/>
      <c r="U217" s="48"/>
      <c r="V217" s="48"/>
      <c r="W217" s="17"/>
      <c r="X217" s="17"/>
      <c r="Y217" s="15"/>
      <c r="Z217" s="15"/>
      <c r="AA217" s="59" t="str">
        <f>IFERROR(INDEX(NOI_CAP!$B:$B,MATCH(Z217,NOI_CAP!$A:$A,0)),"")</f>
        <v/>
      </c>
      <c r="AB217" s="58" t="str">
        <f>IF(ISNUMBER(MATCH(AC217,LOAI_DIA_CHI!$B:$B,0)),INDEX(LOAI_DIA_CHI!$A:$A,MATCH(AC217,LOAI_DIA_CHI!$B:$B,0)),"")</f>
        <v/>
      </c>
      <c r="AC217" s="16"/>
      <c r="AD217" s="58" t="str">
        <f>IF(ISNUMBER(MATCH(AE217,QUOC_GIA!$B:$B,0)),INDEX(QUOC_GIA!$A:$A,MATCH(AE217,QUOC_GIA!$B:$B,0)),"")</f>
        <v/>
      </c>
      <c r="AE217" s="16"/>
      <c r="AF217" s="48"/>
      <c r="AG217" s="59" t="str">
        <f>IFERROR(INDEX(TINH_TP!$B:$B,MATCH(AF217,TINH_TP!$A:$A,0)),"")</f>
        <v/>
      </c>
      <c r="AH217" s="50"/>
      <c r="AI217" s="59" t="str">
        <f>IF(OR(AF217="",AH217=""),"",IF(COUNTIFS(PHUONG_XA!$A$2:$A$3323,AH217,PHUONG_XA!$C$2:$C$3323,AF217)=0,"",INDEX(PHUONG_XA!$B$2:$B$3323,SUMPRODUCT((PHUONG_XA!$A$2:$A$3323&amp;""=AH217&amp;"")*(PHUONG_XA!$C$2:$C$3323&amp;""=AF217&amp;"")*(ROW(PHUONG_XA!$A$2:$A$3323)-ROW(PHUONG_XA!$A$2)+1)))))</f>
        <v/>
      </c>
      <c r="AJ217" s="14"/>
      <c r="AK217" s="14"/>
      <c r="AL217" s="57" t="str">
        <f t="shared" si="4"/>
        <v/>
      </c>
      <c r="AM217" s="14"/>
      <c r="AN217" s="15"/>
      <c r="AO217" s="15"/>
      <c r="AP217" s="48"/>
      <c r="AQ217" s="15"/>
      <c r="AR217" s="15"/>
      <c r="AS217" s="15"/>
      <c r="AT217" s="60" t="str">
        <f>IF(ISNUMBER(MATCH(AU217,LOAI_THE!$B:$B,0)),INDEX(LOAI_THE!$A:$A,MATCH(AU217,LOAI_THE!$B:$B,0)),"")</f>
        <v/>
      </c>
      <c r="AU217" s="48"/>
      <c r="AV217" s="15"/>
      <c r="AW217" s="15"/>
      <c r="AX217" s="15"/>
      <c r="AY217" s="48"/>
    </row>
    <row r="218" spans="1:51" x14ac:dyDescent="0.3">
      <c r="A218" s="13" t="s">
        <v>486</v>
      </c>
      <c r="B218" s="48"/>
      <c r="C218" s="48"/>
      <c r="D218" s="48"/>
      <c r="E218" s="48"/>
      <c r="F218" s="48"/>
      <c r="G218" s="58" t="str">
        <f>IF(ISNUMBER(MATCH(H218,GIOI_TINH!$B:$B,0)),INDEX(GIOI_TINH!$A:$A,MATCH(H218,GIOI_TINH!$B:$B,0)),"")</f>
        <v/>
      </c>
      <c r="H218" s="15"/>
      <c r="I218" s="15"/>
      <c r="J218" s="58" t="str">
        <f>IF(ISNUMBER(MATCH(K218,QUOC_GIA!$B:$B,0)),INDEX(QUOC_GIA!$A:$A,MATCH(K218,QUOC_GIA!$B:$B,0)),"")</f>
        <v/>
      </c>
      <c r="K218" s="50"/>
      <c r="L218" s="15"/>
      <c r="M218" s="58" t="str">
        <f>IF(ISNUMBER(MATCH(N218,LOAI_THUE!$B:$B,0)),INDEX(LOAI_THUE!$A:$A,MATCH(N218,LOAI_THUE!$B:$B,0)),"")</f>
        <v/>
      </c>
      <c r="N218" s="50"/>
      <c r="O218" s="58" t="str">
        <f>IF(ISNUMBER(MATCH(P218,CHI_TIET_LOAI_KH!$B:$B,0)),INDEX(CHI_TIET_LOAI_KH!$A:$A,MATCH(P218,CHI_TIET_LOAI_KH!$B:$B,0)),"")</f>
        <v/>
      </c>
      <c r="P218" s="50"/>
      <c r="Q218" s="58" t="str">
        <f>IF(ISNUMBER(MATCH(R218,NGHE_NGHIEP!$B:$B,0)),INDEX(NGHE_NGHIEP!$A:$A,MATCH(R218,NGHE_NGHIEP!$B:$B,0)),"")</f>
        <v/>
      </c>
      <c r="R218" s="50"/>
      <c r="S218" s="58" t="str">
        <f>IF(ISNUMBER(MATCH(T218,LOAI_ID!$B:$B,0)),INDEX(LOAI_ID!$A:$A,MATCH(T218,LOAI_ID!$B:$B,0)),"")</f>
        <v/>
      </c>
      <c r="T218" s="16"/>
      <c r="U218" s="48"/>
      <c r="V218" s="48"/>
      <c r="W218" s="17"/>
      <c r="X218" s="17"/>
      <c r="Y218" s="15"/>
      <c r="Z218" s="15"/>
      <c r="AA218" s="59" t="str">
        <f>IFERROR(INDEX(NOI_CAP!$B:$B,MATCH(Z218,NOI_CAP!$A:$A,0)),"")</f>
        <v/>
      </c>
      <c r="AB218" s="58" t="str">
        <f>IF(ISNUMBER(MATCH(AC218,LOAI_DIA_CHI!$B:$B,0)),INDEX(LOAI_DIA_CHI!$A:$A,MATCH(AC218,LOAI_DIA_CHI!$B:$B,0)),"")</f>
        <v/>
      </c>
      <c r="AC218" s="16"/>
      <c r="AD218" s="58" t="str">
        <f>IF(ISNUMBER(MATCH(AE218,QUOC_GIA!$B:$B,0)),INDEX(QUOC_GIA!$A:$A,MATCH(AE218,QUOC_GIA!$B:$B,0)),"")</f>
        <v/>
      </c>
      <c r="AE218" s="16"/>
      <c r="AF218" s="48"/>
      <c r="AG218" s="59" t="str">
        <f>IFERROR(INDEX(TINH_TP!$B:$B,MATCH(AF218,TINH_TP!$A:$A,0)),"")</f>
        <v/>
      </c>
      <c r="AH218" s="50"/>
      <c r="AI218" s="59" t="str">
        <f>IF(OR(AF218="",AH218=""),"",IF(COUNTIFS(PHUONG_XA!$A$2:$A$3323,AH218,PHUONG_XA!$C$2:$C$3323,AF218)=0,"",INDEX(PHUONG_XA!$B$2:$B$3323,SUMPRODUCT((PHUONG_XA!$A$2:$A$3323&amp;""=AH218&amp;"")*(PHUONG_XA!$C$2:$C$3323&amp;""=AF218&amp;"")*(ROW(PHUONG_XA!$A$2:$A$3323)-ROW(PHUONG_XA!$A$2)+1)))))</f>
        <v/>
      </c>
      <c r="AJ218" s="14"/>
      <c r="AK218" s="14"/>
      <c r="AL218" s="57" t="str">
        <f t="shared" si="4"/>
        <v/>
      </c>
      <c r="AM218" s="14"/>
      <c r="AN218" s="15"/>
      <c r="AO218" s="15"/>
      <c r="AP218" s="48"/>
      <c r="AQ218" s="15"/>
      <c r="AR218" s="15"/>
      <c r="AS218" s="15"/>
      <c r="AT218" s="60" t="str">
        <f>IF(ISNUMBER(MATCH(AU218,LOAI_THE!$B:$B,0)),INDEX(LOAI_THE!$A:$A,MATCH(AU218,LOAI_THE!$B:$B,0)),"")</f>
        <v/>
      </c>
      <c r="AU218" s="48"/>
      <c r="AV218" s="15"/>
      <c r="AW218" s="15"/>
      <c r="AX218" s="15"/>
      <c r="AY218" s="48"/>
    </row>
    <row r="219" spans="1:51" x14ac:dyDescent="0.3">
      <c r="A219" s="13" t="s">
        <v>488</v>
      </c>
      <c r="B219" s="48"/>
      <c r="C219" s="48"/>
      <c r="D219" s="48"/>
      <c r="E219" s="48"/>
      <c r="F219" s="48"/>
      <c r="G219" s="58" t="str">
        <f>IF(ISNUMBER(MATCH(H219,GIOI_TINH!$B:$B,0)),INDEX(GIOI_TINH!$A:$A,MATCH(H219,GIOI_TINH!$B:$B,0)),"")</f>
        <v/>
      </c>
      <c r="H219" s="15"/>
      <c r="I219" s="15"/>
      <c r="J219" s="58" t="str">
        <f>IF(ISNUMBER(MATCH(K219,QUOC_GIA!$B:$B,0)),INDEX(QUOC_GIA!$A:$A,MATCH(K219,QUOC_GIA!$B:$B,0)),"")</f>
        <v/>
      </c>
      <c r="K219" s="50"/>
      <c r="L219" s="15"/>
      <c r="M219" s="58" t="str">
        <f>IF(ISNUMBER(MATCH(N219,LOAI_THUE!$B:$B,0)),INDEX(LOAI_THUE!$A:$A,MATCH(N219,LOAI_THUE!$B:$B,0)),"")</f>
        <v/>
      </c>
      <c r="N219" s="50"/>
      <c r="O219" s="58" t="str">
        <f>IF(ISNUMBER(MATCH(P219,CHI_TIET_LOAI_KH!$B:$B,0)),INDEX(CHI_TIET_LOAI_KH!$A:$A,MATCH(P219,CHI_TIET_LOAI_KH!$B:$B,0)),"")</f>
        <v/>
      </c>
      <c r="P219" s="50"/>
      <c r="Q219" s="58" t="str">
        <f>IF(ISNUMBER(MATCH(R219,NGHE_NGHIEP!$B:$B,0)),INDEX(NGHE_NGHIEP!$A:$A,MATCH(R219,NGHE_NGHIEP!$B:$B,0)),"")</f>
        <v/>
      </c>
      <c r="R219" s="50"/>
      <c r="S219" s="58" t="str">
        <f>IF(ISNUMBER(MATCH(T219,LOAI_ID!$B:$B,0)),INDEX(LOAI_ID!$A:$A,MATCH(T219,LOAI_ID!$B:$B,0)),"")</f>
        <v/>
      </c>
      <c r="T219" s="16"/>
      <c r="U219" s="48"/>
      <c r="V219" s="48"/>
      <c r="W219" s="17"/>
      <c r="X219" s="17"/>
      <c r="Y219" s="15"/>
      <c r="Z219" s="15"/>
      <c r="AA219" s="59" t="str">
        <f>IFERROR(INDEX(NOI_CAP!$B:$B,MATCH(Z219,NOI_CAP!$A:$A,0)),"")</f>
        <v/>
      </c>
      <c r="AB219" s="58" t="str">
        <f>IF(ISNUMBER(MATCH(AC219,LOAI_DIA_CHI!$B:$B,0)),INDEX(LOAI_DIA_CHI!$A:$A,MATCH(AC219,LOAI_DIA_CHI!$B:$B,0)),"")</f>
        <v/>
      </c>
      <c r="AC219" s="16"/>
      <c r="AD219" s="58" t="str">
        <f>IF(ISNUMBER(MATCH(AE219,QUOC_GIA!$B:$B,0)),INDEX(QUOC_GIA!$A:$A,MATCH(AE219,QUOC_GIA!$B:$B,0)),"")</f>
        <v/>
      </c>
      <c r="AE219" s="16"/>
      <c r="AF219" s="48"/>
      <c r="AG219" s="59" t="str">
        <f>IFERROR(INDEX(TINH_TP!$B:$B,MATCH(AF219,TINH_TP!$A:$A,0)),"")</f>
        <v/>
      </c>
      <c r="AH219" s="50"/>
      <c r="AI219" s="59" t="str">
        <f>IF(OR(AF219="",AH219=""),"",IF(COUNTIFS(PHUONG_XA!$A$2:$A$3323,AH219,PHUONG_XA!$C$2:$C$3323,AF219)=0,"",INDEX(PHUONG_XA!$B$2:$B$3323,SUMPRODUCT((PHUONG_XA!$A$2:$A$3323&amp;""=AH219&amp;"")*(PHUONG_XA!$C$2:$C$3323&amp;""=AF219&amp;"")*(ROW(PHUONG_XA!$A$2:$A$3323)-ROW(PHUONG_XA!$A$2)+1)))))</f>
        <v/>
      </c>
      <c r="AJ219" s="14"/>
      <c r="AK219" s="14"/>
      <c r="AL219" s="57" t="str">
        <f t="shared" si="4"/>
        <v/>
      </c>
      <c r="AM219" s="14"/>
      <c r="AN219" s="15"/>
      <c r="AO219" s="15"/>
      <c r="AP219" s="48"/>
      <c r="AQ219" s="15"/>
      <c r="AR219" s="15"/>
      <c r="AS219" s="15"/>
      <c r="AT219" s="60" t="str">
        <f>IF(ISNUMBER(MATCH(AU219,LOAI_THE!$B:$B,0)),INDEX(LOAI_THE!$A:$A,MATCH(AU219,LOAI_THE!$B:$B,0)),"")</f>
        <v/>
      </c>
      <c r="AU219" s="48"/>
      <c r="AV219" s="15"/>
      <c r="AW219" s="15"/>
      <c r="AX219" s="15"/>
      <c r="AY219" s="48"/>
    </row>
    <row r="220" spans="1:51" x14ac:dyDescent="0.3">
      <c r="A220" s="13" t="s">
        <v>490</v>
      </c>
      <c r="B220" s="48"/>
      <c r="C220" s="48"/>
      <c r="D220" s="48"/>
      <c r="E220" s="48"/>
      <c r="F220" s="48"/>
      <c r="G220" s="58" t="str">
        <f>IF(ISNUMBER(MATCH(H220,GIOI_TINH!$B:$B,0)),INDEX(GIOI_TINH!$A:$A,MATCH(H220,GIOI_TINH!$B:$B,0)),"")</f>
        <v/>
      </c>
      <c r="H220" s="15"/>
      <c r="I220" s="15"/>
      <c r="J220" s="58" t="str">
        <f>IF(ISNUMBER(MATCH(K220,QUOC_GIA!$B:$B,0)),INDEX(QUOC_GIA!$A:$A,MATCH(K220,QUOC_GIA!$B:$B,0)),"")</f>
        <v/>
      </c>
      <c r="K220" s="50"/>
      <c r="L220" s="15"/>
      <c r="M220" s="58" t="str">
        <f>IF(ISNUMBER(MATCH(N220,LOAI_THUE!$B:$B,0)),INDEX(LOAI_THUE!$A:$A,MATCH(N220,LOAI_THUE!$B:$B,0)),"")</f>
        <v/>
      </c>
      <c r="N220" s="50"/>
      <c r="O220" s="58" t="str">
        <f>IF(ISNUMBER(MATCH(P220,CHI_TIET_LOAI_KH!$B:$B,0)),INDEX(CHI_TIET_LOAI_KH!$A:$A,MATCH(P220,CHI_TIET_LOAI_KH!$B:$B,0)),"")</f>
        <v/>
      </c>
      <c r="P220" s="50"/>
      <c r="Q220" s="58" t="str">
        <f>IF(ISNUMBER(MATCH(R220,NGHE_NGHIEP!$B:$B,0)),INDEX(NGHE_NGHIEP!$A:$A,MATCH(R220,NGHE_NGHIEP!$B:$B,0)),"")</f>
        <v/>
      </c>
      <c r="R220" s="50"/>
      <c r="S220" s="58" t="str">
        <f>IF(ISNUMBER(MATCH(T220,LOAI_ID!$B:$B,0)),INDEX(LOAI_ID!$A:$A,MATCH(T220,LOAI_ID!$B:$B,0)),"")</f>
        <v/>
      </c>
      <c r="T220" s="16"/>
      <c r="U220" s="48"/>
      <c r="V220" s="48"/>
      <c r="W220" s="17"/>
      <c r="X220" s="17"/>
      <c r="Y220" s="15"/>
      <c r="Z220" s="15"/>
      <c r="AA220" s="59" t="str">
        <f>IFERROR(INDEX(NOI_CAP!$B:$B,MATCH(Z220,NOI_CAP!$A:$A,0)),"")</f>
        <v/>
      </c>
      <c r="AB220" s="58" t="str">
        <f>IF(ISNUMBER(MATCH(AC220,LOAI_DIA_CHI!$B:$B,0)),INDEX(LOAI_DIA_CHI!$A:$A,MATCH(AC220,LOAI_DIA_CHI!$B:$B,0)),"")</f>
        <v/>
      </c>
      <c r="AC220" s="16"/>
      <c r="AD220" s="58" t="str">
        <f>IF(ISNUMBER(MATCH(AE220,QUOC_GIA!$B:$B,0)),INDEX(QUOC_GIA!$A:$A,MATCH(AE220,QUOC_GIA!$B:$B,0)),"")</f>
        <v/>
      </c>
      <c r="AE220" s="16"/>
      <c r="AF220" s="48"/>
      <c r="AG220" s="59" t="str">
        <f>IFERROR(INDEX(TINH_TP!$B:$B,MATCH(AF220,TINH_TP!$A:$A,0)),"")</f>
        <v/>
      </c>
      <c r="AH220" s="50"/>
      <c r="AI220" s="59" t="str">
        <f>IF(OR(AF220="",AH220=""),"",IF(COUNTIFS(PHUONG_XA!$A$2:$A$3323,AH220,PHUONG_XA!$C$2:$C$3323,AF220)=0,"",INDEX(PHUONG_XA!$B$2:$B$3323,SUMPRODUCT((PHUONG_XA!$A$2:$A$3323&amp;""=AH220&amp;"")*(PHUONG_XA!$C$2:$C$3323&amp;""=AF220&amp;"")*(ROW(PHUONG_XA!$A$2:$A$3323)-ROW(PHUONG_XA!$A$2)+1)))))</f>
        <v/>
      </c>
      <c r="AJ220" s="14"/>
      <c r="AK220" s="14"/>
      <c r="AL220" s="57" t="str">
        <f t="shared" si="4"/>
        <v/>
      </c>
      <c r="AM220" s="14"/>
      <c r="AN220" s="15"/>
      <c r="AO220" s="15"/>
      <c r="AP220" s="48"/>
      <c r="AQ220" s="15"/>
      <c r="AR220" s="15"/>
      <c r="AS220" s="15"/>
      <c r="AT220" s="60" t="str">
        <f>IF(ISNUMBER(MATCH(AU220,LOAI_THE!$B:$B,0)),INDEX(LOAI_THE!$A:$A,MATCH(AU220,LOAI_THE!$B:$B,0)),"")</f>
        <v/>
      </c>
      <c r="AU220" s="48"/>
      <c r="AV220" s="15"/>
      <c r="AW220" s="15"/>
      <c r="AX220" s="15"/>
      <c r="AY220" s="48"/>
    </row>
    <row r="221" spans="1:51" x14ac:dyDescent="0.3">
      <c r="A221" s="13" t="s">
        <v>492</v>
      </c>
      <c r="B221" s="48"/>
      <c r="C221" s="48"/>
      <c r="D221" s="48"/>
      <c r="E221" s="48"/>
      <c r="F221" s="48"/>
      <c r="G221" s="58" t="str">
        <f>IF(ISNUMBER(MATCH(H221,GIOI_TINH!$B:$B,0)),INDEX(GIOI_TINH!$A:$A,MATCH(H221,GIOI_TINH!$B:$B,0)),"")</f>
        <v/>
      </c>
      <c r="H221" s="15"/>
      <c r="I221" s="15"/>
      <c r="J221" s="58" t="str">
        <f>IF(ISNUMBER(MATCH(K221,QUOC_GIA!$B:$B,0)),INDEX(QUOC_GIA!$A:$A,MATCH(K221,QUOC_GIA!$B:$B,0)),"")</f>
        <v/>
      </c>
      <c r="K221" s="50"/>
      <c r="L221" s="15"/>
      <c r="M221" s="58" t="str">
        <f>IF(ISNUMBER(MATCH(N221,LOAI_THUE!$B:$B,0)),INDEX(LOAI_THUE!$A:$A,MATCH(N221,LOAI_THUE!$B:$B,0)),"")</f>
        <v/>
      </c>
      <c r="N221" s="50"/>
      <c r="O221" s="58" t="str">
        <f>IF(ISNUMBER(MATCH(P221,CHI_TIET_LOAI_KH!$B:$B,0)),INDEX(CHI_TIET_LOAI_KH!$A:$A,MATCH(P221,CHI_TIET_LOAI_KH!$B:$B,0)),"")</f>
        <v/>
      </c>
      <c r="P221" s="50"/>
      <c r="Q221" s="58" t="str">
        <f>IF(ISNUMBER(MATCH(R221,NGHE_NGHIEP!$B:$B,0)),INDEX(NGHE_NGHIEP!$A:$A,MATCH(R221,NGHE_NGHIEP!$B:$B,0)),"")</f>
        <v/>
      </c>
      <c r="R221" s="50"/>
      <c r="S221" s="58" t="str">
        <f>IF(ISNUMBER(MATCH(T221,LOAI_ID!$B:$B,0)),INDEX(LOAI_ID!$A:$A,MATCH(T221,LOAI_ID!$B:$B,0)),"")</f>
        <v/>
      </c>
      <c r="T221" s="16"/>
      <c r="U221" s="48"/>
      <c r="V221" s="48"/>
      <c r="W221" s="17"/>
      <c r="X221" s="17"/>
      <c r="Y221" s="15"/>
      <c r="Z221" s="15"/>
      <c r="AA221" s="59" t="str">
        <f>IFERROR(INDEX(NOI_CAP!$B:$B,MATCH(Z221,NOI_CAP!$A:$A,0)),"")</f>
        <v/>
      </c>
      <c r="AB221" s="58" t="str">
        <f>IF(ISNUMBER(MATCH(AC221,LOAI_DIA_CHI!$B:$B,0)),INDEX(LOAI_DIA_CHI!$A:$A,MATCH(AC221,LOAI_DIA_CHI!$B:$B,0)),"")</f>
        <v/>
      </c>
      <c r="AC221" s="16"/>
      <c r="AD221" s="58" t="str">
        <f>IF(ISNUMBER(MATCH(AE221,QUOC_GIA!$B:$B,0)),INDEX(QUOC_GIA!$A:$A,MATCH(AE221,QUOC_GIA!$B:$B,0)),"")</f>
        <v/>
      </c>
      <c r="AE221" s="16"/>
      <c r="AF221" s="48"/>
      <c r="AG221" s="59" t="str">
        <f>IFERROR(INDEX(TINH_TP!$B:$B,MATCH(AF221,TINH_TP!$A:$A,0)),"")</f>
        <v/>
      </c>
      <c r="AH221" s="50"/>
      <c r="AI221" s="59" t="str">
        <f>IF(OR(AF221="",AH221=""),"",IF(COUNTIFS(PHUONG_XA!$A$2:$A$3323,AH221,PHUONG_XA!$C$2:$C$3323,AF221)=0,"",INDEX(PHUONG_XA!$B$2:$B$3323,SUMPRODUCT((PHUONG_XA!$A$2:$A$3323&amp;""=AH221&amp;"")*(PHUONG_XA!$C$2:$C$3323&amp;""=AF221&amp;"")*(ROW(PHUONG_XA!$A$2:$A$3323)-ROW(PHUONG_XA!$A$2)+1)))))</f>
        <v/>
      </c>
      <c r="AJ221" s="14"/>
      <c r="AK221" s="14"/>
      <c r="AL221" s="57" t="str">
        <f t="shared" si="4"/>
        <v/>
      </c>
      <c r="AM221" s="14"/>
      <c r="AN221" s="15"/>
      <c r="AO221" s="15"/>
      <c r="AP221" s="48"/>
      <c r="AQ221" s="15"/>
      <c r="AR221" s="15"/>
      <c r="AS221" s="15"/>
      <c r="AT221" s="60" t="str">
        <f>IF(ISNUMBER(MATCH(AU221,LOAI_THE!$B:$B,0)),INDEX(LOAI_THE!$A:$A,MATCH(AU221,LOAI_THE!$B:$B,0)),"")</f>
        <v/>
      </c>
      <c r="AU221" s="48"/>
      <c r="AV221" s="15"/>
      <c r="AW221" s="15"/>
      <c r="AX221" s="15"/>
      <c r="AY221" s="48"/>
    </row>
    <row r="222" spans="1:51" x14ac:dyDescent="0.3">
      <c r="A222" s="13" t="s">
        <v>494</v>
      </c>
      <c r="B222" s="48"/>
      <c r="C222" s="48"/>
      <c r="D222" s="48"/>
      <c r="E222" s="48"/>
      <c r="F222" s="48"/>
      <c r="G222" s="58" t="str">
        <f>IF(ISNUMBER(MATCH(H222,GIOI_TINH!$B:$B,0)),INDEX(GIOI_TINH!$A:$A,MATCH(H222,GIOI_TINH!$B:$B,0)),"")</f>
        <v/>
      </c>
      <c r="H222" s="15"/>
      <c r="I222" s="15"/>
      <c r="J222" s="58" t="str">
        <f>IF(ISNUMBER(MATCH(K222,QUOC_GIA!$B:$B,0)),INDEX(QUOC_GIA!$A:$A,MATCH(K222,QUOC_GIA!$B:$B,0)),"")</f>
        <v/>
      </c>
      <c r="K222" s="50"/>
      <c r="L222" s="15"/>
      <c r="M222" s="58" t="str">
        <f>IF(ISNUMBER(MATCH(N222,LOAI_THUE!$B:$B,0)),INDEX(LOAI_THUE!$A:$A,MATCH(N222,LOAI_THUE!$B:$B,0)),"")</f>
        <v/>
      </c>
      <c r="N222" s="50"/>
      <c r="O222" s="58" t="str">
        <f>IF(ISNUMBER(MATCH(P222,CHI_TIET_LOAI_KH!$B:$B,0)),INDEX(CHI_TIET_LOAI_KH!$A:$A,MATCH(P222,CHI_TIET_LOAI_KH!$B:$B,0)),"")</f>
        <v/>
      </c>
      <c r="P222" s="50"/>
      <c r="Q222" s="58" t="str">
        <f>IF(ISNUMBER(MATCH(R222,NGHE_NGHIEP!$B:$B,0)),INDEX(NGHE_NGHIEP!$A:$A,MATCH(R222,NGHE_NGHIEP!$B:$B,0)),"")</f>
        <v/>
      </c>
      <c r="R222" s="50"/>
      <c r="S222" s="58" t="str">
        <f>IF(ISNUMBER(MATCH(T222,LOAI_ID!$B:$B,0)),INDEX(LOAI_ID!$A:$A,MATCH(T222,LOAI_ID!$B:$B,0)),"")</f>
        <v/>
      </c>
      <c r="T222" s="16"/>
      <c r="U222" s="48"/>
      <c r="V222" s="48"/>
      <c r="W222" s="17"/>
      <c r="X222" s="17"/>
      <c r="Y222" s="15"/>
      <c r="Z222" s="15"/>
      <c r="AA222" s="59" t="str">
        <f>IFERROR(INDEX(NOI_CAP!$B:$B,MATCH(Z222,NOI_CAP!$A:$A,0)),"")</f>
        <v/>
      </c>
      <c r="AB222" s="58" t="str">
        <f>IF(ISNUMBER(MATCH(AC222,LOAI_DIA_CHI!$B:$B,0)),INDEX(LOAI_DIA_CHI!$A:$A,MATCH(AC222,LOAI_DIA_CHI!$B:$B,0)),"")</f>
        <v/>
      </c>
      <c r="AC222" s="16"/>
      <c r="AD222" s="58" t="str">
        <f>IF(ISNUMBER(MATCH(AE222,QUOC_GIA!$B:$B,0)),INDEX(QUOC_GIA!$A:$A,MATCH(AE222,QUOC_GIA!$B:$B,0)),"")</f>
        <v/>
      </c>
      <c r="AE222" s="16"/>
      <c r="AF222" s="48"/>
      <c r="AG222" s="59" t="str">
        <f>IFERROR(INDEX(TINH_TP!$B:$B,MATCH(AF222,TINH_TP!$A:$A,0)),"")</f>
        <v/>
      </c>
      <c r="AH222" s="50"/>
      <c r="AI222" s="59" t="str">
        <f>IF(OR(AF222="",AH222=""),"",IF(COUNTIFS(PHUONG_XA!$A$2:$A$3323,AH222,PHUONG_XA!$C$2:$C$3323,AF222)=0,"",INDEX(PHUONG_XA!$B$2:$B$3323,SUMPRODUCT((PHUONG_XA!$A$2:$A$3323&amp;""=AH222&amp;"")*(PHUONG_XA!$C$2:$C$3323&amp;""=AF222&amp;"")*(ROW(PHUONG_XA!$A$2:$A$3323)-ROW(PHUONG_XA!$A$2)+1)))))</f>
        <v/>
      </c>
      <c r="AJ222" s="14"/>
      <c r="AK222" s="14"/>
      <c r="AL222" s="57" t="str">
        <f t="shared" si="4"/>
        <v/>
      </c>
      <c r="AM222" s="14"/>
      <c r="AN222" s="15"/>
      <c r="AO222" s="15"/>
      <c r="AP222" s="48"/>
      <c r="AQ222" s="15"/>
      <c r="AR222" s="15"/>
      <c r="AS222" s="15"/>
      <c r="AT222" s="60" t="str">
        <f>IF(ISNUMBER(MATCH(AU222,LOAI_THE!$B:$B,0)),INDEX(LOAI_THE!$A:$A,MATCH(AU222,LOAI_THE!$B:$B,0)),"")</f>
        <v/>
      </c>
      <c r="AU222" s="48"/>
      <c r="AV222" s="15"/>
      <c r="AW222" s="15"/>
      <c r="AX222" s="15"/>
      <c r="AY222" s="48"/>
    </row>
    <row r="223" spans="1:51" x14ac:dyDescent="0.3">
      <c r="A223" s="13" t="s">
        <v>496</v>
      </c>
      <c r="B223" s="48"/>
      <c r="C223" s="48"/>
      <c r="D223" s="48"/>
      <c r="E223" s="48"/>
      <c r="F223" s="48"/>
      <c r="G223" s="58" t="str">
        <f>IF(ISNUMBER(MATCH(H223,GIOI_TINH!$B:$B,0)),INDEX(GIOI_TINH!$A:$A,MATCH(H223,GIOI_TINH!$B:$B,0)),"")</f>
        <v/>
      </c>
      <c r="H223" s="15"/>
      <c r="I223" s="15"/>
      <c r="J223" s="58" t="str">
        <f>IF(ISNUMBER(MATCH(K223,QUOC_GIA!$B:$B,0)),INDEX(QUOC_GIA!$A:$A,MATCH(K223,QUOC_GIA!$B:$B,0)),"")</f>
        <v/>
      </c>
      <c r="K223" s="50"/>
      <c r="L223" s="15"/>
      <c r="M223" s="58" t="str">
        <f>IF(ISNUMBER(MATCH(N223,LOAI_THUE!$B:$B,0)),INDEX(LOAI_THUE!$A:$A,MATCH(N223,LOAI_THUE!$B:$B,0)),"")</f>
        <v/>
      </c>
      <c r="N223" s="50"/>
      <c r="O223" s="58" t="str">
        <f>IF(ISNUMBER(MATCH(P223,CHI_TIET_LOAI_KH!$B:$B,0)),INDEX(CHI_TIET_LOAI_KH!$A:$A,MATCH(P223,CHI_TIET_LOAI_KH!$B:$B,0)),"")</f>
        <v/>
      </c>
      <c r="P223" s="50"/>
      <c r="Q223" s="58" t="str">
        <f>IF(ISNUMBER(MATCH(R223,NGHE_NGHIEP!$B:$B,0)),INDEX(NGHE_NGHIEP!$A:$A,MATCH(R223,NGHE_NGHIEP!$B:$B,0)),"")</f>
        <v/>
      </c>
      <c r="R223" s="50"/>
      <c r="S223" s="58" t="str">
        <f>IF(ISNUMBER(MATCH(T223,LOAI_ID!$B:$B,0)),INDEX(LOAI_ID!$A:$A,MATCH(T223,LOAI_ID!$B:$B,0)),"")</f>
        <v/>
      </c>
      <c r="T223" s="16"/>
      <c r="U223" s="48"/>
      <c r="V223" s="48"/>
      <c r="W223" s="17"/>
      <c r="X223" s="17"/>
      <c r="Y223" s="15"/>
      <c r="Z223" s="15"/>
      <c r="AA223" s="59" t="str">
        <f>IFERROR(INDEX(NOI_CAP!$B:$B,MATCH(Z223,NOI_CAP!$A:$A,0)),"")</f>
        <v/>
      </c>
      <c r="AB223" s="58" t="str">
        <f>IF(ISNUMBER(MATCH(AC223,LOAI_DIA_CHI!$B:$B,0)),INDEX(LOAI_DIA_CHI!$A:$A,MATCH(AC223,LOAI_DIA_CHI!$B:$B,0)),"")</f>
        <v/>
      </c>
      <c r="AC223" s="16"/>
      <c r="AD223" s="58" t="str">
        <f>IF(ISNUMBER(MATCH(AE223,QUOC_GIA!$B:$B,0)),INDEX(QUOC_GIA!$A:$A,MATCH(AE223,QUOC_GIA!$B:$B,0)),"")</f>
        <v/>
      </c>
      <c r="AE223" s="16"/>
      <c r="AF223" s="48"/>
      <c r="AG223" s="59" t="str">
        <f>IFERROR(INDEX(TINH_TP!$B:$B,MATCH(AF223,TINH_TP!$A:$A,0)),"")</f>
        <v/>
      </c>
      <c r="AH223" s="50"/>
      <c r="AI223" s="59" t="str">
        <f>IF(OR(AF223="",AH223=""),"",IF(COUNTIFS(PHUONG_XA!$A$2:$A$3323,AH223,PHUONG_XA!$C$2:$C$3323,AF223)=0,"",INDEX(PHUONG_XA!$B$2:$B$3323,SUMPRODUCT((PHUONG_XA!$A$2:$A$3323&amp;""=AH223&amp;"")*(PHUONG_XA!$C$2:$C$3323&amp;""=AF223&amp;"")*(ROW(PHUONG_XA!$A$2:$A$3323)-ROW(PHUONG_XA!$A$2)+1)))))</f>
        <v/>
      </c>
      <c r="AJ223" s="14"/>
      <c r="AK223" s="14"/>
      <c r="AL223" s="57" t="str">
        <f t="shared" si="4"/>
        <v/>
      </c>
      <c r="AM223" s="14"/>
      <c r="AN223" s="15"/>
      <c r="AO223" s="15"/>
      <c r="AP223" s="48"/>
      <c r="AQ223" s="15"/>
      <c r="AR223" s="15"/>
      <c r="AS223" s="15"/>
      <c r="AT223" s="60" t="str">
        <f>IF(ISNUMBER(MATCH(AU223,LOAI_THE!$B:$B,0)),INDEX(LOAI_THE!$A:$A,MATCH(AU223,LOAI_THE!$B:$B,0)),"")</f>
        <v/>
      </c>
      <c r="AU223" s="48"/>
      <c r="AV223" s="15"/>
      <c r="AW223" s="15"/>
      <c r="AX223" s="15"/>
      <c r="AY223" s="48"/>
    </row>
    <row r="224" spans="1:51" x14ac:dyDescent="0.3">
      <c r="A224" s="13" t="s">
        <v>498</v>
      </c>
      <c r="B224" s="48"/>
      <c r="C224" s="48"/>
      <c r="D224" s="48"/>
      <c r="E224" s="48"/>
      <c r="F224" s="48"/>
      <c r="G224" s="58" t="str">
        <f>IF(ISNUMBER(MATCH(H224,GIOI_TINH!$B:$B,0)),INDEX(GIOI_TINH!$A:$A,MATCH(H224,GIOI_TINH!$B:$B,0)),"")</f>
        <v/>
      </c>
      <c r="H224" s="15"/>
      <c r="I224" s="15"/>
      <c r="J224" s="58" t="str">
        <f>IF(ISNUMBER(MATCH(K224,QUOC_GIA!$B:$B,0)),INDEX(QUOC_GIA!$A:$A,MATCH(K224,QUOC_GIA!$B:$B,0)),"")</f>
        <v/>
      </c>
      <c r="K224" s="50"/>
      <c r="L224" s="15"/>
      <c r="M224" s="58" t="str">
        <f>IF(ISNUMBER(MATCH(N224,LOAI_THUE!$B:$B,0)),INDEX(LOAI_THUE!$A:$A,MATCH(N224,LOAI_THUE!$B:$B,0)),"")</f>
        <v/>
      </c>
      <c r="N224" s="50"/>
      <c r="O224" s="58" t="str">
        <f>IF(ISNUMBER(MATCH(P224,CHI_TIET_LOAI_KH!$B:$B,0)),INDEX(CHI_TIET_LOAI_KH!$A:$A,MATCH(P224,CHI_TIET_LOAI_KH!$B:$B,0)),"")</f>
        <v/>
      </c>
      <c r="P224" s="50"/>
      <c r="Q224" s="58" t="str">
        <f>IF(ISNUMBER(MATCH(R224,NGHE_NGHIEP!$B:$B,0)),INDEX(NGHE_NGHIEP!$A:$A,MATCH(R224,NGHE_NGHIEP!$B:$B,0)),"")</f>
        <v/>
      </c>
      <c r="R224" s="50"/>
      <c r="S224" s="58" t="str">
        <f>IF(ISNUMBER(MATCH(T224,LOAI_ID!$B:$B,0)),INDEX(LOAI_ID!$A:$A,MATCH(T224,LOAI_ID!$B:$B,0)),"")</f>
        <v/>
      </c>
      <c r="T224" s="16"/>
      <c r="U224" s="48"/>
      <c r="V224" s="48"/>
      <c r="W224" s="17"/>
      <c r="X224" s="17"/>
      <c r="Y224" s="15"/>
      <c r="Z224" s="15"/>
      <c r="AA224" s="59" t="str">
        <f>IFERROR(INDEX(NOI_CAP!$B:$B,MATCH(Z224,NOI_CAP!$A:$A,0)),"")</f>
        <v/>
      </c>
      <c r="AB224" s="58" t="str">
        <f>IF(ISNUMBER(MATCH(AC224,LOAI_DIA_CHI!$B:$B,0)),INDEX(LOAI_DIA_CHI!$A:$A,MATCH(AC224,LOAI_DIA_CHI!$B:$B,0)),"")</f>
        <v/>
      </c>
      <c r="AC224" s="16"/>
      <c r="AD224" s="58" t="str">
        <f>IF(ISNUMBER(MATCH(AE224,QUOC_GIA!$B:$B,0)),INDEX(QUOC_GIA!$A:$A,MATCH(AE224,QUOC_GIA!$B:$B,0)),"")</f>
        <v/>
      </c>
      <c r="AE224" s="16"/>
      <c r="AF224" s="48"/>
      <c r="AG224" s="59" t="str">
        <f>IFERROR(INDEX(TINH_TP!$B:$B,MATCH(AF224,TINH_TP!$A:$A,0)),"")</f>
        <v/>
      </c>
      <c r="AH224" s="50"/>
      <c r="AI224" s="59" t="str">
        <f>IF(OR(AF224="",AH224=""),"",IF(COUNTIFS(PHUONG_XA!$A$2:$A$3323,AH224,PHUONG_XA!$C$2:$C$3323,AF224)=0,"",INDEX(PHUONG_XA!$B$2:$B$3323,SUMPRODUCT((PHUONG_XA!$A$2:$A$3323&amp;""=AH224&amp;"")*(PHUONG_XA!$C$2:$C$3323&amp;""=AF224&amp;"")*(ROW(PHUONG_XA!$A$2:$A$3323)-ROW(PHUONG_XA!$A$2)+1)))))</f>
        <v/>
      </c>
      <c r="AJ224" s="14"/>
      <c r="AK224" s="14"/>
      <c r="AL224" s="57" t="str">
        <f t="shared" si="4"/>
        <v/>
      </c>
      <c r="AM224" s="14"/>
      <c r="AN224" s="15"/>
      <c r="AO224" s="15"/>
      <c r="AP224" s="48"/>
      <c r="AQ224" s="15"/>
      <c r="AR224" s="15"/>
      <c r="AS224" s="15"/>
      <c r="AT224" s="60" t="str">
        <f>IF(ISNUMBER(MATCH(AU224,LOAI_THE!$B:$B,0)),INDEX(LOAI_THE!$A:$A,MATCH(AU224,LOAI_THE!$B:$B,0)),"")</f>
        <v/>
      </c>
      <c r="AU224" s="48"/>
      <c r="AV224" s="15"/>
      <c r="AW224" s="15"/>
      <c r="AX224" s="15"/>
      <c r="AY224" s="48"/>
    </row>
    <row r="225" spans="1:51" x14ac:dyDescent="0.3">
      <c r="A225" s="13" t="s">
        <v>500</v>
      </c>
      <c r="B225" s="48"/>
      <c r="C225" s="48"/>
      <c r="D225" s="48"/>
      <c r="E225" s="48"/>
      <c r="F225" s="48"/>
      <c r="G225" s="58" t="str">
        <f>IF(ISNUMBER(MATCH(H225,GIOI_TINH!$B:$B,0)),INDEX(GIOI_TINH!$A:$A,MATCH(H225,GIOI_TINH!$B:$B,0)),"")</f>
        <v/>
      </c>
      <c r="H225" s="15"/>
      <c r="I225" s="15"/>
      <c r="J225" s="58" t="str">
        <f>IF(ISNUMBER(MATCH(K225,QUOC_GIA!$B:$B,0)),INDEX(QUOC_GIA!$A:$A,MATCH(K225,QUOC_GIA!$B:$B,0)),"")</f>
        <v/>
      </c>
      <c r="K225" s="50"/>
      <c r="L225" s="15"/>
      <c r="M225" s="58" t="str">
        <f>IF(ISNUMBER(MATCH(N225,LOAI_THUE!$B:$B,0)),INDEX(LOAI_THUE!$A:$A,MATCH(N225,LOAI_THUE!$B:$B,0)),"")</f>
        <v/>
      </c>
      <c r="N225" s="50"/>
      <c r="O225" s="58" t="str">
        <f>IF(ISNUMBER(MATCH(P225,CHI_TIET_LOAI_KH!$B:$B,0)),INDEX(CHI_TIET_LOAI_KH!$A:$A,MATCH(P225,CHI_TIET_LOAI_KH!$B:$B,0)),"")</f>
        <v/>
      </c>
      <c r="P225" s="50"/>
      <c r="Q225" s="58" t="str">
        <f>IF(ISNUMBER(MATCH(R225,NGHE_NGHIEP!$B:$B,0)),INDEX(NGHE_NGHIEP!$A:$A,MATCH(R225,NGHE_NGHIEP!$B:$B,0)),"")</f>
        <v/>
      </c>
      <c r="R225" s="50"/>
      <c r="S225" s="58" t="str">
        <f>IF(ISNUMBER(MATCH(T225,LOAI_ID!$B:$B,0)),INDEX(LOAI_ID!$A:$A,MATCH(T225,LOAI_ID!$B:$B,0)),"")</f>
        <v/>
      </c>
      <c r="T225" s="16"/>
      <c r="U225" s="48"/>
      <c r="V225" s="48"/>
      <c r="W225" s="17"/>
      <c r="X225" s="17"/>
      <c r="Y225" s="15"/>
      <c r="Z225" s="15"/>
      <c r="AA225" s="59" t="str">
        <f>IFERROR(INDEX(NOI_CAP!$B:$B,MATCH(Z225,NOI_CAP!$A:$A,0)),"")</f>
        <v/>
      </c>
      <c r="AB225" s="58" t="str">
        <f>IF(ISNUMBER(MATCH(AC225,LOAI_DIA_CHI!$B:$B,0)),INDEX(LOAI_DIA_CHI!$A:$A,MATCH(AC225,LOAI_DIA_CHI!$B:$B,0)),"")</f>
        <v/>
      </c>
      <c r="AC225" s="16"/>
      <c r="AD225" s="58" t="str">
        <f>IF(ISNUMBER(MATCH(AE225,QUOC_GIA!$B:$B,0)),INDEX(QUOC_GIA!$A:$A,MATCH(AE225,QUOC_GIA!$B:$B,0)),"")</f>
        <v/>
      </c>
      <c r="AE225" s="16"/>
      <c r="AF225" s="48"/>
      <c r="AG225" s="59" t="str">
        <f>IFERROR(INDEX(TINH_TP!$B:$B,MATCH(AF225,TINH_TP!$A:$A,0)),"")</f>
        <v/>
      </c>
      <c r="AH225" s="50"/>
      <c r="AI225" s="59" t="str">
        <f>IF(OR(AF225="",AH225=""),"",IF(COUNTIFS(PHUONG_XA!$A$2:$A$3323,AH225,PHUONG_XA!$C$2:$C$3323,AF225)=0,"",INDEX(PHUONG_XA!$B$2:$B$3323,SUMPRODUCT((PHUONG_XA!$A$2:$A$3323&amp;""=AH225&amp;"")*(PHUONG_XA!$C$2:$C$3323&amp;""=AF225&amp;"")*(ROW(PHUONG_XA!$A$2:$A$3323)-ROW(PHUONG_XA!$A$2)+1)))))</f>
        <v/>
      </c>
      <c r="AJ225" s="14"/>
      <c r="AK225" s="14"/>
      <c r="AL225" s="57" t="str">
        <f t="shared" si="4"/>
        <v/>
      </c>
      <c r="AM225" s="14"/>
      <c r="AN225" s="15"/>
      <c r="AO225" s="15"/>
      <c r="AP225" s="48"/>
      <c r="AQ225" s="15"/>
      <c r="AR225" s="15"/>
      <c r="AS225" s="15"/>
      <c r="AT225" s="60" t="str">
        <f>IF(ISNUMBER(MATCH(AU225,LOAI_THE!$B:$B,0)),INDEX(LOAI_THE!$A:$A,MATCH(AU225,LOAI_THE!$B:$B,0)),"")</f>
        <v/>
      </c>
      <c r="AU225" s="48"/>
      <c r="AV225" s="15"/>
      <c r="AW225" s="15"/>
      <c r="AX225" s="15"/>
      <c r="AY225" s="48"/>
    </row>
    <row r="226" spans="1:51" x14ac:dyDescent="0.3">
      <c r="A226" s="13" t="s">
        <v>502</v>
      </c>
      <c r="B226" s="48"/>
      <c r="C226" s="48"/>
      <c r="D226" s="48"/>
      <c r="E226" s="48"/>
      <c r="F226" s="48"/>
      <c r="G226" s="58" t="str">
        <f>IF(ISNUMBER(MATCH(H226,GIOI_TINH!$B:$B,0)),INDEX(GIOI_TINH!$A:$A,MATCH(H226,GIOI_TINH!$B:$B,0)),"")</f>
        <v/>
      </c>
      <c r="H226" s="15"/>
      <c r="I226" s="15"/>
      <c r="J226" s="58" t="str">
        <f>IF(ISNUMBER(MATCH(K226,QUOC_GIA!$B:$B,0)),INDEX(QUOC_GIA!$A:$A,MATCH(K226,QUOC_GIA!$B:$B,0)),"")</f>
        <v/>
      </c>
      <c r="K226" s="50"/>
      <c r="L226" s="15"/>
      <c r="M226" s="58" t="str">
        <f>IF(ISNUMBER(MATCH(N226,LOAI_THUE!$B:$B,0)),INDEX(LOAI_THUE!$A:$A,MATCH(N226,LOAI_THUE!$B:$B,0)),"")</f>
        <v/>
      </c>
      <c r="N226" s="50"/>
      <c r="O226" s="58" t="str">
        <f>IF(ISNUMBER(MATCH(P226,CHI_TIET_LOAI_KH!$B:$B,0)),INDEX(CHI_TIET_LOAI_KH!$A:$A,MATCH(P226,CHI_TIET_LOAI_KH!$B:$B,0)),"")</f>
        <v/>
      </c>
      <c r="P226" s="50"/>
      <c r="Q226" s="58" t="str">
        <f>IF(ISNUMBER(MATCH(R226,NGHE_NGHIEP!$B:$B,0)),INDEX(NGHE_NGHIEP!$A:$A,MATCH(R226,NGHE_NGHIEP!$B:$B,0)),"")</f>
        <v/>
      </c>
      <c r="R226" s="50"/>
      <c r="S226" s="58" t="str">
        <f>IF(ISNUMBER(MATCH(T226,LOAI_ID!$B:$B,0)),INDEX(LOAI_ID!$A:$A,MATCH(T226,LOAI_ID!$B:$B,0)),"")</f>
        <v/>
      </c>
      <c r="T226" s="16"/>
      <c r="U226" s="48"/>
      <c r="V226" s="48"/>
      <c r="W226" s="17"/>
      <c r="X226" s="17"/>
      <c r="Y226" s="15"/>
      <c r="Z226" s="15"/>
      <c r="AA226" s="59" t="str">
        <f>IFERROR(INDEX(NOI_CAP!$B:$B,MATCH(Z226,NOI_CAP!$A:$A,0)),"")</f>
        <v/>
      </c>
      <c r="AB226" s="58" t="str">
        <f>IF(ISNUMBER(MATCH(AC226,LOAI_DIA_CHI!$B:$B,0)),INDEX(LOAI_DIA_CHI!$A:$A,MATCH(AC226,LOAI_DIA_CHI!$B:$B,0)),"")</f>
        <v/>
      </c>
      <c r="AC226" s="16"/>
      <c r="AD226" s="58" t="str">
        <f>IF(ISNUMBER(MATCH(AE226,QUOC_GIA!$B:$B,0)),INDEX(QUOC_GIA!$A:$A,MATCH(AE226,QUOC_GIA!$B:$B,0)),"")</f>
        <v/>
      </c>
      <c r="AE226" s="16"/>
      <c r="AF226" s="48"/>
      <c r="AG226" s="59" t="str">
        <f>IFERROR(INDEX(TINH_TP!$B:$B,MATCH(AF226,TINH_TP!$A:$A,0)),"")</f>
        <v/>
      </c>
      <c r="AH226" s="50"/>
      <c r="AI226" s="59" t="str">
        <f>IF(OR(AF226="",AH226=""),"",IF(COUNTIFS(PHUONG_XA!$A$2:$A$3323,AH226,PHUONG_XA!$C$2:$C$3323,AF226)=0,"",INDEX(PHUONG_XA!$B$2:$B$3323,SUMPRODUCT((PHUONG_XA!$A$2:$A$3323&amp;""=AH226&amp;"")*(PHUONG_XA!$C$2:$C$3323&amp;""=AF226&amp;"")*(ROW(PHUONG_XA!$A$2:$A$3323)-ROW(PHUONG_XA!$A$2)+1)))))</f>
        <v/>
      </c>
      <c r="AJ226" s="14"/>
      <c r="AK226" s="14"/>
      <c r="AL226" s="57" t="str">
        <f t="shared" si="4"/>
        <v/>
      </c>
      <c r="AM226" s="14"/>
      <c r="AN226" s="15"/>
      <c r="AO226" s="15"/>
      <c r="AP226" s="48"/>
      <c r="AQ226" s="15"/>
      <c r="AR226" s="15"/>
      <c r="AS226" s="15"/>
      <c r="AT226" s="60" t="str">
        <f>IF(ISNUMBER(MATCH(AU226,LOAI_THE!$B:$B,0)),INDEX(LOAI_THE!$A:$A,MATCH(AU226,LOAI_THE!$B:$B,0)),"")</f>
        <v/>
      </c>
      <c r="AU226" s="48"/>
      <c r="AV226" s="15"/>
      <c r="AW226" s="15"/>
      <c r="AX226" s="15"/>
      <c r="AY226" s="48"/>
    </row>
    <row r="227" spans="1:51" x14ac:dyDescent="0.3">
      <c r="A227" s="13" t="s">
        <v>504</v>
      </c>
      <c r="B227" s="48"/>
      <c r="C227" s="48"/>
      <c r="D227" s="48"/>
      <c r="E227" s="48"/>
      <c r="F227" s="48"/>
      <c r="G227" s="58" t="str">
        <f>IF(ISNUMBER(MATCH(H227,GIOI_TINH!$B:$B,0)),INDEX(GIOI_TINH!$A:$A,MATCH(H227,GIOI_TINH!$B:$B,0)),"")</f>
        <v/>
      </c>
      <c r="H227" s="15"/>
      <c r="I227" s="15"/>
      <c r="J227" s="58" t="str">
        <f>IF(ISNUMBER(MATCH(K227,QUOC_GIA!$B:$B,0)),INDEX(QUOC_GIA!$A:$A,MATCH(K227,QUOC_GIA!$B:$B,0)),"")</f>
        <v/>
      </c>
      <c r="K227" s="50"/>
      <c r="L227" s="15"/>
      <c r="M227" s="58" t="str">
        <f>IF(ISNUMBER(MATCH(N227,LOAI_THUE!$B:$B,0)),INDEX(LOAI_THUE!$A:$A,MATCH(N227,LOAI_THUE!$B:$B,0)),"")</f>
        <v/>
      </c>
      <c r="N227" s="50"/>
      <c r="O227" s="58" t="str">
        <f>IF(ISNUMBER(MATCH(P227,CHI_TIET_LOAI_KH!$B:$B,0)),INDEX(CHI_TIET_LOAI_KH!$A:$A,MATCH(P227,CHI_TIET_LOAI_KH!$B:$B,0)),"")</f>
        <v/>
      </c>
      <c r="P227" s="50"/>
      <c r="Q227" s="58" t="str">
        <f>IF(ISNUMBER(MATCH(R227,NGHE_NGHIEP!$B:$B,0)),INDEX(NGHE_NGHIEP!$A:$A,MATCH(R227,NGHE_NGHIEP!$B:$B,0)),"")</f>
        <v/>
      </c>
      <c r="R227" s="50"/>
      <c r="S227" s="58" t="str">
        <f>IF(ISNUMBER(MATCH(T227,LOAI_ID!$B:$B,0)),INDEX(LOAI_ID!$A:$A,MATCH(T227,LOAI_ID!$B:$B,0)),"")</f>
        <v/>
      </c>
      <c r="T227" s="16"/>
      <c r="U227" s="48"/>
      <c r="V227" s="48"/>
      <c r="W227" s="17"/>
      <c r="X227" s="17"/>
      <c r="Y227" s="15"/>
      <c r="Z227" s="15"/>
      <c r="AA227" s="59" t="str">
        <f>IFERROR(INDEX(NOI_CAP!$B:$B,MATCH(Z227,NOI_CAP!$A:$A,0)),"")</f>
        <v/>
      </c>
      <c r="AB227" s="58" t="str">
        <f>IF(ISNUMBER(MATCH(AC227,LOAI_DIA_CHI!$B:$B,0)),INDEX(LOAI_DIA_CHI!$A:$A,MATCH(AC227,LOAI_DIA_CHI!$B:$B,0)),"")</f>
        <v/>
      </c>
      <c r="AC227" s="16"/>
      <c r="AD227" s="58" t="str">
        <f>IF(ISNUMBER(MATCH(AE227,QUOC_GIA!$B:$B,0)),INDEX(QUOC_GIA!$A:$A,MATCH(AE227,QUOC_GIA!$B:$B,0)),"")</f>
        <v/>
      </c>
      <c r="AE227" s="16"/>
      <c r="AF227" s="48"/>
      <c r="AG227" s="59" t="str">
        <f>IFERROR(INDEX(TINH_TP!$B:$B,MATCH(AF227,TINH_TP!$A:$A,0)),"")</f>
        <v/>
      </c>
      <c r="AH227" s="50"/>
      <c r="AI227" s="59" t="str">
        <f>IF(OR(AF227="",AH227=""),"",IF(COUNTIFS(PHUONG_XA!$A$2:$A$3323,AH227,PHUONG_XA!$C$2:$C$3323,AF227)=0,"",INDEX(PHUONG_XA!$B$2:$B$3323,SUMPRODUCT((PHUONG_XA!$A$2:$A$3323&amp;""=AH227&amp;"")*(PHUONG_XA!$C$2:$C$3323&amp;""=AF227&amp;"")*(ROW(PHUONG_XA!$A$2:$A$3323)-ROW(PHUONG_XA!$A$2)+1)))))</f>
        <v/>
      </c>
      <c r="AJ227" s="14"/>
      <c r="AK227" s="14"/>
      <c r="AL227" s="57" t="str">
        <f t="shared" si="4"/>
        <v/>
      </c>
      <c r="AM227" s="14"/>
      <c r="AN227" s="15"/>
      <c r="AO227" s="15"/>
      <c r="AP227" s="48"/>
      <c r="AQ227" s="15"/>
      <c r="AR227" s="15"/>
      <c r="AS227" s="15"/>
      <c r="AT227" s="60" t="str">
        <f>IF(ISNUMBER(MATCH(AU227,LOAI_THE!$B:$B,0)),INDEX(LOAI_THE!$A:$A,MATCH(AU227,LOAI_THE!$B:$B,0)),"")</f>
        <v/>
      </c>
      <c r="AU227" s="48"/>
      <c r="AV227" s="15"/>
      <c r="AW227" s="15"/>
      <c r="AX227" s="15"/>
      <c r="AY227" s="48"/>
    </row>
    <row r="228" spans="1:51" x14ac:dyDescent="0.3">
      <c r="A228" s="13" t="s">
        <v>506</v>
      </c>
      <c r="B228" s="48"/>
      <c r="C228" s="48"/>
      <c r="D228" s="48"/>
      <c r="E228" s="48"/>
      <c r="F228" s="48"/>
      <c r="G228" s="58" t="str">
        <f>IF(ISNUMBER(MATCH(H228,GIOI_TINH!$B:$B,0)),INDEX(GIOI_TINH!$A:$A,MATCH(H228,GIOI_TINH!$B:$B,0)),"")</f>
        <v/>
      </c>
      <c r="H228" s="15"/>
      <c r="I228" s="15"/>
      <c r="J228" s="58" t="str">
        <f>IF(ISNUMBER(MATCH(K228,QUOC_GIA!$B:$B,0)),INDEX(QUOC_GIA!$A:$A,MATCH(K228,QUOC_GIA!$B:$B,0)),"")</f>
        <v/>
      </c>
      <c r="K228" s="50"/>
      <c r="L228" s="15"/>
      <c r="M228" s="58" t="str">
        <f>IF(ISNUMBER(MATCH(N228,LOAI_THUE!$B:$B,0)),INDEX(LOAI_THUE!$A:$A,MATCH(N228,LOAI_THUE!$B:$B,0)),"")</f>
        <v/>
      </c>
      <c r="N228" s="50"/>
      <c r="O228" s="58" t="str">
        <f>IF(ISNUMBER(MATCH(P228,CHI_TIET_LOAI_KH!$B:$B,0)),INDEX(CHI_TIET_LOAI_KH!$A:$A,MATCH(P228,CHI_TIET_LOAI_KH!$B:$B,0)),"")</f>
        <v/>
      </c>
      <c r="P228" s="50"/>
      <c r="Q228" s="58" t="str">
        <f>IF(ISNUMBER(MATCH(R228,NGHE_NGHIEP!$B:$B,0)),INDEX(NGHE_NGHIEP!$A:$A,MATCH(R228,NGHE_NGHIEP!$B:$B,0)),"")</f>
        <v/>
      </c>
      <c r="R228" s="50"/>
      <c r="S228" s="58" t="str">
        <f>IF(ISNUMBER(MATCH(T228,LOAI_ID!$B:$B,0)),INDEX(LOAI_ID!$A:$A,MATCH(T228,LOAI_ID!$B:$B,0)),"")</f>
        <v/>
      </c>
      <c r="T228" s="16"/>
      <c r="U228" s="48"/>
      <c r="V228" s="48"/>
      <c r="W228" s="17"/>
      <c r="X228" s="17"/>
      <c r="Y228" s="15"/>
      <c r="Z228" s="15"/>
      <c r="AA228" s="59" t="str">
        <f>IFERROR(INDEX(NOI_CAP!$B:$B,MATCH(Z228,NOI_CAP!$A:$A,0)),"")</f>
        <v/>
      </c>
      <c r="AB228" s="58" t="str">
        <f>IF(ISNUMBER(MATCH(AC228,LOAI_DIA_CHI!$B:$B,0)),INDEX(LOAI_DIA_CHI!$A:$A,MATCH(AC228,LOAI_DIA_CHI!$B:$B,0)),"")</f>
        <v/>
      </c>
      <c r="AC228" s="16"/>
      <c r="AD228" s="58" t="str">
        <f>IF(ISNUMBER(MATCH(AE228,QUOC_GIA!$B:$B,0)),INDEX(QUOC_GIA!$A:$A,MATCH(AE228,QUOC_GIA!$B:$B,0)),"")</f>
        <v/>
      </c>
      <c r="AE228" s="16"/>
      <c r="AF228" s="48"/>
      <c r="AG228" s="59" t="str">
        <f>IFERROR(INDEX(TINH_TP!$B:$B,MATCH(AF228,TINH_TP!$A:$A,0)),"")</f>
        <v/>
      </c>
      <c r="AH228" s="50"/>
      <c r="AI228" s="59" t="str">
        <f>IF(OR(AF228="",AH228=""),"",IF(COUNTIFS(PHUONG_XA!$A$2:$A$3323,AH228,PHUONG_XA!$C$2:$C$3323,AF228)=0,"",INDEX(PHUONG_XA!$B$2:$B$3323,SUMPRODUCT((PHUONG_XA!$A$2:$A$3323&amp;""=AH228&amp;"")*(PHUONG_XA!$C$2:$C$3323&amp;""=AF228&amp;"")*(ROW(PHUONG_XA!$A$2:$A$3323)-ROW(PHUONG_XA!$A$2)+1)))))</f>
        <v/>
      </c>
      <c r="AJ228" s="14"/>
      <c r="AK228" s="14"/>
      <c r="AL228" s="57" t="str">
        <f t="shared" si="4"/>
        <v/>
      </c>
      <c r="AM228" s="14"/>
      <c r="AN228" s="15"/>
      <c r="AO228" s="15"/>
      <c r="AP228" s="48"/>
      <c r="AQ228" s="15"/>
      <c r="AR228" s="15"/>
      <c r="AS228" s="15"/>
      <c r="AT228" s="60" t="str">
        <f>IF(ISNUMBER(MATCH(AU228,LOAI_THE!$B:$B,0)),INDEX(LOAI_THE!$A:$A,MATCH(AU228,LOAI_THE!$B:$B,0)),"")</f>
        <v/>
      </c>
      <c r="AU228" s="48"/>
      <c r="AV228" s="15"/>
      <c r="AW228" s="15"/>
      <c r="AX228" s="15"/>
      <c r="AY228" s="48"/>
    </row>
    <row r="229" spans="1:51" x14ac:dyDescent="0.3">
      <c r="A229" s="13" t="s">
        <v>508</v>
      </c>
      <c r="B229" s="48"/>
      <c r="C229" s="48"/>
      <c r="D229" s="48"/>
      <c r="E229" s="48"/>
      <c r="F229" s="48"/>
      <c r="G229" s="58" t="str">
        <f>IF(ISNUMBER(MATCH(H229,GIOI_TINH!$B:$B,0)),INDEX(GIOI_TINH!$A:$A,MATCH(H229,GIOI_TINH!$B:$B,0)),"")</f>
        <v/>
      </c>
      <c r="H229" s="15"/>
      <c r="I229" s="15"/>
      <c r="J229" s="58" t="str">
        <f>IF(ISNUMBER(MATCH(K229,QUOC_GIA!$B:$B,0)),INDEX(QUOC_GIA!$A:$A,MATCH(K229,QUOC_GIA!$B:$B,0)),"")</f>
        <v/>
      </c>
      <c r="K229" s="50"/>
      <c r="L229" s="15"/>
      <c r="M229" s="58" t="str">
        <f>IF(ISNUMBER(MATCH(N229,LOAI_THUE!$B:$B,0)),INDEX(LOAI_THUE!$A:$A,MATCH(N229,LOAI_THUE!$B:$B,0)),"")</f>
        <v/>
      </c>
      <c r="N229" s="50"/>
      <c r="O229" s="58" t="str">
        <f>IF(ISNUMBER(MATCH(P229,CHI_TIET_LOAI_KH!$B:$B,0)),INDEX(CHI_TIET_LOAI_KH!$A:$A,MATCH(P229,CHI_TIET_LOAI_KH!$B:$B,0)),"")</f>
        <v/>
      </c>
      <c r="P229" s="50"/>
      <c r="Q229" s="58" t="str">
        <f>IF(ISNUMBER(MATCH(R229,NGHE_NGHIEP!$B:$B,0)),INDEX(NGHE_NGHIEP!$A:$A,MATCH(R229,NGHE_NGHIEP!$B:$B,0)),"")</f>
        <v/>
      </c>
      <c r="R229" s="50"/>
      <c r="S229" s="58" t="str">
        <f>IF(ISNUMBER(MATCH(T229,LOAI_ID!$B:$B,0)),INDEX(LOAI_ID!$A:$A,MATCH(T229,LOAI_ID!$B:$B,0)),"")</f>
        <v/>
      </c>
      <c r="T229" s="16"/>
      <c r="U229" s="48"/>
      <c r="V229" s="48"/>
      <c r="W229" s="17"/>
      <c r="X229" s="17"/>
      <c r="Y229" s="15"/>
      <c r="Z229" s="15"/>
      <c r="AA229" s="59" t="str">
        <f>IFERROR(INDEX(NOI_CAP!$B:$B,MATCH(Z229,NOI_CAP!$A:$A,0)),"")</f>
        <v/>
      </c>
      <c r="AB229" s="58" t="str">
        <f>IF(ISNUMBER(MATCH(AC229,LOAI_DIA_CHI!$B:$B,0)),INDEX(LOAI_DIA_CHI!$A:$A,MATCH(AC229,LOAI_DIA_CHI!$B:$B,0)),"")</f>
        <v/>
      </c>
      <c r="AC229" s="16"/>
      <c r="AD229" s="58" t="str">
        <f>IF(ISNUMBER(MATCH(AE229,QUOC_GIA!$B:$B,0)),INDEX(QUOC_GIA!$A:$A,MATCH(AE229,QUOC_GIA!$B:$B,0)),"")</f>
        <v/>
      </c>
      <c r="AE229" s="16"/>
      <c r="AF229" s="48"/>
      <c r="AG229" s="59" t="str">
        <f>IFERROR(INDEX(TINH_TP!$B:$B,MATCH(AF229,TINH_TP!$A:$A,0)),"")</f>
        <v/>
      </c>
      <c r="AH229" s="50"/>
      <c r="AI229" s="59" t="str">
        <f>IF(OR(AF229="",AH229=""),"",IF(COUNTIFS(PHUONG_XA!$A$2:$A$3323,AH229,PHUONG_XA!$C$2:$C$3323,AF229)=0,"",INDEX(PHUONG_XA!$B$2:$B$3323,SUMPRODUCT((PHUONG_XA!$A$2:$A$3323&amp;""=AH229&amp;"")*(PHUONG_XA!$C$2:$C$3323&amp;""=AF229&amp;"")*(ROW(PHUONG_XA!$A$2:$A$3323)-ROW(PHUONG_XA!$A$2)+1)))))</f>
        <v/>
      </c>
      <c r="AJ229" s="14"/>
      <c r="AK229" s="14"/>
      <c r="AL229" s="57" t="str">
        <f t="shared" si="4"/>
        <v/>
      </c>
      <c r="AM229" s="14"/>
      <c r="AN229" s="15"/>
      <c r="AO229" s="15"/>
      <c r="AP229" s="48"/>
      <c r="AQ229" s="15"/>
      <c r="AR229" s="15"/>
      <c r="AS229" s="15"/>
      <c r="AT229" s="60" t="str">
        <f>IF(ISNUMBER(MATCH(AU229,LOAI_THE!$B:$B,0)),INDEX(LOAI_THE!$A:$A,MATCH(AU229,LOAI_THE!$B:$B,0)),"")</f>
        <v/>
      </c>
      <c r="AU229" s="48"/>
      <c r="AV229" s="15"/>
      <c r="AW229" s="15"/>
      <c r="AX229" s="15"/>
      <c r="AY229" s="48"/>
    </row>
    <row r="230" spans="1:51" x14ac:dyDescent="0.3">
      <c r="A230" s="13" t="s">
        <v>510</v>
      </c>
      <c r="B230" s="48"/>
      <c r="C230" s="48"/>
      <c r="D230" s="48"/>
      <c r="E230" s="48"/>
      <c r="F230" s="48"/>
      <c r="G230" s="58" t="str">
        <f>IF(ISNUMBER(MATCH(H230,GIOI_TINH!$B:$B,0)),INDEX(GIOI_TINH!$A:$A,MATCH(H230,GIOI_TINH!$B:$B,0)),"")</f>
        <v/>
      </c>
      <c r="H230" s="15"/>
      <c r="I230" s="15"/>
      <c r="J230" s="58" t="str">
        <f>IF(ISNUMBER(MATCH(K230,QUOC_GIA!$B:$B,0)),INDEX(QUOC_GIA!$A:$A,MATCH(K230,QUOC_GIA!$B:$B,0)),"")</f>
        <v/>
      </c>
      <c r="K230" s="50"/>
      <c r="L230" s="15"/>
      <c r="M230" s="58" t="str">
        <f>IF(ISNUMBER(MATCH(N230,LOAI_THUE!$B:$B,0)),INDEX(LOAI_THUE!$A:$A,MATCH(N230,LOAI_THUE!$B:$B,0)),"")</f>
        <v/>
      </c>
      <c r="N230" s="50"/>
      <c r="O230" s="58" t="str">
        <f>IF(ISNUMBER(MATCH(P230,CHI_TIET_LOAI_KH!$B:$B,0)),INDEX(CHI_TIET_LOAI_KH!$A:$A,MATCH(P230,CHI_TIET_LOAI_KH!$B:$B,0)),"")</f>
        <v/>
      </c>
      <c r="P230" s="50"/>
      <c r="Q230" s="58" t="str">
        <f>IF(ISNUMBER(MATCH(R230,NGHE_NGHIEP!$B:$B,0)),INDEX(NGHE_NGHIEP!$A:$A,MATCH(R230,NGHE_NGHIEP!$B:$B,0)),"")</f>
        <v/>
      </c>
      <c r="R230" s="50"/>
      <c r="S230" s="58" t="str">
        <f>IF(ISNUMBER(MATCH(T230,LOAI_ID!$B:$B,0)),INDEX(LOAI_ID!$A:$A,MATCH(T230,LOAI_ID!$B:$B,0)),"")</f>
        <v/>
      </c>
      <c r="T230" s="16"/>
      <c r="U230" s="48"/>
      <c r="V230" s="48"/>
      <c r="W230" s="17"/>
      <c r="X230" s="17"/>
      <c r="Y230" s="15"/>
      <c r="Z230" s="15"/>
      <c r="AA230" s="59" t="str">
        <f>IFERROR(INDEX(NOI_CAP!$B:$B,MATCH(Z230,NOI_CAP!$A:$A,0)),"")</f>
        <v/>
      </c>
      <c r="AB230" s="58" t="str">
        <f>IF(ISNUMBER(MATCH(AC230,LOAI_DIA_CHI!$B:$B,0)),INDEX(LOAI_DIA_CHI!$A:$A,MATCH(AC230,LOAI_DIA_CHI!$B:$B,0)),"")</f>
        <v/>
      </c>
      <c r="AC230" s="16"/>
      <c r="AD230" s="58" t="str">
        <f>IF(ISNUMBER(MATCH(AE230,QUOC_GIA!$B:$B,0)),INDEX(QUOC_GIA!$A:$A,MATCH(AE230,QUOC_GIA!$B:$B,0)),"")</f>
        <v/>
      </c>
      <c r="AE230" s="16"/>
      <c r="AF230" s="48"/>
      <c r="AG230" s="59" t="str">
        <f>IFERROR(INDEX(TINH_TP!$B:$B,MATCH(AF230,TINH_TP!$A:$A,0)),"")</f>
        <v/>
      </c>
      <c r="AH230" s="50"/>
      <c r="AI230" s="59" t="str">
        <f>IF(OR(AF230="",AH230=""),"",IF(COUNTIFS(PHUONG_XA!$A$2:$A$3323,AH230,PHUONG_XA!$C$2:$C$3323,AF230)=0,"",INDEX(PHUONG_XA!$B$2:$B$3323,SUMPRODUCT((PHUONG_XA!$A$2:$A$3323&amp;""=AH230&amp;"")*(PHUONG_XA!$C$2:$C$3323&amp;""=AF230&amp;"")*(ROW(PHUONG_XA!$A$2:$A$3323)-ROW(PHUONG_XA!$A$2)+1)))))</f>
        <v/>
      </c>
      <c r="AJ230" s="14"/>
      <c r="AK230" s="14"/>
      <c r="AL230" s="57" t="str">
        <f t="shared" si="4"/>
        <v/>
      </c>
      <c r="AM230" s="14"/>
      <c r="AN230" s="15"/>
      <c r="AO230" s="15"/>
      <c r="AP230" s="48"/>
      <c r="AQ230" s="15"/>
      <c r="AR230" s="15"/>
      <c r="AS230" s="15"/>
      <c r="AT230" s="60" t="str">
        <f>IF(ISNUMBER(MATCH(AU230,LOAI_THE!$B:$B,0)),INDEX(LOAI_THE!$A:$A,MATCH(AU230,LOAI_THE!$B:$B,0)),"")</f>
        <v/>
      </c>
      <c r="AU230" s="48"/>
      <c r="AV230" s="15"/>
      <c r="AW230" s="15"/>
      <c r="AX230" s="15"/>
      <c r="AY230" s="48"/>
    </row>
    <row r="231" spans="1:51" x14ac:dyDescent="0.3">
      <c r="A231" s="13" t="s">
        <v>512</v>
      </c>
      <c r="B231" s="48"/>
      <c r="C231" s="48"/>
      <c r="D231" s="48"/>
      <c r="E231" s="48"/>
      <c r="F231" s="48"/>
      <c r="G231" s="58" t="str">
        <f>IF(ISNUMBER(MATCH(H231,GIOI_TINH!$B:$B,0)),INDEX(GIOI_TINH!$A:$A,MATCH(H231,GIOI_TINH!$B:$B,0)),"")</f>
        <v/>
      </c>
      <c r="H231" s="15"/>
      <c r="I231" s="15"/>
      <c r="J231" s="58" t="str">
        <f>IF(ISNUMBER(MATCH(K231,QUOC_GIA!$B:$B,0)),INDEX(QUOC_GIA!$A:$A,MATCH(K231,QUOC_GIA!$B:$B,0)),"")</f>
        <v/>
      </c>
      <c r="K231" s="50"/>
      <c r="L231" s="15"/>
      <c r="M231" s="58" t="str">
        <f>IF(ISNUMBER(MATCH(N231,LOAI_THUE!$B:$B,0)),INDEX(LOAI_THUE!$A:$A,MATCH(N231,LOAI_THUE!$B:$B,0)),"")</f>
        <v/>
      </c>
      <c r="N231" s="50"/>
      <c r="O231" s="58" t="str">
        <f>IF(ISNUMBER(MATCH(P231,CHI_TIET_LOAI_KH!$B:$B,0)),INDEX(CHI_TIET_LOAI_KH!$A:$A,MATCH(P231,CHI_TIET_LOAI_KH!$B:$B,0)),"")</f>
        <v/>
      </c>
      <c r="P231" s="50"/>
      <c r="Q231" s="58" t="str">
        <f>IF(ISNUMBER(MATCH(R231,NGHE_NGHIEP!$B:$B,0)),INDEX(NGHE_NGHIEP!$A:$A,MATCH(R231,NGHE_NGHIEP!$B:$B,0)),"")</f>
        <v/>
      </c>
      <c r="R231" s="50"/>
      <c r="S231" s="58" t="str">
        <f>IF(ISNUMBER(MATCH(T231,LOAI_ID!$B:$B,0)),INDEX(LOAI_ID!$A:$A,MATCH(T231,LOAI_ID!$B:$B,0)),"")</f>
        <v/>
      </c>
      <c r="T231" s="16"/>
      <c r="U231" s="48"/>
      <c r="V231" s="48"/>
      <c r="W231" s="17"/>
      <c r="X231" s="17"/>
      <c r="Y231" s="15"/>
      <c r="Z231" s="15"/>
      <c r="AA231" s="59" t="str">
        <f>IFERROR(INDEX(NOI_CAP!$B:$B,MATCH(Z231,NOI_CAP!$A:$A,0)),"")</f>
        <v/>
      </c>
      <c r="AB231" s="58" t="str">
        <f>IF(ISNUMBER(MATCH(AC231,LOAI_DIA_CHI!$B:$B,0)),INDEX(LOAI_DIA_CHI!$A:$A,MATCH(AC231,LOAI_DIA_CHI!$B:$B,0)),"")</f>
        <v/>
      </c>
      <c r="AC231" s="16"/>
      <c r="AD231" s="58" t="str">
        <f>IF(ISNUMBER(MATCH(AE231,QUOC_GIA!$B:$B,0)),INDEX(QUOC_GIA!$A:$A,MATCH(AE231,QUOC_GIA!$B:$B,0)),"")</f>
        <v/>
      </c>
      <c r="AE231" s="16"/>
      <c r="AF231" s="48"/>
      <c r="AG231" s="59" t="str">
        <f>IFERROR(INDEX(TINH_TP!$B:$B,MATCH(AF231,TINH_TP!$A:$A,0)),"")</f>
        <v/>
      </c>
      <c r="AH231" s="50"/>
      <c r="AI231" s="59" t="str">
        <f>IF(OR(AF231="",AH231=""),"",IF(COUNTIFS(PHUONG_XA!$A$2:$A$3323,AH231,PHUONG_XA!$C$2:$C$3323,AF231)=0,"",INDEX(PHUONG_XA!$B$2:$B$3323,SUMPRODUCT((PHUONG_XA!$A$2:$A$3323&amp;""=AH231&amp;"")*(PHUONG_XA!$C$2:$C$3323&amp;""=AF231&amp;"")*(ROW(PHUONG_XA!$A$2:$A$3323)-ROW(PHUONG_XA!$A$2)+1)))))</f>
        <v/>
      </c>
      <c r="AJ231" s="14"/>
      <c r="AK231" s="14"/>
      <c r="AL231" s="57" t="str">
        <f t="shared" si="4"/>
        <v/>
      </c>
      <c r="AM231" s="14"/>
      <c r="AN231" s="15"/>
      <c r="AO231" s="15"/>
      <c r="AP231" s="48"/>
      <c r="AQ231" s="15"/>
      <c r="AR231" s="15"/>
      <c r="AS231" s="15"/>
      <c r="AT231" s="60" t="str">
        <f>IF(ISNUMBER(MATCH(AU231,LOAI_THE!$B:$B,0)),INDEX(LOAI_THE!$A:$A,MATCH(AU231,LOAI_THE!$B:$B,0)),"")</f>
        <v/>
      </c>
      <c r="AU231" s="48"/>
      <c r="AV231" s="15"/>
      <c r="AW231" s="15"/>
      <c r="AX231" s="15"/>
      <c r="AY231" s="48"/>
    </row>
    <row r="232" spans="1:51" x14ac:dyDescent="0.3">
      <c r="A232" s="13" t="s">
        <v>514</v>
      </c>
      <c r="B232" s="48"/>
      <c r="C232" s="48"/>
      <c r="D232" s="48"/>
      <c r="E232" s="48"/>
      <c r="F232" s="48"/>
      <c r="G232" s="58" t="str">
        <f>IF(ISNUMBER(MATCH(H232,GIOI_TINH!$B:$B,0)),INDEX(GIOI_TINH!$A:$A,MATCH(H232,GIOI_TINH!$B:$B,0)),"")</f>
        <v/>
      </c>
      <c r="H232" s="15"/>
      <c r="I232" s="15"/>
      <c r="J232" s="58" t="str">
        <f>IF(ISNUMBER(MATCH(K232,QUOC_GIA!$B:$B,0)),INDEX(QUOC_GIA!$A:$A,MATCH(K232,QUOC_GIA!$B:$B,0)),"")</f>
        <v/>
      </c>
      <c r="K232" s="50"/>
      <c r="L232" s="15"/>
      <c r="M232" s="58" t="str">
        <f>IF(ISNUMBER(MATCH(N232,LOAI_THUE!$B:$B,0)),INDEX(LOAI_THUE!$A:$A,MATCH(N232,LOAI_THUE!$B:$B,0)),"")</f>
        <v/>
      </c>
      <c r="N232" s="50"/>
      <c r="O232" s="58" t="str">
        <f>IF(ISNUMBER(MATCH(P232,CHI_TIET_LOAI_KH!$B:$B,0)),INDEX(CHI_TIET_LOAI_KH!$A:$A,MATCH(P232,CHI_TIET_LOAI_KH!$B:$B,0)),"")</f>
        <v/>
      </c>
      <c r="P232" s="50"/>
      <c r="Q232" s="58" t="str">
        <f>IF(ISNUMBER(MATCH(R232,NGHE_NGHIEP!$B:$B,0)),INDEX(NGHE_NGHIEP!$A:$A,MATCH(R232,NGHE_NGHIEP!$B:$B,0)),"")</f>
        <v/>
      </c>
      <c r="R232" s="50"/>
      <c r="S232" s="58" t="str">
        <f>IF(ISNUMBER(MATCH(T232,LOAI_ID!$B:$B,0)),INDEX(LOAI_ID!$A:$A,MATCH(T232,LOAI_ID!$B:$B,0)),"")</f>
        <v/>
      </c>
      <c r="T232" s="16"/>
      <c r="U232" s="48"/>
      <c r="V232" s="48"/>
      <c r="W232" s="17"/>
      <c r="X232" s="17"/>
      <c r="Y232" s="15"/>
      <c r="Z232" s="15"/>
      <c r="AA232" s="59" t="str">
        <f>IFERROR(INDEX(NOI_CAP!$B:$B,MATCH(Z232,NOI_CAP!$A:$A,0)),"")</f>
        <v/>
      </c>
      <c r="AB232" s="58" t="str">
        <f>IF(ISNUMBER(MATCH(AC232,LOAI_DIA_CHI!$B:$B,0)),INDEX(LOAI_DIA_CHI!$A:$A,MATCH(AC232,LOAI_DIA_CHI!$B:$B,0)),"")</f>
        <v/>
      </c>
      <c r="AC232" s="16"/>
      <c r="AD232" s="58" t="str">
        <f>IF(ISNUMBER(MATCH(AE232,QUOC_GIA!$B:$B,0)),INDEX(QUOC_GIA!$A:$A,MATCH(AE232,QUOC_GIA!$B:$B,0)),"")</f>
        <v/>
      </c>
      <c r="AE232" s="16"/>
      <c r="AF232" s="48"/>
      <c r="AG232" s="59" t="str">
        <f>IFERROR(INDEX(TINH_TP!$B:$B,MATCH(AF232,TINH_TP!$A:$A,0)),"")</f>
        <v/>
      </c>
      <c r="AH232" s="50"/>
      <c r="AI232" s="59" t="str">
        <f>IF(OR(AF232="",AH232=""),"",IF(COUNTIFS(PHUONG_XA!$A$2:$A$3323,AH232,PHUONG_XA!$C$2:$C$3323,AF232)=0,"",INDEX(PHUONG_XA!$B$2:$B$3323,SUMPRODUCT((PHUONG_XA!$A$2:$A$3323&amp;""=AH232&amp;"")*(PHUONG_XA!$C$2:$C$3323&amp;""=AF232&amp;"")*(ROW(PHUONG_XA!$A$2:$A$3323)-ROW(PHUONG_XA!$A$2)+1)))))</f>
        <v/>
      </c>
      <c r="AJ232" s="14"/>
      <c r="AK232" s="14"/>
      <c r="AL232" s="57" t="str">
        <f t="shared" si="4"/>
        <v/>
      </c>
      <c r="AM232" s="14"/>
      <c r="AN232" s="15"/>
      <c r="AO232" s="15"/>
      <c r="AP232" s="48"/>
      <c r="AQ232" s="15"/>
      <c r="AR232" s="15"/>
      <c r="AS232" s="15"/>
      <c r="AT232" s="60" t="str">
        <f>IF(ISNUMBER(MATCH(AU232,LOAI_THE!$B:$B,0)),INDEX(LOAI_THE!$A:$A,MATCH(AU232,LOAI_THE!$B:$B,0)),"")</f>
        <v/>
      </c>
      <c r="AU232" s="48"/>
      <c r="AV232" s="15"/>
      <c r="AW232" s="15"/>
      <c r="AX232" s="15"/>
      <c r="AY232" s="48"/>
    </row>
    <row r="233" spans="1:51" x14ac:dyDescent="0.3">
      <c r="A233" s="13" t="s">
        <v>516</v>
      </c>
      <c r="B233" s="48"/>
      <c r="C233" s="48"/>
      <c r="D233" s="48"/>
      <c r="E233" s="48"/>
      <c r="F233" s="48"/>
      <c r="G233" s="58" t="str">
        <f>IF(ISNUMBER(MATCH(H233,GIOI_TINH!$B:$B,0)),INDEX(GIOI_TINH!$A:$A,MATCH(H233,GIOI_TINH!$B:$B,0)),"")</f>
        <v/>
      </c>
      <c r="H233" s="15"/>
      <c r="I233" s="15"/>
      <c r="J233" s="58" t="str">
        <f>IF(ISNUMBER(MATCH(K233,QUOC_GIA!$B:$B,0)),INDEX(QUOC_GIA!$A:$A,MATCH(K233,QUOC_GIA!$B:$B,0)),"")</f>
        <v/>
      </c>
      <c r="K233" s="50"/>
      <c r="L233" s="15"/>
      <c r="M233" s="58" t="str">
        <f>IF(ISNUMBER(MATCH(N233,LOAI_THUE!$B:$B,0)),INDEX(LOAI_THUE!$A:$A,MATCH(N233,LOAI_THUE!$B:$B,0)),"")</f>
        <v/>
      </c>
      <c r="N233" s="50"/>
      <c r="O233" s="58" t="str">
        <f>IF(ISNUMBER(MATCH(P233,CHI_TIET_LOAI_KH!$B:$B,0)),INDEX(CHI_TIET_LOAI_KH!$A:$A,MATCH(P233,CHI_TIET_LOAI_KH!$B:$B,0)),"")</f>
        <v/>
      </c>
      <c r="P233" s="50"/>
      <c r="Q233" s="58" t="str">
        <f>IF(ISNUMBER(MATCH(R233,NGHE_NGHIEP!$B:$B,0)),INDEX(NGHE_NGHIEP!$A:$A,MATCH(R233,NGHE_NGHIEP!$B:$B,0)),"")</f>
        <v/>
      </c>
      <c r="R233" s="50"/>
      <c r="S233" s="58" t="str">
        <f>IF(ISNUMBER(MATCH(T233,LOAI_ID!$B:$B,0)),INDEX(LOAI_ID!$A:$A,MATCH(T233,LOAI_ID!$B:$B,0)),"")</f>
        <v/>
      </c>
      <c r="T233" s="16"/>
      <c r="U233" s="48"/>
      <c r="V233" s="48"/>
      <c r="W233" s="17"/>
      <c r="X233" s="17"/>
      <c r="Y233" s="15"/>
      <c r="Z233" s="15"/>
      <c r="AA233" s="59" t="str">
        <f>IFERROR(INDEX(NOI_CAP!$B:$B,MATCH(Z233,NOI_CAP!$A:$A,0)),"")</f>
        <v/>
      </c>
      <c r="AB233" s="58" t="str">
        <f>IF(ISNUMBER(MATCH(AC233,LOAI_DIA_CHI!$B:$B,0)),INDEX(LOAI_DIA_CHI!$A:$A,MATCH(AC233,LOAI_DIA_CHI!$B:$B,0)),"")</f>
        <v/>
      </c>
      <c r="AC233" s="16"/>
      <c r="AD233" s="58" t="str">
        <f>IF(ISNUMBER(MATCH(AE233,QUOC_GIA!$B:$B,0)),INDEX(QUOC_GIA!$A:$A,MATCH(AE233,QUOC_GIA!$B:$B,0)),"")</f>
        <v/>
      </c>
      <c r="AE233" s="16"/>
      <c r="AF233" s="48"/>
      <c r="AG233" s="59" t="str">
        <f>IFERROR(INDEX(TINH_TP!$B:$B,MATCH(AF233,TINH_TP!$A:$A,0)),"")</f>
        <v/>
      </c>
      <c r="AH233" s="50"/>
      <c r="AI233" s="59" t="str">
        <f>IF(OR(AF233="",AH233=""),"",IF(COUNTIFS(PHUONG_XA!$A$2:$A$3323,AH233,PHUONG_XA!$C$2:$C$3323,AF233)=0,"",INDEX(PHUONG_XA!$B$2:$B$3323,SUMPRODUCT((PHUONG_XA!$A$2:$A$3323&amp;""=AH233&amp;"")*(PHUONG_XA!$C$2:$C$3323&amp;""=AF233&amp;"")*(ROW(PHUONG_XA!$A$2:$A$3323)-ROW(PHUONG_XA!$A$2)+1)))))</f>
        <v/>
      </c>
      <c r="AJ233" s="14"/>
      <c r="AK233" s="14"/>
      <c r="AL233" s="57" t="str">
        <f t="shared" si="4"/>
        <v/>
      </c>
      <c r="AM233" s="14"/>
      <c r="AN233" s="15"/>
      <c r="AO233" s="15"/>
      <c r="AP233" s="48"/>
      <c r="AQ233" s="15"/>
      <c r="AR233" s="15"/>
      <c r="AS233" s="15"/>
      <c r="AT233" s="60" t="str">
        <f>IF(ISNUMBER(MATCH(AU233,LOAI_THE!$B:$B,0)),INDEX(LOAI_THE!$A:$A,MATCH(AU233,LOAI_THE!$B:$B,0)),"")</f>
        <v/>
      </c>
      <c r="AU233" s="48"/>
      <c r="AV233" s="15"/>
      <c r="AW233" s="15"/>
      <c r="AX233" s="15"/>
      <c r="AY233" s="48"/>
    </row>
    <row r="234" spans="1:51" x14ac:dyDescent="0.3">
      <c r="A234" s="13" t="s">
        <v>518</v>
      </c>
      <c r="B234" s="48"/>
      <c r="C234" s="48"/>
      <c r="D234" s="48"/>
      <c r="E234" s="48"/>
      <c r="F234" s="48"/>
      <c r="G234" s="58" t="str">
        <f>IF(ISNUMBER(MATCH(H234,GIOI_TINH!$B:$B,0)),INDEX(GIOI_TINH!$A:$A,MATCH(H234,GIOI_TINH!$B:$B,0)),"")</f>
        <v/>
      </c>
      <c r="H234" s="15"/>
      <c r="I234" s="15"/>
      <c r="J234" s="58" t="str">
        <f>IF(ISNUMBER(MATCH(K234,QUOC_GIA!$B:$B,0)),INDEX(QUOC_GIA!$A:$A,MATCH(K234,QUOC_GIA!$B:$B,0)),"")</f>
        <v/>
      </c>
      <c r="K234" s="50"/>
      <c r="L234" s="15"/>
      <c r="M234" s="58" t="str">
        <f>IF(ISNUMBER(MATCH(N234,LOAI_THUE!$B:$B,0)),INDEX(LOAI_THUE!$A:$A,MATCH(N234,LOAI_THUE!$B:$B,0)),"")</f>
        <v/>
      </c>
      <c r="N234" s="50"/>
      <c r="O234" s="58" t="str">
        <f>IF(ISNUMBER(MATCH(P234,CHI_TIET_LOAI_KH!$B:$B,0)),INDEX(CHI_TIET_LOAI_KH!$A:$A,MATCH(P234,CHI_TIET_LOAI_KH!$B:$B,0)),"")</f>
        <v/>
      </c>
      <c r="P234" s="50"/>
      <c r="Q234" s="58" t="str">
        <f>IF(ISNUMBER(MATCH(R234,NGHE_NGHIEP!$B:$B,0)),INDEX(NGHE_NGHIEP!$A:$A,MATCH(R234,NGHE_NGHIEP!$B:$B,0)),"")</f>
        <v/>
      </c>
      <c r="R234" s="50"/>
      <c r="S234" s="58" t="str">
        <f>IF(ISNUMBER(MATCH(T234,LOAI_ID!$B:$B,0)),INDEX(LOAI_ID!$A:$A,MATCH(T234,LOAI_ID!$B:$B,0)),"")</f>
        <v/>
      </c>
      <c r="T234" s="16"/>
      <c r="U234" s="48"/>
      <c r="V234" s="48"/>
      <c r="W234" s="17"/>
      <c r="X234" s="17"/>
      <c r="Y234" s="15"/>
      <c r="Z234" s="15"/>
      <c r="AA234" s="59" t="str">
        <f>IFERROR(INDEX(NOI_CAP!$B:$B,MATCH(Z234,NOI_CAP!$A:$A,0)),"")</f>
        <v/>
      </c>
      <c r="AB234" s="58" t="str">
        <f>IF(ISNUMBER(MATCH(AC234,LOAI_DIA_CHI!$B:$B,0)),INDEX(LOAI_DIA_CHI!$A:$A,MATCH(AC234,LOAI_DIA_CHI!$B:$B,0)),"")</f>
        <v/>
      </c>
      <c r="AC234" s="16"/>
      <c r="AD234" s="58" t="str">
        <f>IF(ISNUMBER(MATCH(AE234,QUOC_GIA!$B:$B,0)),INDEX(QUOC_GIA!$A:$A,MATCH(AE234,QUOC_GIA!$B:$B,0)),"")</f>
        <v/>
      </c>
      <c r="AE234" s="16"/>
      <c r="AF234" s="48"/>
      <c r="AG234" s="59" t="str">
        <f>IFERROR(INDEX(TINH_TP!$B:$B,MATCH(AF234,TINH_TP!$A:$A,0)),"")</f>
        <v/>
      </c>
      <c r="AH234" s="50"/>
      <c r="AI234" s="59" t="str">
        <f>IF(OR(AF234="",AH234=""),"",IF(COUNTIFS(PHUONG_XA!$A$2:$A$3323,AH234,PHUONG_XA!$C$2:$C$3323,AF234)=0,"",INDEX(PHUONG_XA!$B$2:$B$3323,SUMPRODUCT((PHUONG_XA!$A$2:$A$3323&amp;""=AH234&amp;"")*(PHUONG_XA!$C$2:$C$3323&amp;""=AF234&amp;"")*(ROW(PHUONG_XA!$A$2:$A$3323)-ROW(PHUONG_XA!$A$2)+1)))))</f>
        <v/>
      </c>
      <c r="AJ234" s="14"/>
      <c r="AK234" s="14"/>
      <c r="AL234" s="57" t="str">
        <f t="shared" si="4"/>
        <v/>
      </c>
      <c r="AM234" s="14"/>
      <c r="AN234" s="15"/>
      <c r="AO234" s="15"/>
      <c r="AP234" s="48"/>
      <c r="AQ234" s="15"/>
      <c r="AR234" s="15"/>
      <c r="AS234" s="15"/>
      <c r="AT234" s="60" t="str">
        <f>IF(ISNUMBER(MATCH(AU234,LOAI_THE!$B:$B,0)),INDEX(LOAI_THE!$A:$A,MATCH(AU234,LOAI_THE!$B:$B,0)),"")</f>
        <v/>
      </c>
      <c r="AU234" s="48"/>
      <c r="AV234" s="15"/>
      <c r="AW234" s="15"/>
      <c r="AX234" s="15"/>
      <c r="AY234" s="48"/>
    </row>
    <row r="235" spans="1:51" x14ac:dyDescent="0.3">
      <c r="A235" s="13" t="s">
        <v>520</v>
      </c>
      <c r="B235" s="48"/>
      <c r="C235" s="48"/>
      <c r="D235" s="48"/>
      <c r="E235" s="48"/>
      <c r="F235" s="48"/>
      <c r="G235" s="58" t="str">
        <f>IF(ISNUMBER(MATCH(H235,GIOI_TINH!$B:$B,0)),INDEX(GIOI_TINH!$A:$A,MATCH(H235,GIOI_TINH!$B:$B,0)),"")</f>
        <v/>
      </c>
      <c r="H235" s="15"/>
      <c r="I235" s="15"/>
      <c r="J235" s="58" t="str">
        <f>IF(ISNUMBER(MATCH(K235,QUOC_GIA!$B:$B,0)),INDEX(QUOC_GIA!$A:$A,MATCH(K235,QUOC_GIA!$B:$B,0)),"")</f>
        <v/>
      </c>
      <c r="K235" s="50"/>
      <c r="L235" s="15"/>
      <c r="M235" s="58" t="str">
        <f>IF(ISNUMBER(MATCH(N235,LOAI_THUE!$B:$B,0)),INDEX(LOAI_THUE!$A:$A,MATCH(N235,LOAI_THUE!$B:$B,0)),"")</f>
        <v/>
      </c>
      <c r="N235" s="50"/>
      <c r="O235" s="58" t="str">
        <f>IF(ISNUMBER(MATCH(P235,CHI_TIET_LOAI_KH!$B:$B,0)),INDEX(CHI_TIET_LOAI_KH!$A:$A,MATCH(P235,CHI_TIET_LOAI_KH!$B:$B,0)),"")</f>
        <v/>
      </c>
      <c r="P235" s="50"/>
      <c r="Q235" s="58" t="str">
        <f>IF(ISNUMBER(MATCH(R235,NGHE_NGHIEP!$B:$B,0)),INDEX(NGHE_NGHIEP!$A:$A,MATCH(R235,NGHE_NGHIEP!$B:$B,0)),"")</f>
        <v/>
      </c>
      <c r="R235" s="50"/>
      <c r="S235" s="58" t="str">
        <f>IF(ISNUMBER(MATCH(T235,LOAI_ID!$B:$B,0)),INDEX(LOAI_ID!$A:$A,MATCH(T235,LOAI_ID!$B:$B,0)),"")</f>
        <v/>
      </c>
      <c r="T235" s="16"/>
      <c r="U235" s="48"/>
      <c r="V235" s="48"/>
      <c r="W235" s="17"/>
      <c r="X235" s="17"/>
      <c r="Y235" s="15"/>
      <c r="Z235" s="15"/>
      <c r="AA235" s="59" t="str">
        <f>IFERROR(INDEX(NOI_CAP!$B:$B,MATCH(Z235,NOI_CAP!$A:$A,0)),"")</f>
        <v/>
      </c>
      <c r="AB235" s="58" t="str">
        <f>IF(ISNUMBER(MATCH(AC235,LOAI_DIA_CHI!$B:$B,0)),INDEX(LOAI_DIA_CHI!$A:$A,MATCH(AC235,LOAI_DIA_CHI!$B:$B,0)),"")</f>
        <v/>
      </c>
      <c r="AC235" s="16"/>
      <c r="AD235" s="58" t="str">
        <f>IF(ISNUMBER(MATCH(AE235,QUOC_GIA!$B:$B,0)),INDEX(QUOC_GIA!$A:$A,MATCH(AE235,QUOC_GIA!$B:$B,0)),"")</f>
        <v/>
      </c>
      <c r="AE235" s="16"/>
      <c r="AF235" s="48"/>
      <c r="AG235" s="59" t="str">
        <f>IFERROR(INDEX(TINH_TP!$B:$B,MATCH(AF235,TINH_TP!$A:$A,0)),"")</f>
        <v/>
      </c>
      <c r="AH235" s="50"/>
      <c r="AI235" s="59" t="str">
        <f>IF(OR(AF235="",AH235=""),"",IF(COUNTIFS(PHUONG_XA!$A$2:$A$3323,AH235,PHUONG_XA!$C$2:$C$3323,AF235)=0,"",INDEX(PHUONG_XA!$B$2:$B$3323,SUMPRODUCT((PHUONG_XA!$A$2:$A$3323&amp;""=AH235&amp;"")*(PHUONG_XA!$C$2:$C$3323&amp;""=AF235&amp;"")*(ROW(PHUONG_XA!$A$2:$A$3323)-ROW(PHUONG_XA!$A$2)+1)))))</f>
        <v/>
      </c>
      <c r="AJ235" s="14"/>
      <c r="AK235" s="14"/>
      <c r="AL235" s="57" t="str">
        <f t="shared" si="4"/>
        <v/>
      </c>
      <c r="AM235" s="14"/>
      <c r="AN235" s="15"/>
      <c r="AO235" s="15"/>
      <c r="AP235" s="48"/>
      <c r="AQ235" s="15"/>
      <c r="AR235" s="15"/>
      <c r="AS235" s="15"/>
      <c r="AT235" s="60" t="str">
        <f>IF(ISNUMBER(MATCH(AU235,LOAI_THE!$B:$B,0)),INDEX(LOAI_THE!$A:$A,MATCH(AU235,LOAI_THE!$B:$B,0)),"")</f>
        <v/>
      </c>
      <c r="AU235" s="48"/>
      <c r="AV235" s="15"/>
      <c r="AW235" s="15"/>
      <c r="AX235" s="15"/>
      <c r="AY235" s="48"/>
    </row>
    <row r="236" spans="1:51" x14ac:dyDescent="0.3">
      <c r="A236" s="13" t="s">
        <v>522</v>
      </c>
      <c r="B236" s="48"/>
      <c r="C236" s="48"/>
      <c r="D236" s="48"/>
      <c r="E236" s="48"/>
      <c r="F236" s="48"/>
      <c r="G236" s="58" t="str">
        <f>IF(ISNUMBER(MATCH(H236,GIOI_TINH!$B:$B,0)),INDEX(GIOI_TINH!$A:$A,MATCH(H236,GIOI_TINH!$B:$B,0)),"")</f>
        <v/>
      </c>
      <c r="H236" s="15"/>
      <c r="I236" s="15"/>
      <c r="J236" s="58" t="str">
        <f>IF(ISNUMBER(MATCH(K236,QUOC_GIA!$B:$B,0)),INDEX(QUOC_GIA!$A:$A,MATCH(K236,QUOC_GIA!$B:$B,0)),"")</f>
        <v/>
      </c>
      <c r="K236" s="50"/>
      <c r="L236" s="15"/>
      <c r="M236" s="58" t="str">
        <f>IF(ISNUMBER(MATCH(N236,LOAI_THUE!$B:$B,0)),INDEX(LOAI_THUE!$A:$A,MATCH(N236,LOAI_THUE!$B:$B,0)),"")</f>
        <v/>
      </c>
      <c r="N236" s="50"/>
      <c r="O236" s="58" t="str">
        <f>IF(ISNUMBER(MATCH(P236,CHI_TIET_LOAI_KH!$B:$B,0)),INDEX(CHI_TIET_LOAI_KH!$A:$A,MATCH(P236,CHI_TIET_LOAI_KH!$B:$B,0)),"")</f>
        <v/>
      </c>
      <c r="P236" s="50"/>
      <c r="Q236" s="58" t="str">
        <f>IF(ISNUMBER(MATCH(R236,NGHE_NGHIEP!$B:$B,0)),INDEX(NGHE_NGHIEP!$A:$A,MATCH(R236,NGHE_NGHIEP!$B:$B,0)),"")</f>
        <v/>
      </c>
      <c r="R236" s="50"/>
      <c r="S236" s="58" t="str">
        <f>IF(ISNUMBER(MATCH(T236,LOAI_ID!$B:$B,0)),INDEX(LOAI_ID!$A:$A,MATCH(T236,LOAI_ID!$B:$B,0)),"")</f>
        <v/>
      </c>
      <c r="T236" s="16"/>
      <c r="U236" s="48"/>
      <c r="V236" s="48"/>
      <c r="W236" s="17"/>
      <c r="X236" s="17"/>
      <c r="Y236" s="15"/>
      <c r="Z236" s="15"/>
      <c r="AA236" s="59" t="str">
        <f>IFERROR(INDEX(NOI_CAP!$B:$B,MATCH(Z236,NOI_CAP!$A:$A,0)),"")</f>
        <v/>
      </c>
      <c r="AB236" s="58" t="str">
        <f>IF(ISNUMBER(MATCH(AC236,LOAI_DIA_CHI!$B:$B,0)),INDEX(LOAI_DIA_CHI!$A:$A,MATCH(AC236,LOAI_DIA_CHI!$B:$B,0)),"")</f>
        <v/>
      </c>
      <c r="AC236" s="16"/>
      <c r="AD236" s="58" t="str">
        <f>IF(ISNUMBER(MATCH(AE236,QUOC_GIA!$B:$B,0)),INDEX(QUOC_GIA!$A:$A,MATCH(AE236,QUOC_GIA!$B:$B,0)),"")</f>
        <v/>
      </c>
      <c r="AE236" s="16"/>
      <c r="AF236" s="48"/>
      <c r="AG236" s="59" t="str">
        <f>IFERROR(INDEX(TINH_TP!$B:$B,MATCH(AF236,TINH_TP!$A:$A,0)),"")</f>
        <v/>
      </c>
      <c r="AH236" s="50"/>
      <c r="AI236" s="59" t="str">
        <f>IF(OR(AF236="",AH236=""),"",IF(COUNTIFS(PHUONG_XA!$A$2:$A$3323,AH236,PHUONG_XA!$C$2:$C$3323,AF236)=0,"",INDEX(PHUONG_XA!$B$2:$B$3323,SUMPRODUCT((PHUONG_XA!$A$2:$A$3323&amp;""=AH236&amp;"")*(PHUONG_XA!$C$2:$C$3323&amp;""=AF236&amp;"")*(ROW(PHUONG_XA!$A$2:$A$3323)-ROW(PHUONG_XA!$A$2)+1)))))</f>
        <v/>
      </c>
      <c r="AJ236" s="14"/>
      <c r="AK236" s="14"/>
      <c r="AL236" s="57" t="str">
        <f t="shared" si="4"/>
        <v/>
      </c>
      <c r="AM236" s="14"/>
      <c r="AN236" s="15"/>
      <c r="AO236" s="15"/>
      <c r="AP236" s="48"/>
      <c r="AQ236" s="15"/>
      <c r="AR236" s="15"/>
      <c r="AS236" s="15"/>
      <c r="AT236" s="60" t="str">
        <f>IF(ISNUMBER(MATCH(AU236,LOAI_THE!$B:$B,0)),INDEX(LOAI_THE!$A:$A,MATCH(AU236,LOAI_THE!$B:$B,0)),"")</f>
        <v/>
      </c>
      <c r="AU236" s="48"/>
      <c r="AV236" s="15"/>
      <c r="AW236" s="15"/>
      <c r="AX236" s="15"/>
      <c r="AY236" s="48"/>
    </row>
    <row r="237" spans="1:51" x14ac:dyDescent="0.3">
      <c r="A237" s="13" t="s">
        <v>524</v>
      </c>
      <c r="B237" s="48"/>
      <c r="C237" s="48"/>
      <c r="D237" s="48"/>
      <c r="E237" s="48"/>
      <c r="F237" s="48"/>
      <c r="G237" s="58" t="str">
        <f>IF(ISNUMBER(MATCH(H237,GIOI_TINH!$B:$B,0)),INDEX(GIOI_TINH!$A:$A,MATCH(H237,GIOI_TINH!$B:$B,0)),"")</f>
        <v/>
      </c>
      <c r="H237" s="15"/>
      <c r="I237" s="15"/>
      <c r="J237" s="58" t="str">
        <f>IF(ISNUMBER(MATCH(K237,QUOC_GIA!$B:$B,0)),INDEX(QUOC_GIA!$A:$A,MATCH(K237,QUOC_GIA!$B:$B,0)),"")</f>
        <v/>
      </c>
      <c r="K237" s="50"/>
      <c r="L237" s="15"/>
      <c r="M237" s="58" t="str">
        <f>IF(ISNUMBER(MATCH(N237,LOAI_THUE!$B:$B,0)),INDEX(LOAI_THUE!$A:$A,MATCH(N237,LOAI_THUE!$B:$B,0)),"")</f>
        <v/>
      </c>
      <c r="N237" s="50"/>
      <c r="O237" s="58" t="str">
        <f>IF(ISNUMBER(MATCH(P237,CHI_TIET_LOAI_KH!$B:$B,0)),INDEX(CHI_TIET_LOAI_KH!$A:$A,MATCH(P237,CHI_TIET_LOAI_KH!$B:$B,0)),"")</f>
        <v/>
      </c>
      <c r="P237" s="50"/>
      <c r="Q237" s="58" t="str">
        <f>IF(ISNUMBER(MATCH(R237,NGHE_NGHIEP!$B:$B,0)),INDEX(NGHE_NGHIEP!$A:$A,MATCH(R237,NGHE_NGHIEP!$B:$B,0)),"")</f>
        <v/>
      </c>
      <c r="R237" s="50"/>
      <c r="S237" s="58" t="str">
        <f>IF(ISNUMBER(MATCH(T237,LOAI_ID!$B:$B,0)),INDEX(LOAI_ID!$A:$A,MATCH(T237,LOAI_ID!$B:$B,0)),"")</f>
        <v/>
      </c>
      <c r="T237" s="16"/>
      <c r="U237" s="48"/>
      <c r="V237" s="48"/>
      <c r="W237" s="17"/>
      <c r="X237" s="17"/>
      <c r="Y237" s="15"/>
      <c r="Z237" s="15"/>
      <c r="AA237" s="59" t="str">
        <f>IFERROR(INDEX(NOI_CAP!$B:$B,MATCH(Z237,NOI_CAP!$A:$A,0)),"")</f>
        <v/>
      </c>
      <c r="AB237" s="58" t="str">
        <f>IF(ISNUMBER(MATCH(AC237,LOAI_DIA_CHI!$B:$B,0)),INDEX(LOAI_DIA_CHI!$A:$A,MATCH(AC237,LOAI_DIA_CHI!$B:$B,0)),"")</f>
        <v/>
      </c>
      <c r="AC237" s="16"/>
      <c r="AD237" s="58" t="str">
        <f>IF(ISNUMBER(MATCH(AE237,QUOC_GIA!$B:$B,0)),INDEX(QUOC_GIA!$A:$A,MATCH(AE237,QUOC_GIA!$B:$B,0)),"")</f>
        <v/>
      </c>
      <c r="AE237" s="16"/>
      <c r="AF237" s="48"/>
      <c r="AG237" s="59" t="str">
        <f>IFERROR(INDEX(TINH_TP!$B:$B,MATCH(AF237,TINH_TP!$A:$A,0)),"")</f>
        <v/>
      </c>
      <c r="AH237" s="50"/>
      <c r="AI237" s="59" t="str">
        <f>IF(OR(AF237="",AH237=""),"",IF(COUNTIFS(PHUONG_XA!$A$2:$A$3323,AH237,PHUONG_XA!$C$2:$C$3323,AF237)=0,"",INDEX(PHUONG_XA!$B$2:$B$3323,SUMPRODUCT((PHUONG_XA!$A$2:$A$3323&amp;""=AH237&amp;"")*(PHUONG_XA!$C$2:$C$3323&amp;""=AF237&amp;"")*(ROW(PHUONG_XA!$A$2:$A$3323)-ROW(PHUONG_XA!$A$2)+1)))))</f>
        <v/>
      </c>
      <c r="AJ237" s="14"/>
      <c r="AK237" s="14"/>
      <c r="AL237" s="57" t="str">
        <f t="shared" si="4"/>
        <v/>
      </c>
      <c r="AM237" s="14"/>
      <c r="AN237" s="15"/>
      <c r="AO237" s="15"/>
      <c r="AP237" s="48"/>
      <c r="AQ237" s="15"/>
      <c r="AR237" s="15"/>
      <c r="AS237" s="15"/>
      <c r="AT237" s="60" t="str">
        <f>IF(ISNUMBER(MATCH(AU237,LOAI_THE!$B:$B,0)),INDEX(LOAI_THE!$A:$A,MATCH(AU237,LOAI_THE!$B:$B,0)),"")</f>
        <v/>
      </c>
      <c r="AU237" s="48"/>
      <c r="AV237" s="15"/>
      <c r="AW237" s="15"/>
      <c r="AX237" s="15"/>
      <c r="AY237" s="48"/>
    </row>
    <row r="238" spans="1:51" x14ac:dyDescent="0.3">
      <c r="A238" s="13" t="s">
        <v>526</v>
      </c>
      <c r="B238" s="48"/>
      <c r="C238" s="48"/>
      <c r="D238" s="48"/>
      <c r="E238" s="48"/>
      <c r="F238" s="48"/>
      <c r="G238" s="58" t="str">
        <f>IF(ISNUMBER(MATCH(H238,GIOI_TINH!$B:$B,0)),INDEX(GIOI_TINH!$A:$A,MATCH(H238,GIOI_TINH!$B:$B,0)),"")</f>
        <v/>
      </c>
      <c r="H238" s="15"/>
      <c r="I238" s="15"/>
      <c r="J238" s="58" t="str">
        <f>IF(ISNUMBER(MATCH(K238,QUOC_GIA!$B:$B,0)),INDEX(QUOC_GIA!$A:$A,MATCH(K238,QUOC_GIA!$B:$B,0)),"")</f>
        <v/>
      </c>
      <c r="K238" s="50"/>
      <c r="L238" s="15"/>
      <c r="M238" s="58" t="str">
        <f>IF(ISNUMBER(MATCH(N238,LOAI_THUE!$B:$B,0)),INDEX(LOAI_THUE!$A:$A,MATCH(N238,LOAI_THUE!$B:$B,0)),"")</f>
        <v/>
      </c>
      <c r="N238" s="50"/>
      <c r="O238" s="58" t="str">
        <f>IF(ISNUMBER(MATCH(P238,CHI_TIET_LOAI_KH!$B:$B,0)),INDEX(CHI_TIET_LOAI_KH!$A:$A,MATCH(P238,CHI_TIET_LOAI_KH!$B:$B,0)),"")</f>
        <v/>
      </c>
      <c r="P238" s="50"/>
      <c r="Q238" s="58" t="str">
        <f>IF(ISNUMBER(MATCH(R238,NGHE_NGHIEP!$B:$B,0)),INDEX(NGHE_NGHIEP!$A:$A,MATCH(R238,NGHE_NGHIEP!$B:$B,0)),"")</f>
        <v/>
      </c>
      <c r="R238" s="50"/>
      <c r="S238" s="58" t="str">
        <f>IF(ISNUMBER(MATCH(T238,LOAI_ID!$B:$B,0)),INDEX(LOAI_ID!$A:$A,MATCH(T238,LOAI_ID!$B:$B,0)),"")</f>
        <v/>
      </c>
      <c r="T238" s="16"/>
      <c r="U238" s="48"/>
      <c r="V238" s="48"/>
      <c r="W238" s="17"/>
      <c r="X238" s="17"/>
      <c r="Y238" s="15"/>
      <c r="Z238" s="15"/>
      <c r="AA238" s="59" t="str">
        <f>IFERROR(INDEX(NOI_CAP!$B:$B,MATCH(Z238,NOI_CAP!$A:$A,0)),"")</f>
        <v/>
      </c>
      <c r="AB238" s="58" t="str">
        <f>IF(ISNUMBER(MATCH(AC238,LOAI_DIA_CHI!$B:$B,0)),INDEX(LOAI_DIA_CHI!$A:$A,MATCH(AC238,LOAI_DIA_CHI!$B:$B,0)),"")</f>
        <v/>
      </c>
      <c r="AC238" s="16"/>
      <c r="AD238" s="58" t="str">
        <f>IF(ISNUMBER(MATCH(AE238,QUOC_GIA!$B:$B,0)),INDEX(QUOC_GIA!$A:$A,MATCH(AE238,QUOC_GIA!$B:$B,0)),"")</f>
        <v/>
      </c>
      <c r="AE238" s="16"/>
      <c r="AF238" s="48"/>
      <c r="AG238" s="59" t="str">
        <f>IFERROR(INDEX(TINH_TP!$B:$B,MATCH(AF238,TINH_TP!$A:$A,0)),"")</f>
        <v/>
      </c>
      <c r="AH238" s="50"/>
      <c r="AI238" s="59" t="str">
        <f>IF(OR(AF238="",AH238=""),"",IF(COUNTIFS(PHUONG_XA!$A$2:$A$3323,AH238,PHUONG_XA!$C$2:$C$3323,AF238)=0,"",INDEX(PHUONG_XA!$B$2:$B$3323,SUMPRODUCT((PHUONG_XA!$A$2:$A$3323&amp;""=AH238&amp;"")*(PHUONG_XA!$C$2:$C$3323&amp;""=AF238&amp;"")*(ROW(PHUONG_XA!$A$2:$A$3323)-ROW(PHUONG_XA!$A$2)+1)))))</f>
        <v/>
      </c>
      <c r="AJ238" s="14"/>
      <c r="AK238" s="14"/>
      <c r="AL238" s="57" t="str">
        <f t="shared" si="4"/>
        <v/>
      </c>
      <c r="AM238" s="14"/>
      <c r="AN238" s="15"/>
      <c r="AO238" s="15"/>
      <c r="AP238" s="48"/>
      <c r="AQ238" s="15"/>
      <c r="AR238" s="15"/>
      <c r="AS238" s="15"/>
      <c r="AT238" s="60" t="str">
        <f>IF(ISNUMBER(MATCH(AU238,LOAI_THE!$B:$B,0)),INDEX(LOAI_THE!$A:$A,MATCH(AU238,LOAI_THE!$B:$B,0)),"")</f>
        <v/>
      </c>
      <c r="AU238" s="48"/>
      <c r="AV238" s="15"/>
      <c r="AW238" s="15"/>
      <c r="AX238" s="15"/>
      <c r="AY238" s="48"/>
    </row>
    <row r="239" spans="1:51" x14ac:dyDescent="0.3">
      <c r="A239" s="13" t="s">
        <v>528</v>
      </c>
      <c r="B239" s="48"/>
      <c r="C239" s="48"/>
      <c r="D239" s="48"/>
      <c r="E239" s="48"/>
      <c r="F239" s="48"/>
      <c r="G239" s="58" t="str">
        <f>IF(ISNUMBER(MATCH(H239,GIOI_TINH!$B:$B,0)),INDEX(GIOI_TINH!$A:$A,MATCH(H239,GIOI_TINH!$B:$B,0)),"")</f>
        <v/>
      </c>
      <c r="H239" s="15"/>
      <c r="I239" s="15"/>
      <c r="J239" s="58" t="str">
        <f>IF(ISNUMBER(MATCH(K239,QUOC_GIA!$B:$B,0)),INDEX(QUOC_GIA!$A:$A,MATCH(K239,QUOC_GIA!$B:$B,0)),"")</f>
        <v/>
      </c>
      <c r="K239" s="50"/>
      <c r="L239" s="15"/>
      <c r="M239" s="58" t="str">
        <f>IF(ISNUMBER(MATCH(N239,LOAI_THUE!$B:$B,0)),INDEX(LOAI_THUE!$A:$A,MATCH(N239,LOAI_THUE!$B:$B,0)),"")</f>
        <v/>
      </c>
      <c r="N239" s="50"/>
      <c r="O239" s="58" t="str">
        <f>IF(ISNUMBER(MATCH(P239,CHI_TIET_LOAI_KH!$B:$B,0)),INDEX(CHI_TIET_LOAI_KH!$A:$A,MATCH(P239,CHI_TIET_LOAI_KH!$B:$B,0)),"")</f>
        <v/>
      </c>
      <c r="P239" s="50"/>
      <c r="Q239" s="58" t="str">
        <f>IF(ISNUMBER(MATCH(R239,NGHE_NGHIEP!$B:$B,0)),INDEX(NGHE_NGHIEP!$A:$A,MATCH(R239,NGHE_NGHIEP!$B:$B,0)),"")</f>
        <v/>
      </c>
      <c r="R239" s="50"/>
      <c r="S239" s="58" t="str">
        <f>IF(ISNUMBER(MATCH(T239,LOAI_ID!$B:$B,0)),INDEX(LOAI_ID!$A:$A,MATCH(T239,LOAI_ID!$B:$B,0)),"")</f>
        <v/>
      </c>
      <c r="T239" s="16"/>
      <c r="U239" s="48"/>
      <c r="V239" s="48"/>
      <c r="W239" s="17"/>
      <c r="X239" s="17"/>
      <c r="Y239" s="15"/>
      <c r="Z239" s="15"/>
      <c r="AA239" s="59" t="str">
        <f>IFERROR(INDEX(NOI_CAP!$B:$B,MATCH(Z239,NOI_CAP!$A:$A,0)),"")</f>
        <v/>
      </c>
      <c r="AB239" s="58" t="str">
        <f>IF(ISNUMBER(MATCH(AC239,LOAI_DIA_CHI!$B:$B,0)),INDEX(LOAI_DIA_CHI!$A:$A,MATCH(AC239,LOAI_DIA_CHI!$B:$B,0)),"")</f>
        <v/>
      </c>
      <c r="AC239" s="16"/>
      <c r="AD239" s="58" t="str">
        <f>IF(ISNUMBER(MATCH(AE239,QUOC_GIA!$B:$B,0)),INDEX(QUOC_GIA!$A:$A,MATCH(AE239,QUOC_GIA!$B:$B,0)),"")</f>
        <v/>
      </c>
      <c r="AE239" s="16"/>
      <c r="AF239" s="48"/>
      <c r="AG239" s="59" t="str">
        <f>IFERROR(INDEX(TINH_TP!$B:$B,MATCH(AF239,TINH_TP!$A:$A,0)),"")</f>
        <v/>
      </c>
      <c r="AH239" s="50"/>
      <c r="AI239" s="59" t="str">
        <f>IF(OR(AF239="",AH239=""),"",IF(COUNTIFS(PHUONG_XA!$A$2:$A$3323,AH239,PHUONG_XA!$C$2:$C$3323,AF239)=0,"",INDEX(PHUONG_XA!$B$2:$B$3323,SUMPRODUCT((PHUONG_XA!$A$2:$A$3323&amp;""=AH239&amp;"")*(PHUONG_XA!$C$2:$C$3323&amp;""=AF239&amp;"")*(ROW(PHUONG_XA!$A$2:$A$3323)-ROW(PHUONG_XA!$A$2)+1)))))</f>
        <v/>
      </c>
      <c r="AJ239" s="14"/>
      <c r="AK239" s="14"/>
      <c r="AL239" s="57" t="str">
        <f t="shared" si="4"/>
        <v/>
      </c>
      <c r="AM239" s="14"/>
      <c r="AN239" s="15"/>
      <c r="AO239" s="15"/>
      <c r="AP239" s="48"/>
      <c r="AQ239" s="15"/>
      <c r="AR239" s="15"/>
      <c r="AS239" s="15"/>
      <c r="AT239" s="60" t="str">
        <f>IF(ISNUMBER(MATCH(AU239,LOAI_THE!$B:$B,0)),INDEX(LOAI_THE!$A:$A,MATCH(AU239,LOAI_THE!$B:$B,0)),"")</f>
        <v/>
      </c>
      <c r="AU239" s="48"/>
      <c r="AV239" s="15"/>
      <c r="AW239" s="15"/>
      <c r="AX239" s="15"/>
      <c r="AY239" s="48"/>
    </row>
    <row r="240" spans="1:51" x14ac:dyDescent="0.3">
      <c r="A240" s="13" t="s">
        <v>530</v>
      </c>
      <c r="B240" s="48"/>
      <c r="C240" s="48"/>
      <c r="D240" s="48"/>
      <c r="E240" s="48"/>
      <c r="F240" s="48"/>
      <c r="G240" s="58" t="str">
        <f>IF(ISNUMBER(MATCH(H240,GIOI_TINH!$B:$B,0)),INDEX(GIOI_TINH!$A:$A,MATCH(H240,GIOI_TINH!$B:$B,0)),"")</f>
        <v/>
      </c>
      <c r="H240" s="15"/>
      <c r="I240" s="15"/>
      <c r="J240" s="58" t="str">
        <f>IF(ISNUMBER(MATCH(K240,QUOC_GIA!$B:$B,0)),INDEX(QUOC_GIA!$A:$A,MATCH(K240,QUOC_GIA!$B:$B,0)),"")</f>
        <v/>
      </c>
      <c r="K240" s="50"/>
      <c r="L240" s="15"/>
      <c r="M240" s="58" t="str">
        <f>IF(ISNUMBER(MATCH(N240,LOAI_THUE!$B:$B,0)),INDEX(LOAI_THUE!$A:$A,MATCH(N240,LOAI_THUE!$B:$B,0)),"")</f>
        <v/>
      </c>
      <c r="N240" s="50"/>
      <c r="O240" s="58" t="str">
        <f>IF(ISNUMBER(MATCH(P240,CHI_TIET_LOAI_KH!$B:$B,0)),INDEX(CHI_TIET_LOAI_KH!$A:$A,MATCH(P240,CHI_TIET_LOAI_KH!$B:$B,0)),"")</f>
        <v/>
      </c>
      <c r="P240" s="50"/>
      <c r="Q240" s="58" t="str">
        <f>IF(ISNUMBER(MATCH(R240,NGHE_NGHIEP!$B:$B,0)),INDEX(NGHE_NGHIEP!$A:$A,MATCH(R240,NGHE_NGHIEP!$B:$B,0)),"")</f>
        <v/>
      </c>
      <c r="R240" s="50"/>
      <c r="S240" s="58" t="str">
        <f>IF(ISNUMBER(MATCH(T240,LOAI_ID!$B:$B,0)),INDEX(LOAI_ID!$A:$A,MATCH(T240,LOAI_ID!$B:$B,0)),"")</f>
        <v/>
      </c>
      <c r="T240" s="16"/>
      <c r="U240" s="48"/>
      <c r="V240" s="48"/>
      <c r="W240" s="17"/>
      <c r="X240" s="17"/>
      <c r="Y240" s="15"/>
      <c r="Z240" s="15"/>
      <c r="AA240" s="59" t="str">
        <f>IFERROR(INDEX(NOI_CAP!$B:$B,MATCH(Z240,NOI_CAP!$A:$A,0)),"")</f>
        <v/>
      </c>
      <c r="AB240" s="58" t="str">
        <f>IF(ISNUMBER(MATCH(AC240,LOAI_DIA_CHI!$B:$B,0)),INDEX(LOAI_DIA_CHI!$A:$A,MATCH(AC240,LOAI_DIA_CHI!$B:$B,0)),"")</f>
        <v/>
      </c>
      <c r="AC240" s="16"/>
      <c r="AD240" s="58" t="str">
        <f>IF(ISNUMBER(MATCH(AE240,QUOC_GIA!$B:$B,0)),INDEX(QUOC_GIA!$A:$A,MATCH(AE240,QUOC_GIA!$B:$B,0)),"")</f>
        <v/>
      </c>
      <c r="AE240" s="16"/>
      <c r="AF240" s="48"/>
      <c r="AG240" s="59" t="str">
        <f>IFERROR(INDEX(TINH_TP!$B:$B,MATCH(AF240,TINH_TP!$A:$A,0)),"")</f>
        <v/>
      </c>
      <c r="AH240" s="50"/>
      <c r="AI240" s="59" t="str">
        <f>IF(OR(AF240="",AH240=""),"",IF(COUNTIFS(PHUONG_XA!$A$2:$A$3323,AH240,PHUONG_XA!$C$2:$C$3323,AF240)=0,"",INDEX(PHUONG_XA!$B$2:$B$3323,SUMPRODUCT((PHUONG_XA!$A$2:$A$3323&amp;""=AH240&amp;"")*(PHUONG_XA!$C$2:$C$3323&amp;""=AF240&amp;"")*(ROW(PHUONG_XA!$A$2:$A$3323)-ROW(PHUONG_XA!$A$2)+1)))))</f>
        <v/>
      </c>
      <c r="AJ240" s="14"/>
      <c r="AK240" s="14"/>
      <c r="AL240" s="57" t="str">
        <f t="shared" si="4"/>
        <v/>
      </c>
      <c r="AM240" s="14"/>
      <c r="AN240" s="15"/>
      <c r="AO240" s="15"/>
      <c r="AP240" s="48"/>
      <c r="AQ240" s="15"/>
      <c r="AR240" s="15"/>
      <c r="AS240" s="15"/>
      <c r="AT240" s="60" t="str">
        <f>IF(ISNUMBER(MATCH(AU240,LOAI_THE!$B:$B,0)),INDEX(LOAI_THE!$A:$A,MATCH(AU240,LOAI_THE!$B:$B,0)),"")</f>
        <v/>
      </c>
      <c r="AU240" s="48"/>
      <c r="AV240" s="15"/>
      <c r="AW240" s="15"/>
      <c r="AX240" s="15"/>
      <c r="AY240" s="48"/>
    </row>
    <row r="241" spans="1:51" x14ac:dyDescent="0.3">
      <c r="A241" s="13" t="s">
        <v>532</v>
      </c>
      <c r="B241" s="48"/>
      <c r="C241" s="48"/>
      <c r="D241" s="48"/>
      <c r="E241" s="48"/>
      <c r="F241" s="48"/>
      <c r="G241" s="58" t="str">
        <f>IF(ISNUMBER(MATCH(H241,GIOI_TINH!$B:$B,0)),INDEX(GIOI_TINH!$A:$A,MATCH(H241,GIOI_TINH!$B:$B,0)),"")</f>
        <v/>
      </c>
      <c r="H241" s="15"/>
      <c r="I241" s="15"/>
      <c r="J241" s="58" t="str">
        <f>IF(ISNUMBER(MATCH(K241,QUOC_GIA!$B:$B,0)),INDEX(QUOC_GIA!$A:$A,MATCH(K241,QUOC_GIA!$B:$B,0)),"")</f>
        <v/>
      </c>
      <c r="K241" s="50"/>
      <c r="L241" s="15"/>
      <c r="M241" s="58" t="str">
        <f>IF(ISNUMBER(MATCH(N241,LOAI_THUE!$B:$B,0)),INDEX(LOAI_THUE!$A:$A,MATCH(N241,LOAI_THUE!$B:$B,0)),"")</f>
        <v/>
      </c>
      <c r="N241" s="50"/>
      <c r="O241" s="58" t="str">
        <f>IF(ISNUMBER(MATCH(P241,CHI_TIET_LOAI_KH!$B:$B,0)),INDEX(CHI_TIET_LOAI_KH!$A:$A,MATCH(P241,CHI_TIET_LOAI_KH!$B:$B,0)),"")</f>
        <v/>
      </c>
      <c r="P241" s="50"/>
      <c r="Q241" s="58" t="str">
        <f>IF(ISNUMBER(MATCH(R241,NGHE_NGHIEP!$B:$B,0)),INDEX(NGHE_NGHIEP!$A:$A,MATCH(R241,NGHE_NGHIEP!$B:$B,0)),"")</f>
        <v/>
      </c>
      <c r="R241" s="50"/>
      <c r="S241" s="58" t="str">
        <f>IF(ISNUMBER(MATCH(T241,LOAI_ID!$B:$B,0)),INDEX(LOAI_ID!$A:$A,MATCH(T241,LOAI_ID!$B:$B,0)),"")</f>
        <v/>
      </c>
      <c r="T241" s="16"/>
      <c r="U241" s="48"/>
      <c r="V241" s="48"/>
      <c r="W241" s="17"/>
      <c r="X241" s="17"/>
      <c r="Y241" s="15"/>
      <c r="Z241" s="15"/>
      <c r="AA241" s="59" t="str">
        <f>IFERROR(INDEX(NOI_CAP!$B:$B,MATCH(Z241,NOI_CAP!$A:$A,0)),"")</f>
        <v/>
      </c>
      <c r="AB241" s="58" t="str">
        <f>IF(ISNUMBER(MATCH(AC241,LOAI_DIA_CHI!$B:$B,0)),INDEX(LOAI_DIA_CHI!$A:$A,MATCH(AC241,LOAI_DIA_CHI!$B:$B,0)),"")</f>
        <v/>
      </c>
      <c r="AC241" s="16"/>
      <c r="AD241" s="58" t="str">
        <f>IF(ISNUMBER(MATCH(AE241,QUOC_GIA!$B:$B,0)),INDEX(QUOC_GIA!$A:$A,MATCH(AE241,QUOC_GIA!$B:$B,0)),"")</f>
        <v/>
      </c>
      <c r="AE241" s="16"/>
      <c r="AF241" s="48"/>
      <c r="AG241" s="59" t="str">
        <f>IFERROR(INDEX(TINH_TP!$B:$B,MATCH(AF241,TINH_TP!$A:$A,0)),"")</f>
        <v/>
      </c>
      <c r="AH241" s="50"/>
      <c r="AI241" s="59" t="str">
        <f>IF(OR(AF241="",AH241=""),"",IF(COUNTIFS(PHUONG_XA!$A$2:$A$3323,AH241,PHUONG_XA!$C$2:$C$3323,AF241)=0,"",INDEX(PHUONG_XA!$B$2:$B$3323,SUMPRODUCT((PHUONG_XA!$A$2:$A$3323&amp;""=AH241&amp;"")*(PHUONG_XA!$C$2:$C$3323&amp;""=AF241&amp;"")*(ROW(PHUONG_XA!$A$2:$A$3323)-ROW(PHUONG_XA!$A$2)+1)))))</f>
        <v/>
      </c>
      <c r="AJ241" s="14"/>
      <c r="AK241" s="14"/>
      <c r="AL241" s="57" t="str">
        <f t="shared" si="4"/>
        <v/>
      </c>
      <c r="AM241" s="14"/>
      <c r="AN241" s="15"/>
      <c r="AO241" s="15"/>
      <c r="AP241" s="48"/>
      <c r="AQ241" s="15"/>
      <c r="AR241" s="15"/>
      <c r="AS241" s="15"/>
      <c r="AT241" s="60" t="str">
        <f>IF(ISNUMBER(MATCH(AU241,LOAI_THE!$B:$B,0)),INDEX(LOAI_THE!$A:$A,MATCH(AU241,LOAI_THE!$B:$B,0)),"")</f>
        <v/>
      </c>
      <c r="AU241" s="48"/>
      <c r="AV241" s="15"/>
      <c r="AW241" s="15"/>
      <c r="AX241" s="15"/>
      <c r="AY241" s="48"/>
    </row>
    <row r="242" spans="1:51" x14ac:dyDescent="0.3">
      <c r="A242" s="13" t="s">
        <v>534</v>
      </c>
      <c r="B242" s="48"/>
      <c r="C242" s="48"/>
      <c r="D242" s="48"/>
      <c r="E242" s="48"/>
      <c r="F242" s="48"/>
      <c r="G242" s="58" t="str">
        <f>IF(ISNUMBER(MATCH(H242,GIOI_TINH!$B:$B,0)),INDEX(GIOI_TINH!$A:$A,MATCH(H242,GIOI_TINH!$B:$B,0)),"")</f>
        <v/>
      </c>
      <c r="H242" s="15"/>
      <c r="I242" s="15"/>
      <c r="J242" s="58" t="str">
        <f>IF(ISNUMBER(MATCH(K242,QUOC_GIA!$B:$B,0)),INDEX(QUOC_GIA!$A:$A,MATCH(K242,QUOC_GIA!$B:$B,0)),"")</f>
        <v/>
      </c>
      <c r="K242" s="50"/>
      <c r="L242" s="15"/>
      <c r="M242" s="58" t="str">
        <f>IF(ISNUMBER(MATCH(N242,LOAI_THUE!$B:$B,0)),INDEX(LOAI_THUE!$A:$A,MATCH(N242,LOAI_THUE!$B:$B,0)),"")</f>
        <v/>
      </c>
      <c r="N242" s="50"/>
      <c r="O242" s="58" t="str">
        <f>IF(ISNUMBER(MATCH(P242,CHI_TIET_LOAI_KH!$B:$B,0)),INDEX(CHI_TIET_LOAI_KH!$A:$A,MATCH(P242,CHI_TIET_LOAI_KH!$B:$B,0)),"")</f>
        <v/>
      </c>
      <c r="P242" s="50"/>
      <c r="Q242" s="58" t="str">
        <f>IF(ISNUMBER(MATCH(R242,NGHE_NGHIEP!$B:$B,0)),INDEX(NGHE_NGHIEP!$A:$A,MATCH(R242,NGHE_NGHIEP!$B:$B,0)),"")</f>
        <v/>
      </c>
      <c r="R242" s="50"/>
      <c r="S242" s="58" t="str">
        <f>IF(ISNUMBER(MATCH(T242,LOAI_ID!$B:$B,0)),INDEX(LOAI_ID!$A:$A,MATCH(T242,LOAI_ID!$B:$B,0)),"")</f>
        <v/>
      </c>
      <c r="T242" s="16"/>
      <c r="U242" s="48"/>
      <c r="V242" s="48"/>
      <c r="W242" s="17"/>
      <c r="X242" s="17"/>
      <c r="Y242" s="15"/>
      <c r="Z242" s="15"/>
      <c r="AA242" s="59" t="str">
        <f>IFERROR(INDEX(NOI_CAP!$B:$B,MATCH(Z242,NOI_CAP!$A:$A,0)),"")</f>
        <v/>
      </c>
      <c r="AB242" s="58" t="str">
        <f>IF(ISNUMBER(MATCH(AC242,LOAI_DIA_CHI!$B:$B,0)),INDEX(LOAI_DIA_CHI!$A:$A,MATCH(AC242,LOAI_DIA_CHI!$B:$B,0)),"")</f>
        <v/>
      </c>
      <c r="AC242" s="16"/>
      <c r="AD242" s="58" t="str">
        <f>IF(ISNUMBER(MATCH(AE242,QUOC_GIA!$B:$B,0)),INDEX(QUOC_GIA!$A:$A,MATCH(AE242,QUOC_GIA!$B:$B,0)),"")</f>
        <v/>
      </c>
      <c r="AE242" s="16"/>
      <c r="AF242" s="48"/>
      <c r="AG242" s="59" t="str">
        <f>IFERROR(INDEX(TINH_TP!$B:$B,MATCH(AF242,TINH_TP!$A:$A,0)),"")</f>
        <v/>
      </c>
      <c r="AH242" s="50"/>
      <c r="AI242" s="59" t="str">
        <f>IF(OR(AF242="",AH242=""),"",IF(COUNTIFS(PHUONG_XA!$A$2:$A$3323,AH242,PHUONG_XA!$C$2:$C$3323,AF242)=0,"",INDEX(PHUONG_XA!$B$2:$B$3323,SUMPRODUCT((PHUONG_XA!$A$2:$A$3323&amp;""=AH242&amp;"")*(PHUONG_XA!$C$2:$C$3323&amp;""=AF242&amp;"")*(ROW(PHUONG_XA!$A$2:$A$3323)-ROW(PHUONG_XA!$A$2)+1)))))</f>
        <v/>
      </c>
      <c r="AJ242" s="14"/>
      <c r="AK242" s="14"/>
      <c r="AL242" s="57" t="str">
        <f t="shared" si="4"/>
        <v/>
      </c>
      <c r="AM242" s="14"/>
      <c r="AN242" s="15"/>
      <c r="AO242" s="15"/>
      <c r="AP242" s="48"/>
      <c r="AQ242" s="15"/>
      <c r="AR242" s="15"/>
      <c r="AS242" s="15"/>
      <c r="AT242" s="60" t="str">
        <f>IF(ISNUMBER(MATCH(AU242,LOAI_THE!$B:$B,0)),INDEX(LOAI_THE!$A:$A,MATCH(AU242,LOAI_THE!$B:$B,0)),"")</f>
        <v/>
      </c>
      <c r="AU242" s="48"/>
      <c r="AV242" s="15"/>
      <c r="AW242" s="15"/>
      <c r="AX242" s="15"/>
      <c r="AY242" s="48"/>
    </row>
    <row r="243" spans="1:51" x14ac:dyDescent="0.3">
      <c r="A243" s="13" t="s">
        <v>536</v>
      </c>
      <c r="B243" s="48"/>
      <c r="C243" s="48"/>
      <c r="D243" s="48"/>
      <c r="E243" s="48"/>
      <c r="F243" s="48"/>
      <c r="G243" s="58" t="str">
        <f>IF(ISNUMBER(MATCH(H243,GIOI_TINH!$B:$B,0)),INDEX(GIOI_TINH!$A:$A,MATCH(H243,GIOI_TINH!$B:$B,0)),"")</f>
        <v/>
      </c>
      <c r="H243" s="15"/>
      <c r="I243" s="15"/>
      <c r="J243" s="58" t="str">
        <f>IF(ISNUMBER(MATCH(K243,QUOC_GIA!$B:$B,0)),INDEX(QUOC_GIA!$A:$A,MATCH(K243,QUOC_GIA!$B:$B,0)),"")</f>
        <v/>
      </c>
      <c r="K243" s="50"/>
      <c r="L243" s="15"/>
      <c r="M243" s="58" t="str">
        <f>IF(ISNUMBER(MATCH(N243,LOAI_THUE!$B:$B,0)),INDEX(LOAI_THUE!$A:$A,MATCH(N243,LOAI_THUE!$B:$B,0)),"")</f>
        <v/>
      </c>
      <c r="N243" s="50"/>
      <c r="O243" s="58" t="str">
        <f>IF(ISNUMBER(MATCH(P243,CHI_TIET_LOAI_KH!$B:$B,0)),INDEX(CHI_TIET_LOAI_KH!$A:$A,MATCH(P243,CHI_TIET_LOAI_KH!$B:$B,0)),"")</f>
        <v/>
      </c>
      <c r="P243" s="50"/>
      <c r="Q243" s="58" t="str">
        <f>IF(ISNUMBER(MATCH(R243,NGHE_NGHIEP!$B:$B,0)),INDEX(NGHE_NGHIEP!$A:$A,MATCH(R243,NGHE_NGHIEP!$B:$B,0)),"")</f>
        <v/>
      </c>
      <c r="R243" s="50"/>
      <c r="S243" s="58" t="str">
        <f>IF(ISNUMBER(MATCH(T243,LOAI_ID!$B:$B,0)),INDEX(LOAI_ID!$A:$A,MATCH(T243,LOAI_ID!$B:$B,0)),"")</f>
        <v/>
      </c>
      <c r="T243" s="16"/>
      <c r="U243" s="48"/>
      <c r="V243" s="48"/>
      <c r="W243" s="17"/>
      <c r="X243" s="17"/>
      <c r="Y243" s="15"/>
      <c r="Z243" s="15"/>
      <c r="AA243" s="59" t="str">
        <f>IFERROR(INDEX(NOI_CAP!$B:$B,MATCH(Z243,NOI_CAP!$A:$A,0)),"")</f>
        <v/>
      </c>
      <c r="AB243" s="58" t="str">
        <f>IF(ISNUMBER(MATCH(AC243,LOAI_DIA_CHI!$B:$B,0)),INDEX(LOAI_DIA_CHI!$A:$A,MATCH(AC243,LOAI_DIA_CHI!$B:$B,0)),"")</f>
        <v/>
      </c>
      <c r="AC243" s="16"/>
      <c r="AD243" s="58" t="str">
        <f>IF(ISNUMBER(MATCH(AE243,QUOC_GIA!$B:$B,0)),INDEX(QUOC_GIA!$A:$A,MATCH(AE243,QUOC_GIA!$B:$B,0)),"")</f>
        <v/>
      </c>
      <c r="AE243" s="16"/>
      <c r="AF243" s="48"/>
      <c r="AG243" s="59" t="str">
        <f>IFERROR(INDEX(TINH_TP!$B:$B,MATCH(AF243,TINH_TP!$A:$A,0)),"")</f>
        <v/>
      </c>
      <c r="AH243" s="50"/>
      <c r="AI243" s="59" t="str">
        <f>IF(OR(AF243="",AH243=""),"",IF(COUNTIFS(PHUONG_XA!$A$2:$A$3323,AH243,PHUONG_XA!$C$2:$C$3323,AF243)=0,"",INDEX(PHUONG_XA!$B$2:$B$3323,SUMPRODUCT((PHUONG_XA!$A$2:$A$3323&amp;""=AH243&amp;"")*(PHUONG_XA!$C$2:$C$3323&amp;""=AF243&amp;"")*(ROW(PHUONG_XA!$A$2:$A$3323)-ROW(PHUONG_XA!$A$2)+1)))))</f>
        <v/>
      </c>
      <c r="AJ243" s="14"/>
      <c r="AK243" s="14"/>
      <c r="AL243" s="57" t="str">
        <f t="shared" si="4"/>
        <v/>
      </c>
      <c r="AM243" s="14"/>
      <c r="AN243" s="15"/>
      <c r="AO243" s="15"/>
      <c r="AP243" s="48"/>
      <c r="AQ243" s="15"/>
      <c r="AR243" s="15"/>
      <c r="AS243" s="15"/>
      <c r="AT243" s="60" t="str">
        <f>IF(ISNUMBER(MATCH(AU243,LOAI_THE!$B:$B,0)),INDEX(LOAI_THE!$A:$A,MATCH(AU243,LOAI_THE!$B:$B,0)),"")</f>
        <v/>
      </c>
      <c r="AU243" s="48"/>
      <c r="AV243" s="15"/>
      <c r="AW243" s="15"/>
      <c r="AX243" s="15"/>
      <c r="AY243" s="48"/>
    </row>
    <row r="244" spans="1:51" x14ac:dyDescent="0.3">
      <c r="A244" s="13" t="s">
        <v>538</v>
      </c>
      <c r="B244" s="48"/>
      <c r="C244" s="48"/>
      <c r="D244" s="48"/>
      <c r="E244" s="48"/>
      <c r="F244" s="48"/>
      <c r="G244" s="58" t="str">
        <f>IF(ISNUMBER(MATCH(H244,GIOI_TINH!$B:$B,0)),INDEX(GIOI_TINH!$A:$A,MATCH(H244,GIOI_TINH!$B:$B,0)),"")</f>
        <v/>
      </c>
      <c r="H244" s="15"/>
      <c r="I244" s="15"/>
      <c r="J244" s="58" t="str">
        <f>IF(ISNUMBER(MATCH(K244,QUOC_GIA!$B:$B,0)),INDEX(QUOC_GIA!$A:$A,MATCH(K244,QUOC_GIA!$B:$B,0)),"")</f>
        <v/>
      </c>
      <c r="K244" s="50"/>
      <c r="L244" s="15"/>
      <c r="M244" s="58" t="str">
        <f>IF(ISNUMBER(MATCH(N244,LOAI_THUE!$B:$B,0)),INDEX(LOAI_THUE!$A:$A,MATCH(N244,LOAI_THUE!$B:$B,0)),"")</f>
        <v/>
      </c>
      <c r="N244" s="50"/>
      <c r="O244" s="58" t="str">
        <f>IF(ISNUMBER(MATCH(P244,CHI_TIET_LOAI_KH!$B:$B,0)),INDEX(CHI_TIET_LOAI_KH!$A:$A,MATCH(P244,CHI_TIET_LOAI_KH!$B:$B,0)),"")</f>
        <v/>
      </c>
      <c r="P244" s="50"/>
      <c r="Q244" s="58" t="str">
        <f>IF(ISNUMBER(MATCH(R244,NGHE_NGHIEP!$B:$B,0)),INDEX(NGHE_NGHIEP!$A:$A,MATCH(R244,NGHE_NGHIEP!$B:$B,0)),"")</f>
        <v/>
      </c>
      <c r="R244" s="50"/>
      <c r="S244" s="58" t="str">
        <f>IF(ISNUMBER(MATCH(T244,LOAI_ID!$B:$B,0)),INDEX(LOAI_ID!$A:$A,MATCH(T244,LOAI_ID!$B:$B,0)),"")</f>
        <v/>
      </c>
      <c r="T244" s="16"/>
      <c r="U244" s="48"/>
      <c r="V244" s="48"/>
      <c r="W244" s="17"/>
      <c r="X244" s="17"/>
      <c r="Y244" s="15"/>
      <c r="Z244" s="15"/>
      <c r="AA244" s="59" t="str">
        <f>IFERROR(INDEX(NOI_CAP!$B:$B,MATCH(Z244,NOI_CAP!$A:$A,0)),"")</f>
        <v/>
      </c>
      <c r="AB244" s="58" t="str">
        <f>IF(ISNUMBER(MATCH(AC244,LOAI_DIA_CHI!$B:$B,0)),INDEX(LOAI_DIA_CHI!$A:$A,MATCH(AC244,LOAI_DIA_CHI!$B:$B,0)),"")</f>
        <v/>
      </c>
      <c r="AC244" s="16"/>
      <c r="AD244" s="58" t="str">
        <f>IF(ISNUMBER(MATCH(AE244,QUOC_GIA!$B:$B,0)),INDEX(QUOC_GIA!$A:$A,MATCH(AE244,QUOC_GIA!$B:$B,0)),"")</f>
        <v/>
      </c>
      <c r="AE244" s="16"/>
      <c r="AF244" s="48"/>
      <c r="AG244" s="59" t="str">
        <f>IFERROR(INDEX(TINH_TP!$B:$B,MATCH(AF244,TINH_TP!$A:$A,0)),"")</f>
        <v/>
      </c>
      <c r="AH244" s="50"/>
      <c r="AI244" s="59" t="str">
        <f>IF(OR(AF244="",AH244=""),"",IF(COUNTIFS(PHUONG_XA!$A$2:$A$3323,AH244,PHUONG_XA!$C$2:$C$3323,AF244)=0,"",INDEX(PHUONG_XA!$B$2:$B$3323,SUMPRODUCT((PHUONG_XA!$A$2:$A$3323&amp;""=AH244&amp;"")*(PHUONG_XA!$C$2:$C$3323&amp;""=AF244&amp;"")*(ROW(PHUONG_XA!$A$2:$A$3323)-ROW(PHUONG_XA!$A$2)+1)))))</f>
        <v/>
      </c>
      <c r="AJ244" s="14"/>
      <c r="AK244" s="14"/>
      <c r="AL244" s="57" t="str">
        <f t="shared" si="4"/>
        <v/>
      </c>
      <c r="AM244" s="14"/>
      <c r="AN244" s="15"/>
      <c r="AO244" s="15"/>
      <c r="AP244" s="48"/>
      <c r="AQ244" s="15"/>
      <c r="AR244" s="15"/>
      <c r="AS244" s="15"/>
      <c r="AT244" s="60" t="str">
        <f>IF(ISNUMBER(MATCH(AU244,LOAI_THE!$B:$B,0)),INDEX(LOAI_THE!$A:$A,MATCH(AU244,LOAI_THE!$B:$B,0)),"")</f>
        <v/>
      </c>
      <c r="AU244" s="48"/>
      <c r="AV244" s="15"/>
      <c r="AW244" s="15"/>
      <c r="AX244" s="15"/>
      <c r="AY244" s="48"/>
    </row>
    <row r="245" spans="1:51" x14ac:dyDescent="0.3">
      <c r="A245" s="13" t="s">
        <v>540</v>
      </c>
      <c r="B245" s="48"/>
      <c r="C245" s="48"/>
      <c r="D245" s="48"/>
      <c r="E245" s="48"/>
      <c r="F245" s="48"/>
      <c r="G245" s="58" t="str">
        <f>IF(ISNUMBER(MATCH(H245,GIOI_TINH!$B:$B,0)),INDEX(GIOI_TINH!$A:$A,MATCH(H245,GIOI_TINH!$B:$B,0)),"")</f>
        <v/>
      </c>
      <c r="H245" s="15"/>
      <c r="I245" s="15"/>
      <c r="J245" s="58" t="str">
        <f>IF(ISNUMBER(MATCH(K245,QUOC_GIA!$B:$B,0)),INDEX(QUOC_GIA!$A:$A,MATCH(K245,QUOC_GIA!$B:$B,0)),"")</f>
        <v/>
      </c>
      <c r="K245" s="50"/>
      <c r="L245" s="15"/>
      <c r="M245" s="58" t="str">
        <f>IF(ISNUMBER(MATCH(N245,LOAI_THUE!$B:$B,0)),INDEX(LOAI_THUE!$A:$A,MATCH(N245,LOAI_THUE!$B:$B,0)),"")</f>
        <v/>
      </c>
      <c r="N245" s="50"/>
      <c r="O245" s="58" t="str">
        <f>IF(ISNUMBER(MATCH(P245,CHI_TIET_LOAI_KH!$B:$B,0)),INDEX(CHI_TIET_LOAI_KH!$A:$A,MATCH(P245,CHI_TIET_LOAI_KH!$B:$B,0)),"")</f>
        <v/>
      </c>
      <c r="P245" s="50"/>
      <c r="Q245" s="58" t="str">
        <f>IF(ISNUMBER(MATCH(R245,NGHE_NGHIEP!$B:$B,0)),INDEX(NGHE_NGHIEP!$A:$A,MATCH(R245,NGHE_NGHIEP!$B:$B,0)),"")</f>
        <v/>
      </c>
      <c r="R245" s="50"/>
      <c r="S245" s="58" t="str">
        <f>IF(ISNUMBER(MATCH(T245,LOAI_ID!$B:$B,0)),INDEX(LOAI_ID!$A:$A,MATCH(T245,LOAI_ID!$B:$B,0)),"")</f>
        <v/>
      </c>
      <c r="T245" s="16"/>
      <c r="U245" s="48"/>
      <c r="V245" s="48"/>
      <c r="W245" s="17"/>
      <c r="X245" s="17"/>
      <c r="Y245" s="15"/>
      <c r="Z245" s="15"/>
      <c r="AA245" s="59" t="str">
        <f>IFERROR(INDEX(NOI_CAP!$B:$B,MATCH(Z245,NOI_CAP!$A:$A,0)),"")</f>
        <v/>
      </c>
      <c r="AB245" s="58" t="str">
        <f>IF(ISNUMBER(MATCH(AC245,LOAI_DIA_CHI!$B:$B,0)),INDEX(LOAI_DIA_CHI!$A:$A,MATCH(AC245,LOAI_DIA_CHI!$B:$B,0)),"")</f>
        <v/>
      </c>
      <c r="AC245" s="16"/>
      <c r="AD245" s="58" t="str">
        <f>IF(ISNUMBER(MATCH(AE245,QUOC_GIA!$B:$B,0)),INDEX(QUOC_GIA!$A:$A,MATCH(AE245,QUOC_GIA!$B:$B,0)),"")</f>
        <v/>
      </c>
      <c r="AE245" s="16"/>
      <c r="AF245" s="48"/>
      <c r="AG245" s="59" t="str">
        <f>IFERROR(INDEX(TINH_TP!$B:$B,MATCH(AF245,TINH_TP!$A:$A,0)),"")</f>
        <v/>
      </c>
      <c r="AH245" s="50"/>
      <c r="AI245" s="59" t="str">
        <f>IF(OR(AF245="",AH245=""),"",IF(COUNTIFS(PHUONG_XA!$A$2:$A$3323,AH245,PHUONG_XA!$C$2:$C$3323,AF245)=0,"",INDEX(PHUONG_XA!$B$2:$B$3323,SUMPRODUCT((PHUONG_XA!$A$2:$A$3323&amp;""=AH245&amp;"")*(PHUONG_XA!$C$2:$C$3323&amp;""=AF245&amp;"")*(ROW(PHUONG_XA!$A$2:$A$3323)-ROW(PHUONG_XA!$A$2)+1)))))</f>
        <v/>
      </c>
      <c r="AJ245" s="14"/>
      <c r="AK245" s="14"/>
      <c r="AL245" s="57" t="str">
        <f t="shared" si="4"/>
        <v/>
      </c>
      <c r="AM245" s="14"/>
      <c r="AN245" s="15"/>
      <c r="AO245" s="15"/>
      <c r="AP245" s="48"/>
      <c r="AQ245" s="15"/>
      <c r="AR245" s="15"/>
      <c r="AS245" s="15"/>
      <c r="AT245" s="60" t="str">
        <f>IF(ISNUMBER(MATCH(AU245,LOAI_THE!$B:$B,0)),INDEX(LOAI_THE!$A:$A,MATCH(AU245,LOAI_THE!$B:$B,0)),"")</f>
        <v/>
      </c>
      <c r="AU245" s="48"/>
      <c r="AV245" s="15"/>
      <c r="AW245" s="15"/>
      <c r="AX245" s="15"/>
      <c r="AY245" s="48"/>
    </row>
    <row r="246" spans="1:51" x14ac:dyDescent="0.3">
      <c r="A246" s="13" t="s">
        <v>542</v>
      </c>
      <c r="B246" s="48"/>
      <c r="C246" s="48"/>
      <c r="D246" s="48"/>
      <c r="E246" s="48"/>
      <c r="F246" s="48"/>
      <c r="G246" s="58" t="str">
        <f>IF(ISNUMBER(MATCH(H246,GIOI_TINH!$B:$B,0)),INDEX(GIOI_TINH!$A:$A,MATCH(H246,GIOI_TINH!$B:$B,0)),"")</f>
        <v/>
      </c>
      <c r="H246" s="15"/>
      <c r="I246" s="15"/>
      <c r="J246" s="58" t="str">
        <f>IF(ISNUMBER(MATCH(K246,QUOC_GIA!$B:$B,0)),INDEX(QUOC_GIA!$A:$A,MATCH(K246,QUOC_GIA!$B:$B,0)),"")</f>
        <v/>
      </c>
      <c r="K246" s="50"/>
      <c r="L246" s="15"/>
      <c r="M246" s="58" t="str">
        <f>IF(ISNUMBER(MATCH(N246,LOAI_THUE!$B:$B,0)),INDEX(LOAI_THUE!$A:$A,MATCH(N246,LOAI_THUE!$B:$B,0)),"")</f>
        <v/>
      </c>
      <c r="N246" s="50"/>
      <c r="O246" s="58" t="str">
        <f>IF(ISNUMBER(MATCH(P246,CHI_TIET_LOAI_KH!$B:$B,0)),INDEX(CHI_TIET_LOAI_KH!$A:$A,MATCH(P246,CHI_TIET_LOAI_KH!$B:$B,0)),"")</f>
        <v/>
      </c>
      <c r="P246" s="50"/>
      <c r="Q246" s="58" t="str">
        <f>IF(ISNUMBER(MATCH(R246,NGHE_NGHIEP!$B:$B,0)),INDEX(NGHE_NGHIEP!$A:$A,MATCH(R246,NGHE_NGHIEP!$B:$B,0)),"")</f>
        <v/>
      </c>
      <c r="R246" s="50"/>
      <c r="S246" s="58" t="str">
        <f>IF(ISNUMBER(MATCH(T246,LOAI_ID!$B:$B,0)),INDEX(LOAI_ID!$A:$A,MATCH(T246,LOAI_ID!$B:$B,0)),"")</f>
        <v/>
      </c>
      <c r="T246" s="16"/>
      <c r="U246" s="48"/>
      <c r="V246" s="48"/>
      <c r="W246" s="17"/>
      <c r="X246" s="17"/>
      <c r="Y246" s="15"/>
      <c r="Z246" s="15"/>
      <c r="AA246" s="59" t="str">
        <f>IFERROR(INDEX(NOI_CAP!$B:$B,MATCH(Z246,NOI_CAP!$A:$A,0)),"")</f>
        <v/>
      </c>
      <c r="AB246" s="58" t="str">
        <f>IF(ISNUMBER(MATCH(AC246,LOAI_DIA_CHI!$B:$B,0)),INDEX(LOAI_DIA_CHI!$A:$A,MATCH(AC246,LOAI_DIA_CHI!$B:$B,0)),"")</f>
        <v/>
      </c>
      <c r="AC246" s="16"/>
      <c r="AD246" s="58" t="str">
        <f>IF(ISNUMBER(MATCH(AE246,QUOC_GIA!$B:$B,0)),INDEX(QUOC_GIA!$A:$A,MATCH(AE246,QUOC_GIA!$B:$B,0)),"")</f>
        <v/>
      </c>
      <c r="AE246" s="16"/>
      <c r="AF246" s="48"/>
      <c r="AG246" s="59" t="str">
        <f>IFERROR(INDEX(TINH_TP!$B:$B,MATCH(AF246,TINH_TP!$A:$A,0)),"")</f>
        <v/>
      </c>
      <c r="AH246" s="50"/>
      <c r="AI246" s="59" t="str">
        <f>IF(OR(AF246="",AH246=""),"",IF(COUNTIFS(PHUONG_XA!$A$2:$A$3323,AH246,PHUONG_XA!$C$2:$C$3323,AF246)=0,"",INDEX(PHUONG_XA!$B$2:$B$3323,SUMPRODUCT((PHUONG_XA!$A$2:$A$3323&amp;""=AH246&amp;"")*(PHUONG_XA!$C$2:$C$3323&amp;""=AF246&amp;"")*(ROW(PHUONG_XA!$A$2:$A$3323)-ROW(PHUONG_XA!$A$2)+1)))))</f>
        <v/>
      </c>
      <c r="AJ246" s="14"/>
      <c r="AK246" s="14"/>
      <c r="AL246" s="57" t="str">
        <f t="shared" si="4"/>
        <v/>
      </c>
      <c r="AM246" s="14"/>
      <c r="AN246" s="15"/>
      <c r="AO246" s="15"/>
      <c r="AP246" s="48"/>
      <c r="AQ246" s="15"/>
      <c r="AR246" s="15"/>
      <c r="AS246" s="15"/>
      <c r="AT246" s="60" t="str">
        <f>IF(ISNUMBER(MATCH(AU246,LOAI_THE!$B:$B,0)),INDEX(LOAI_THE!$A:$A,MATCH(AU246,LOAI_THE!$B:$B,0)),"")</f>
        <v/>
      </c>
      <c r="AU246" s="48"/>
      <c r="AV246" s="15"/>
      <c r="AW246" s="15"/>
      <c r="AX246" s="15"/>
      <c r="AY246" s="48"/>
    </row>
    <row r="247" spans="1:51" x14ac:dyDescent="0.3">
      <c r="A247" s="13" t="s">
        <v>544</v>
      </c>
      <c r="B247" s="48"/>
      <c r="C247" s="48"/>
      <c r="D247" s="48"/>
      <c r="E247" s="48"/>
      <c r="F247" s="48"/>
      <c r="G247" s="58" t="str">
        <f>IF(ISNUMBER(MATCH(H247,GIOI_TINH!$B:$B,0)),INDEX(GIOI_TINH!$A:$A,MATCH(H247,GIOI_TINH!$B:$B,0)),"")</f>
        <v/>
      </c>
      <c r="H247" s="15"/>
      <c r="I247" s="15"/>
      <c r="J247" s="58" t="str">
        <f>IF(ISNUMBER(MATCH(K247,QUOC_GIA!$B:$B,0)),INDEX(QUOC_GIA!$A:$A,MATCH(K247,QUOC_GIA!$B:$B,0)),"")</f>
        <v/>
      </c>
      <c r="K247" s="50"/>
      <c r="L247" s="15"/>
      <c r="M247" s="58" t="str">
        <f>IF(ISNUMBER(MATCH(N247,LOAI_THUE!$B:$B,0)),INDEX(LOAI_THUE!$A:$A,MATCH(N247,LOAI_THUE!$B:$B,0)),"")</f>
        <v/>
      </c>
      <c r="N247" s="50"/>
      <c r="O247" s="58" t="str">
        <f>IF(ISNUMBER(MATCH(P247,CHI_TIET_LOAI_KH!$B:$B,0)),INDEX(CHI_TIET_LOAI_KH!$A:$A,MATCH(P247,CHI_TIET_LOAI_KH!$B:$B,0)),"")</f>
        <v/>
      </c>
      <c r="P247" s="50"/>
      <c r="Q247" s="58" t="str">
        <f>IF(ISNUMBER(MATCH(R247,NGHE_NGHIEP!$B:$B,0)),INDEX(NGHE_NGHIEP!$A:$A,MATCH(R247,NGHE_NGHIEP!$B:$B,0)),"")</f>
        <v/>
      </c>
      <c r="R247" s="50"/>
      <c r="S247" s="58" t="str">
        <f>IF(ISNUMBER(MATCH(T247,LOAI_ID!$B:$B,0)),INDEX(LOAI_ID!$A:$A,MATCH(T247,LOAI_ID!$B:$B,0)),"")</f>
        <v/>
      </c>
      <c r="T247" s="16"/>
      <c r="U247" s="48"/>
      <c r="V247" s="48"/>
      <c r="W247" s="17"/>
      <c r="X247" s="17"/>
      <c r="Y247" s="15"/>
      <c r="Z247" s="15"/>
      <c r="AA247" s="59" t="str">
        <f>IFERROR(INDEX(NOI_CAP!$B:$B,MATCH(Z247,NOI_CAP!$A:$A,0)),"")</f>
        <v/>
      </c>
      <c r="AB247" s="58" t="str">
        <f>IF(ISNUMBER(MATCH(AC247,LOAI_DIA_CHI!$B:$B,0)),INDEX(LOAI_DIA_CHI!$A:$A,MATCH(AC247,LOAI_DIA_CHI!$B:$B,0)),"")</f>
        <v/>
      </c>
      <c r="AC247" s="16"/>
      <c r="AD247" s="58" t="str">
        <f>IF(ISNUMBER(MATCH(AE247,QUOC_GIA!$B:$B,0)),INDEX(QUOC_GIA!$A:$A,MATCH(AE247,QUOC_GIA!$B:$B,0)),"")</f>
        <v/>
      </c>
      <c r="AE247" s="16"/>
      <c r="AF247" s="48"/>
      <c r="AG247" s="59" t="str">
        <f>IFERROR(INDEX(TINH_TP!$B:$B,MATCH(AF247,TINH_TP!$A:$A,0)),"")</f>
        <v/>
      </c>
      <c r="AH247" s="50"/>
      <c r="AI247" s="59" t="str">
        <f>IF(OR(AF247="",AH247=""),"",IF(COUNTIFS(PHUONG_XA!$A$2:$A$3323,AH247,PHUONG_XA!$C$2:$C$3323,AF247)=0,"",INDEX(PHUONG_XA!$B$2:$B$3323,SUMPRODUCT((PHUONG_XA!$A$2:$A$3323&amp;""=AH247&amp;"")*(PHUONG_XA!$C$2:$C$3323&amp;""=AF247&amp;"")*(ROW(PHUONG_XA!$A$2:$A$3323)-ROW(PHUONG_XA!$A$2)+1)))))</f>
        <v/>
      </c>
      <c r="AJ247" s="14"/>
      <c r="AK247" s="14"/>
      <c r="AL247" s="57" t="str">
        <f t="shared" si="4"/>
        <v/>
      </c>
      <c r="AM247" s="14"/>
      <c r="AN247" s="15"/>
      <c r="AO247" s="15"/>
      <c r="AP247" s="48"/>
      <c r="AQ247" s="15"/>
      <c r="AR247" s="15"/>
      <c r="AS247" s="15"/>
      <c r="AT247" s="60" t="str">
        <f>IF(ISNUMBER(MATCH(AU247,LOAI_THE!$B:$B,0)),INDEX(LOAI_THE!$A:$A,MATCH(AU247,LOAI_THE!$B:$B,0)),"")</f>
        <v/>
      </c>
      <c r="AU247" s="48"/>
      <c r="AV247" s="15"/>
      <c r="AW247" s="15"/>
      <c r="AX247" s="15"/>
      <c r="AY247" s="48"/>
    </row>
    <row r="248" spans="1:51" x14ac:dyDescent="0.3">
      <c r="A248" s="13" t="s">
        <v>546</v>
      </c>
      <c r="B248" s="48"/>
      <c r="C248" s="48"/>
      <c r="D248" s="48"/>
      <c r="E248" s="48"/>
      <c r="F248" s="48"/>
      <c r="G248" s="58" t="str">
        <f>IF(ISNUMBER(MATCH(H248,GIOI_TINH!$B:$B,0)),INDEX(GIOI_TINH!$A:$A,MATCH(H248,GIOI_TINH!$B:$B,0)),"")</f>
        <v/>
      </c>
      <c r="H248" s="15"/>
      <c r="I248" s="15"/>
      <c r="J248" s="58" t="str">
        <f>IF(ISNUMBER(MATCH(K248,QUOC_GIA!$B:$B,0)),INDEX(QUOC_GIA!$A:$A,MATCH(K248,QUOC_GIA!$B:$B,0)),"")</f>
        <v/>
      </c>
      <c r="K248" s="50"/>
      <c r="L248" s="15"/>
      <c r="M248" s="58" t="str">
        <f>IF(ISNUMBER(MATCH(N248,LOAI_THUE!$B:$B,0)),INDEX(LOAI_THUE!$A:$A,MATCH(N248,LOAI_THUE!$B:$B,0)),"")</f>
        <v/>
      </c>
      <c r="N248" s="50"/>
      <c r="O248" s="58" t="str">
        <f>IF(ISNUMBER(MATCH(P248,CHI_TIET_LOAI_KH!$B:$B,0)),INDEX(CHI_TIET_LOAI_KH!$A:$A,MATCH(P248,CHI_TIET_LOAI_KH!$B:$B,0)),"")</f>
        <v/>
      </c>
      <c r="P248" s="50"/>
      <c r="Q248" s="58" t="str">
        <f>IF(ISNUMBER(MATCH(R248,NGHE_NGHIEP!$B:$B,0)),INDEX(NGHE_NGHIEP!$A:$A,MATCH(R248,NGHE_NGHIEP!$B:$B,0)),"")</f>
        <v/>
      </c>
      <c r="R248" s="50"/>
      <c r="S248" s="58" t="str">
        <f>IF(ISNUMBER(MATCH(T248,LOAI_ID!$B:$B,0)),INDEX(LOAI_ID!$A:$A,MATCH(T248,LOAI_ID!$B:$B,0)),"")</f>
        <v/>
      </c>
      <c r="T248" s="16"/>
      <c r="U248" s="48"/>
      <c r="V248" s="48"/>
      <c r="W248" s="17"/>
      <c r="X248" s="17"/>
      <c r="Y248" s="15"/>
      <c r="Z248" s="15"/>
      <c r="AA248" s="59" t="str">
        <f>IFERROR(INDEX(NOI_CAP!$B:$B,MATCH(Z248,NOI_CAP!$A:$A,0)),"")</f>
        <v/>
      </c>
      <c r="AB248" s="58" t="str">
        <f>IF(ISNUMBER(MATCH(AC248,LOAI_DIA_CHI!$B:$B,0)),INDEX(LOAI_DIA_CHI!$A:$A,MATCH(AC248,LOAI_DIA_CHI!$B:$B,0)),"")</f>
        <v/>
      </c>
      <c r="AC248" s="16"/>
      <c r="AD248" s="58" t="str">
        <f>IF(ISNUMBER(MATCH(AE248,QUOC_GIA!$B:$B,0)),INDEX(QUOC_GIA!$A:$A,MATCH(AE248,QUOC_GIA!$B:$B,0)),"")</f>
        <v/>
      </c>
      <c r="AE248" s="16"/>
      <c r="AF248" s="48"/>
      <c r="AG248" s="59" t="str">
        <f>IFERROR(INDEX(TINH_TP!$B:$B,MATCH(AF248,TINH_TP!$A:$A,0)),"")</f>
        <v/>
      </c>
      <c r="AH248" s="50"/>
      <c r="AI248" s="59" t="str">
        <f>IF(OR(AF248="",AH248=""),"",IF(COUNTIFS(PHUONG_XA!$A$2:$A$3323,AH248,PHUONG_XA!$C$2:$C$3323,AF248)=0,"",INDEX(PHUONG_XA!$B$2:$B$3323,SUMPRODUCT((PHUONG_XA!$A$2:$A$3323&amp;""=AH248&amp;"")*(PHUONG_XA!$C$2:$C$3323&amp;""=AF248&amp;"")*(ROW(PHUONG_XA!$A$2:$A$3323)-ROW(PHUONG_XA!$A$2)+1)))))</f>
        <v/>
      </c>
      <c r="AJ248" s="14"/>
      <c r="AK248" s="14"/>
      <c r="AL248" s="57" t="str">
        <f t="shared" si="4"/>
        <v/>
      </c>
      <c r="AM248" s="14"/>
      <c r="AN248" s="15"/>
      <c r="AO248" s="15"/>
      <c r="AP248" s="48"/>
      <c r="AQ248" s="15"/>
      <c r="AR248" s="15"/>
      <c r="AS248" s="15"/>
      <c r="AT248" s="60" t="str">
        <f>IF(ISNUMBER(MATCH(AU248,LOAI_THE!$B:$B,0)),INDEX(LOAI_THE!$A:$A,MATCH(AU248,LOAI_THE!$B:$B,0)),"")</f>
        <v/>
      </c>
      <c r="AU248" s="48"/>
      <c r="AV248" s="15"/>
      <c r="AW248" s="15"/>
      <c r="AX248" s="15"/>
      <c r="AY248" s="48"/>
    </row>
    <row r="249" spans="1:51" x14ac:dyDescent="0.3">
      <c r="A249" s="13" t="s">
        <v>548</v>
      </c>
      <c r="B249" s="48"/>
      <c r="C249" s="48"/>
      <c r="D249" s="48"/>
      <c r="E249" s="48"/>
      <c r="F249" s="48"/>
      <c r="G249" s="58" t="str">
        <f>IF(ISNUMBER(MATCH(H249,GIOI_TINH!$B:$B,0)),INDEX(GIOI_TINH!$A:$A,MATCH(H249,GIOI_TINH!$B:$B,0)),"")</f>
        <v/>
      </c>
      <c r="H249" s="15"/>
      <c r="I249" s="15"/>
      <c r="J249" s="58" t="str">
        <f>IF(ISNUMBER(MATCH(K249,QUOC_GIA!$B:$B,0)),INDEX(QUOC_GIA!$A:$A,MATCH(K249,QUOC_GIA!$B:$B,0)),"")</f>
        <v/>
      </c>
      <c r="K249" s="50"/>
      <c r="L249" s="15"/>
      <c r="M249" s="58" t="str">
        <f>IF(ISNUMBER(MATCH(N249,LOAI_THUE!$B:$B,0)),INDEX(LOAI_THUE!$A:$A,MATCH(N249,LOAI_THUE!$B:$B,0)),"")</f>
        <v/>
      </c>
      <c r="N249" s="50"/>
      <c r="O249" s="58" t="str">
        <f>IF(ISNUMBER(MATCH(P249,CHI_TIET_LOAI_KH!$B:$B,0)),INDEX(CHI_TIET_LOAI_KH!$A:$A,MATCH(P249,CHI_TIET_LOAI_KH!$B:$B,0)),"")</f>
        <v/>
      </c>
      <c r="P249" s="50"/>
      <c r="Q249" s="58" t="str">
        <f>IF(ISNUMBER(MATCH(R249,NGHE_NGHIEP!$B:$B,0)),INDEX(NGHE_NGHIEP!$A:$A,MATCH(R249,NGHE_NGHIEP!$B:$B,0)),"")</f>
        <v/>
      </c>
      <c r="R249" s="50"/>
      <c r="S249" s="58" t="str">
        <f>IF(ISNUMBER(MATCH(T249,LOAI_ID!$B:$B,0)),INDEX(LOAI_ID!$A:$A,MATCH(T249,LOAI_ID!$B:$B,0)),"")</f>
        <v/>
      </c>
      <c r="T249" s="16"/>
      <c r="U249" s="48"/>
      <c r="V249" s="48"/>
      <c r="W249" s="17"/>
      <c r="X249" s="17"/>
      <c r="Y249" s="15"/>
      <c r="Z249" s="15"/>
      <c r="AA249" s="59" t="str">
        <f>IFERROR(INDEX(NOI_CAP!$B:$B,MATCH(Z249,NOI_CAP!$A:$A,0)),"")</f>
        <v/>
      </c>
      <c r="AB249" s="58" t="str">
        <f>IF(ISNUMBER(MATCH(AC249,LOAI_DIA_CHI!$B:$B,0)),INDEX(LOAI_DIA_CHI!$A:$A,MATCH(AC249,LOAI_DIA_CHI!$B:$B,0)),"")</f>
        <v/>
      </c>
      <c r="AC249" s="16"/>
      <c r="AD249" s="58" t="str">
        <f>IF(ISNUMBER(MATCH(AE249,QUOC_GIA!$B:$B,0)),INDEX(QUOC_GIA!$A:$A,MATCH(AE249,QUOC_GIA!$B:$B,0)),"")</f>
        <v/>
      </c>
      <c r="AE249" s="16"/>
      <c r="AF249" s="48"/>
      <c r="AG249" s="59" t="str">
        <f>IFERROR(INDEX(TINH_TP!$B:$B,MATCH(AF249,TINH_TP!$A:$A,0)),"")</f>
        <v/>
      </c>
      <c r="AH249" s="50"/>
      <c r="AI249" s="59" t="str">
        <f>IF(OR(AF249="",AH249=""),"",IF(COUNTIFS(PHUONG_XA!$A$2:$A$3323,AH249,PHUONG_XA!$C$2:$C$3323,AF249)=0,"",INDEX(PHUONG_XA!$B$2:$B$3323,SUMPRODUCT((PHUONG_XA!$A$2:$A$3323&amp;""=AH249&amp;"")*(PHUONG_XA!$C$2:$C$3323&amp;""=AF249&amp;"")*(ROW(PHUONG_XA!$A$2:$A$3323)-ROW(PHUONG_XA!$A$2)+1)))))</f>
        <v/>
      </c>
      <c r="AJ249" s="14"/>
      <c r="AK249" s="14"/>
      <c r="AL249" s="57" t="str">
        <f t="shared" si="4"/>
        <v/>
      </c>
      <c r="AM249" s="14"/>
      <c r="AN249" s="15"/>
      <c r="AO249" s="15"/>
      <c r="AP249" s="48"/>
      <c r="AQ249" s="15"/>
      <c r="AR249" s="15"/>
      <c r="AS249" s="15"/>
      <c r="AT249" s="60" t="str">
        <f>IF(ISNUMBER(MATCH(AU249,LOAI_THE!$B:$B,0)),INDEX(LOAI_THE!$A:$A,MATCH(AU249,LOAI_THE!$B:$B,0)),"")</f>
        <v/>
      </c>
      <c r="AU249" s="48"/>
      <c r="AV249" s="15"/>
      <c r="AW249" s="15"/>
      <c r="AX249" s="15"/>
      <c r="AY249" s="48"/>
    </row>
    <row r="250" spans="1:51" x14ac:dyDescent="0.3">
      <c r="A250" s="13" t="s">
        <v>550</v>
      </c>
      <c r="B250" s="48"/>
      <c r="C250" s="48"/>
      <c r="D250" s="48"/>
      <c r="E250" s="48"/>
      <c r="F250" s="48"/>
      <c r="G250" s="58" t="str">
        <f>IF(ISNUMBER(MATCH(H250,GIOI_TINH!$B:$B,0)),INDEX(GIOI_TINH!$A:$A,MATCH(H250,GIOI_TINH!$B:$B,0)),"")</f>
        <v/>
      </c>
      <c r="H250" s="15"/>
      <c r="I250" s="15"/>
      <c r="J250" s="58" t="str">
        <f>IF(ISNUMBER(MATCH(K250,QUOC_GIA!$B:$B,0)),INDEX(QUOC_GIA!$A:$A,MATCH(K250,QUOC_GIA!$B:$B,0)),"")</f>
        <v/>
      </c>
      <c r="K250" s="50"/>
      <c r="L250" s="15"/>
      <c r="M250" s="58" t="str">
        <f>IF(ISNUMBER(MATCH(N250,LOAI_THUE!$B:$B,0)),INDEX(LOAI_THUE!$A:$A,MATCH(N250,LOAI_THUE!$B:$B,0)),"")</f>
        <v/>
      </c>
      <c r="N250" s="50"/>
      <c r="O250" s="58" t="str">
        <f>IF(ISNUMBER(MATCH(P250,CHI_TIET_LOAI_KH!$B:$B,0)),INDEX(CHI_TIET_LOAI_KH!$A:$A,MATCH(P250,CHI_TIET_LOAI_KH!$B:$B,0)),"")</f>
        <v/>
      </c>
      <c r="P250" s="50"/>
      <c r="Q250" s="58" t="str">
        <f>IF(ISNUMBER(MATCH(R250,NGHE_NGHIEP!$B:$B,0)),INDEX(NGHE_NGHIEP!$A:$A,MATCH(R250,NGHE_NGHIEP!$B:$B,0)),"")</f>
        <v/>
      </c>
      <c r="R250" s="50"/>
      <c r="S250" s="58" t="str">
        <f>IF(ISNUMBER(MATCH(T250,LOAI_ID!$B:$B,0)),INDEX(LOAI_ID!$A:$A,MATCH(T250,LOAI_ID!$B:$B,0)),"")</f>
        <v/>
      </c>
      <c r="T250" s="16"/>
      <c r="U250" s="48"/>
      <c r="V250" s="48"/>
      <c r="W250" s="17"/>
      <c r="X250" s="17"/>
      <c r="Y250" s="15"/>
      <c r="Z250" s="15"/>
      <c r="AA250" s="59" t="str">
        <f>IFERROR(INDEX(NOI_CAP!$B:$B,MATCH(Z250,NOI_CAP!$A:$A,0)),"")</f>
        <v/>
      </c>
      <c r="AB250" s="58" t="str">
        <f>IF(ISNUMBER(MATCH(AC250,LOAI_DIA_CHI!$B:$B,0)),INDEX(LOAI_DIA_CHI!$A:$A,MATCH(AC250,LOAI_DIA_CHI!$B:$B,0)),"")</f>
        <v/>
      </c>
      <c r="AC250" s="16"/>
      <c r="AD250" s="58" t="str">
        <f>IF(ISNUMBER(MATCH(AE250,QUOC_GIA!$B:$B,0)),INDEX(QUOC_GIA!$A:$A,MATCH(AE250,QUOC_GIA!$B:$B,0)),"")</f>
        <v/>
      </c>
      <c r="AE250" s="16"/>
      <c r="AF250" s="48"/>
      <c r="AG250" s="59" t="str">
        <f>IFERROR(INDEX(TINH_TP!$B:$B,MATCH(AF250,TINH_TP!$A:$A,0)),"")</f>
        <v/>
      </c>
      <c r="AH250" s="50"/>
      <c r="AI250" s="59" t="str">
        <f>IF(OR(AF250="",AH250=""),"",IF(COUNTIFS(PHUONG_XA!$A$2:$A$3323,AH250,PHUONG_XA!$C$2:$C$3323,AF250)=0,"",INDEX(PHUONG_XA!$B$2:$B$3323,SUMPRODUCT((PHUONG_XA!$A$2:$A$3323&amp;""=AH250&amp;"")*(PHUONG_XA!$C$2:$C$3323&amp;""=AF250&amp;"")*(ROW(PHUONG_XA!$A$2:$A$3323)-ROW(PHUONG_XA!$A$2)+1)))))</f>
        <v/>
      </c>
      <c r="AJ250" s="14"/>
      <c r="AK250" s="14"/>
      <c r="AL250" s="57" t="str">
        <f t="shared" si="4"/>
        <v/>
      </c>
      <c r="AM250" s="14"/>
      <c r="AN250" s="15"/>
      <c r="AO250" s="15"/>
      <c r="AP250" s="48"/>
      <c r="AQ250" s="15"/>
      <c r="AR250" s="15"/>
      <c r="AS250" s="15"/>
      <c r="AT250" s="60" t="str">
        <f>IF(ISNUMBER(MATCH(AU250,LOAI_THE!$B:$B,0)),INDEX(LOAI_THE!$A:$A,MATCH(AU250,LOAI_THE!$B:$B,0)),"")</f>
        <v/>
      </c>
      <c r="AU250" s="48"/>
      <c r="AV250" s="15"/>
      <c r="AW250" s="15"/>
      <c r="AX250" s="15"/>
      <c r="AY250" s="48"/>
    </row>
    <row r="251" spans="1:51" x14ac:dyDescent="0.3">
      <c r="A251" s="13" t="s">
        <v>552</v>
      </c>
      <c r="B251" s="48"/>
      <c r="C251" s="48"/>
      <c r="D251" s="48"/>
      <c r="E251" s="48"/>
      <c r="F251" s="48"/>
      <c r="G251" s="58" t="str">
        <f>IF(ISNUMBER(MATCH(H251,GIOI_TINH!$B:$B,0)),INDEX(GIOI_TINH!$A:$A,MATCH(H251,GIOI_TINH!$B:$B,0)),"")</f>
        <v/>
      </c>
      <c r="H251" s="15"/>
      <c r="I251" s="15"/>
      <c r="J251" s="58" t="str">
        <f>IF(ISNUMBER(MATCH(K251,QUOC_GIA!$B:$B,0)),INDEX(QUOC_GIA!$A:$A,MATCH(K251,QUOC_GIA!$B:$B,0)),"")</f>
        <v/>
      </c>
      <c r="K251" s="50"/>
      <c r="L251" s="15"/>
      <c r="M251" s="58" t="str">
        <f>IF(ISNUMBER(MATCH(N251,LOAI_THUE!$B:$B,0)),INDEX(LOAI_THUE!$A:$A,MATCH(N251,LOAI_THUE!$B:$B,0)),"")</f>
        <v/>
      </c>
      <c r="N251" s="50"/>
      <c r="O251" s="58" t="str">
        <f>IF(ISNUMBER(MATCH(P251,CHI_TIET_LOAI_KH!$B:$B,0)),INDEX(CHI_TIET_LOAI_KH!$A:$A,MATCH(P251,CHI_TIET_LOAI_KH!$B:$B,0)),"")</f>
        <v/>
      </c>
      <c r="P251" s="50"/>
      <c r="Q251" s="58" t="str">
        <f>IF(ISNUMBER(MATCH(R251,NGHE_NGHIEP!$B:$B,0)),INDEX(NGHE_NGHIEP!$A:$A,MATCH(R251,NGHE_NGHIEP!$B:$B,0)),"")</f>
        <v/>
      </c>
      <c r="R251" s="50"/>
      <c r="S251" s="58" t="str">
        <f>IF(ISNUMBER(MATCH(T251,LOAI_ID!$B:$B,0)),INDEX(LOAI_ID!$A:$A,MATCH(T251,LOAI_ID!$B:$B,0)),"")</f>
        <v/>
      </c>
      <c r="T251" s="16"/>
      <c r="U251" s="48"/>
      <c r="V251" s="48"/>
      <c r="W251" s="17"/>
      <c r="X251" s="17"/>
      <c r="Y251" s="15"/>
      <c r="Z251" s="15"/>
      <c r="AA251" s="59" t="str">
        <f>IFERROR(INDEX(NOI_CAP!$B:$B,MATCH(Z251,NOI_CAP!$A:$A,0)),"")</f>
        <v/>
      </c>
      <c r="AB251" s="58" t="str">
        <f>IF(ISNUMBER(MATCH(AC251,LOAI_DIA_CHI!$B:$B,0)),INDEX(LOAI_DIA_CHI!$A:$A,MATCH(AC251,LOAI_DIA_CHI!$B:$B,0)),"")</f>
        <v/>
      </c>
      <c r="AC251" s="16"/>
      <c r="AD251" s="58" t="str">
        <f>IF(ISNUMBER(MATCH(AE251,QUOC_GIA!$B:$B,0)),INDEX(QUOC_GIA!$A:$A,MATCH(AE251,QUOC_GIA!$B:$B,0)),"")</f>
        <v/>
      </c>
      <c r="AE251" s="16"/>
      <c r="AF251" s="48"/>
      <c r="AG251" s="59" t="str">
        <f>IFERROR(INDEX(TINH_TP!$B:$B,MATCH(AF251,TINH_TP!$A:$A,0)),"")</f>
        <v/>
      </c>
      <c r="AH251" s="50"/>
      <c r="AI251" s="59" t="str">
        <f>IF(OR(AF251="",AH251=""),"",IF(COUNTIFS(PHUONG_XA!$A$2:$A$3323,AH251,PHUONG_XA!$C$2:$C$3323,AF251)=0,"",INDEX(PHUONG_XA!$B$2:$B$3323,SUMPRODUCT((PHUONG_XA!$A$2:$A$3323&amp;""=AH251&amp;"")*(PHUONG_XA!$C$2:$C$3323&amp;""=AF251&amp;"")*(ROW(PHUONG_XA!$A$2:$A$3323)-ROW(PHUONG_XA!$A$2)+1)))))</f>
        <v/>
      </c>
      <c r="AJ251" s="14"/>
      <c r="AK251" s="14"/>
      <c r="AL251" s="57" t="str">
        <f t="shared" si="4"/>
        <v/>
      </c>
      <c r="AM251" s="14"/>
      <c r="AN251" s="15"/>
      <c r="AO251" s="15"/>
      <c r="AP251" s="48"/>
      <c r="AQ251" s="15"/>
      <c r="AR251" s="15"/>
      <c r="AS251" s="15"/>
      <c r="AT251" s="60" t="str">
        <f>IF(ISNUMBER(MATCH(AU251,LOAI_THE!$B:$B,0)),INDEX(LOAI_THE!$A:$A,MATCH(AU251,LOAI_THE!$B:$B,0)),"")</f>
        <v/>
      </c>
      <c r="AU251" s="48"/>
      <c r="AV251" s="15"/>
      <c r="AW251" s="15"/>
      <c r="AX251" s="15"/>
      <c r="AY251" s="48"/>
    </row>
    <row r="252" spans="1:51" x14ac:dyDescent="0.3">
      <c r="A252" s="13" t="s">
        <v>554</v>
      </c>
      <c r="B252" s="48"/>
      <c r="C252" s="48"/>
      <c r="D252" s="48"/>
      <c r="E252" s="48"/>
      <c r="F252" s="48"/>
      <c r="G252" s="58" t="str">
        <f>IF(ISNUMBER(MATCH(H252,GIOI_TINH!$B:$B,0)),INDEX(GIOI_TINH!$A:$A,MATCH(H252,GIOI_TINH!$B:$B,0)),"")</f>
        <v/>
      </c>
      <c r="H252" s="15"/>
      <c r="I252" s="15"/>
      <c r="J252" s="58" t="str">
        <f>IF(ISNUMBER(MATCH(K252,QUOC_GIA!$B:$B,0)),INDEX(QUOC_GIA!$A:$A,MATCH(K252,QUOC_GIA!$B:$B,0)),"")</f>
        <v/>
      </c>
      <c r="K252" s="50"/>
      <c r="L252" s="15"/>
      <c r="M252" s="58" t="str">
        <f>IF(ISNUMBER(MATCH(N252,LOAI_THUE!$B:$B,0)),INDEX(LOAI_THUE!$A:$A,MATCH(N252,LOAI_THUE!$B:$B,0)),"")</f>
        <v/>
      </c>
      <c r="N252" s="50"/>
      <c r="O252" s="58" t="str">
        <f>IF(ISNUMBER(MATCH(P252,CHI_TIET_LOAI_KH!$B:$B,0)),INDEX(CHI_TIET_LOAI_KH!$A:$A,MATCH(P252,CHI_TIET_LOAI_KH!$B:$B,0)),"")</f>
        <v/>
      </c>
      <c r="P252" s="50"/>
      <c r="Q252" s="58" t="str">
        <f>IF(ISNUMBER(MATCH(R252,NGHE_NGHIEP!$B:$B,0)),INDEX(NGHE_NGHIEP!$A:$A,MATCH(R252,NGHE_NGHIEP!$B:$B,0)),"")</f>
        <v/>
      </c>
      <c r="R252" s="50"/>
      <c r="S252" s="58" t="str">
        <f>IF(ISNUMBER(MATCH(T252,LOAI_ID!$B:$B,0)),INDEX(LOAI_ID!$A:$A,MATCH(T252,LOAI_ID!$B:$B,0)),"")</f>
        <v/>
      </c>
      <c r="T252" s="16"/>
      <c r="U252" s="48"/>
      <c r="V252" s="48"/>
      <c r="W252" s="17"/>
      <c r="X252" s="17"/>
      <c r="Y252" s="15"/>
      <c r="Z252" s="15"/>
      <c r="AA252" s="59" t="str">
        <f>IFERROR(INDEX(NOI_CAP!$B:$B,MATCH(Z252,NOI_CAP!$A:$A,0)),"")</f>
        <v/>
      </c>
      <c r="AB252" s="58" t="str">
        <f>IF(ISNUMBER(MATCH(AC252,LOAI_DIA_CHI!$B:$B,0)),INDEX(LOAI_DIA_CHI!$A:$A,MATCH(AC252,LOAI_DIA_CHI!$B:$B,0)),"")</f>
        <v/>
      </c>
      <c r="AC252" s="16"/>
      <c r="AD252" s="58" t="str">
        <f>IF(ISNUMBER(MATCH(AE252,QUOC_GIA!$B:$B,0)),INDEX(QUOC_GIA!$A:$A,MATCH(AE252,QUOC_GIA!$B:$B,0)),"")</f>
        <v/>
      </c>
      <c r="AE252" s="16"/>
      <c r="AF252" s="48"/>
      <c r="AG252" s="59" t="str">
        <f>IFERROR(INDEX(TINH_TP!$B:$B,MATCH(AF252,TINH_TP!$A:$A,0)),"")</f>
        <v/>
      </c>
      <c r="AH252" s="50"/>
      <c r="AI252" s="59" t="str">
        <f>IF(OR(AF252="",AH252=""),"",IF(COUNTIFS(PHUONG_XA!$A$2:$A$3323,AH252,PHUONG_XA!$C$2:$C$3323,AF252)=0,"",INDEX(PHUONG_XA!$B$2:$B$3323,SUMPRODUCT((PHUONG_XA!$A$2:$A$3323&amp;""=AH252&amp;"")*(PHUONG_XA!$C$2:$C$3323&amp;""=AF252&amp;"")*(ROW(PHUONG_XA!$A$2:$A$3323)-ROW(PHUONG_XA!$A$2)+1)))))</f>
        <v/>
      </c>
      <c r="AJ252" s="14"/>
      <c r="AK252" s="14"/>
      <c r="AL252" s="57" t="str">
        <f t="shared" si="4"/>
        <v/>
      </c>
      <c r="AM252" s="14"/>
      <c r="AN252" s="15"/>
      <c r="AO252" s="15"/>
      <c r="AP252" s="48"/>
      <c r="AQ252" s="15"/>
      <c r="AR252" s="15"/>
      <c r="AS252" s="15"/>
      <c r="AT252" s="60" t="str">
        <f>IF(ISNUMBER(MATCH(AU252,LOAI_THE!$B:$B,0)),INDEX(LOAI_THE!$A:$A,MATCH(AU252,LOAI_THE!$B:$B,0)),"")</f>
        <v/>
      </c>
      <c r="AU252" s="48"/>
      <c r="AV252" s="15"/>
      <c r="AW252" s="15"/>
      <c r="AX252" s="15"/>
      <c r="AY252" s="48"/>
    </row>
    <row r="253" spans="1:51" x14ac:dyDescent="0.3">
      <c r="A253" s="13" t="s">
        <v>556</v>
      </c>
      <c r="B253" s="48"/>
      <c r="C253" s="48"/>
      <c r="D253" s="48"/>
      <c r="E253" s="48"/>
      <c r="F253" s="48"/>
      <c r="G253" s="58" t="str">
        <f>IF(ISNUMBER(MATCH(H253,GIOI_TINH!$B:$B,0)),INDEX(GIOI_TINH!$A:$A,MATCH(H253,GIOI_TINH!$B:$B,0)),"")</f>
        <v/>
      </c>
      <c r="H253" s="15"/>
      <c r="I253" s="15"/>
      <c r="J253" s="58" t="str">
        <f>IF(ISNUMBER(MATCH(K253,QUOC_GIA!$B:$B,0)),INDEX(QUOC_GIA!$A:$A,MATCH(K253,QUOC_GIA!$B:$B,0)),"")</f>
        <v/>
      </c>
      <c r="K253" s="50"/>
      <c r="L253" s="15"/>
      <c r="M253" s="58" t="str">
        <f>IF(ISNUMBER(MATCH(N253,LOAI_THUE!$B:$B,0)),INDEX(LOAI_THUE!$A:$A,MATCH(N253,LOAI_THUE!$B:$B,0)),"")</f>
        <v/>
      </c>
      <c r="N253" s="50"/>
      <c r="O253" s="58" t="str">
        <f>IF(ISNUMBER(MATCH(P253,CHI_TIET_LOAI_KH!$B:$B,0)),INDEX(CHI_TIET_LOAI_KH!$A:$A,MATCH(P253,CHI_TIET_LOAI_KH!$B:$B,0)),"")</f>
        <v/>
      </c>
      <c r="P253" s="50"/>
      <c r="Q253" s="58" t="str">
        <f>IF(ISNUMBER(MATCH(R253,NGHE_NGHIEP!$B:$B,0)),INDEX(NGHE_NGHIEP!$A:$A,MATCH(R253,NGHE_NGHIEP!$B:$B,0)),"")</f>
        <v/>
      </c>
      <c r="R253" s="50"/>
      <c r="S253" s="58" t="str">
        <f>IF(ISNUMBER(MATCH(T253,LOAI_ID!$B:$B,0)),INDEX(LOAI_ID!$A:$A,MATCH(T253,LOAI_ID!$B:$B,0)),"")</f>
        <v/>
      </c>
      <c r="T253" s="16"/>
      <c r="U253" s="48"/>
      <c r="V253" s="48"/>
      <c r="W253" s="17"/>
      <c r="X253" s="17"/>
      <c r="Y253" s="15"/>
      <c r="Z253" s="15"/>
      <c r="AA253" s="59" t="str">
        <f>IFERROR(INDEX(NOI_CAP!$B:$B,MATCH(Z253,NOI_CAP!$A:$A,0)),"")</f>
        <v/>
      </c>
      <c r="AB253" s="58" t="str">
        <f>IF(ISNUMBER(MATCH(AC253,LOAI_DIA_CHI!$B:$B,0)),INDEX(LOAI_DIA_CHI!$A:$A,MATCH(AC253,LOAI_DIA_CHI!$B:$B,0)),"")</f>
        <v/>
      </c>
      <c r="AC253" s="16"/>
      <c r="AD253" s="58" t="str">
        <f>IF(ISNUMBER(MATCH(AE253,QUOC_GIA!$B:$B,0)),INDEX(QUOC_GIA!$A:$A,MATCH(AE253,QUOC_GIA!$B:$B,0)),"")</f>
        <v/>
      </c>
      <c r="AE253" s="16"/>
      <c r="AF253" s="48"/>
      <c r="AG253" s="59" t="str">
        <f>IFERROR(INDEX(TINH_TP!$B:$B,MATCH(AF253,TINH_TP!$A:$A,0)),"")</f>
        <v/>
      </c>
      <c r="AH253" s="50"/>
      <c r="AI253" s="59" t="str">
        <f>IF(OR(AF253="",AH253=""),"",IF(COUNTIFS(PHUONG_XA!$A$2:$A$3323,AH253,PHUONG_XA!$C$2:$C$3323,AF253)=0,"",INDEX(PHUONG_XA!$B$2:$B$3323,SUMPRODUCT((PHUONG_XA!$A$2:$A$3323&amp;""=AH253&amp;"")*(PHUONG_XA!$C$2:$C$3323&amp;""=AF253&amp;"")*(ROW(PHUONG_XA!$A$2:$A$3323)-ROW(PHUONG_XA!$A$2)+1)))))</f>
        <v/>
      </c>
      <c r="AJ253" s="14"/>
      <c r="AK253" s="14"/>
      <c r="AL253" s="57" t="str">
        <f t="shared" si="4"/>
        <v/>
      </c>
      <c r="AM253" s="14"/>
      <c r="AN253" s="15"/>
      <c r="AO253" s="15"/>
      <c r="AP253" s="48"/>
      <c r="AQ253" s="15"/>
      <c r="AR253" s="15"/>
      <c r="AS253" s="15"/>
      <c r="AT253" s="60" t="str">
        <f>IF(ISNUMBER(MATCH(AU253,LOAI_THE!$B:$B,0)),INDEX(LOAI_THE!$A:$A,MATCH(AU253,LOAI_THE!$B:$B,0)),"")</f>
        <v/>
      </c>
      <c r="AU253" s="48"/>
      <c r="AV253" s="15"/>
      <c r="AW253" s="15"/>
      <c r="AX253" s="15"/>
      <c r="AY253" s="48"/>
    </row>
    <row r="254" spans="1:51" x14ac:dyDescent="0.3">
      <c r="A254" s="13" t="s">
        <v>558</v>
      </c>
      <c r="B254" s="48"/>
      <c r="C254" s="48"/>
      <c r="D254" s="48"/>
      <c r="E254" s="48"/>
      <c r="F254" s="48"/>
      <c r="G254" s="58" t="str">
        <f>IF(ISNUMBER(MATCH(H254,GIOI_TINH!$B:$B,0)),INDEX(GIOI_TINH!$A:$A,MATCH(H254,GIOI_TINH!$B:$B,0)),"")</f>
        <v/>
      </c>
      <c r="H254" s="15"/>
      <c r="I254" s="15"/>
      <c r="J254" s="58" t="str">
        <f>IF(ISNUMBER(MATCH(K254,QUOC_GIA!$B:$B,0)),INDEX(QUOC_GIA!$A:$A,MATCH(K254,QUOC_GIA!$B:$B,0)),"")</f>
        <v/>
      </c>
      <c r="K254" s="50"/>
      <c r="L254" s="15"/>
      <c r="M254" s="58" t="str">
        <f>IF(ISNUMBER(MATCH(N254,LOAI_THUE!$B:$B,0)),INDEX(LOAI_THUE!$A:$A,MATCH(N254,LOAI_THUE!$B:$B,0)),"")</f>
        <v/>
      </c>
      <c r="N254" s="50"/>
      <c r="O254" s="58" t="str">
        <f>IF(ISNUMBER(MATCH(P254,CHI_TIET_LOAI_KH!$B:$B,0)),INDEX(CHI_TIET_LOAI_KH!$A:$A,MATCH(P254,CHI_TIET_LOAI_KH!$B:$B,0)),"")</f>
        <v/>
      </c>
      <c r="P254" s="50"/>
      <c r="Q254" s="58" t="str">
        <f>IF(ISNUMBER(MATCH(R254,NGHE_NGHIEP!$B:$B,0)),INDEX(NGHE_NGHIEP!$A:$A,MATCH(R254,NGHE_NGHIEP!$B:$B,0)),"")</f>
        <v/>
      </c>
      <c r="R254" s="50"/>
      <c r="S254" s="58" t="str">
        <f>IF(ISNUMBER(MATCH(T254,LOAI_ID!$B:$B,0)),INDEX(LOAI_ID!$A:$A,MATCH(T254,LOAI_ID!$B:$B,0)),"")</f>
        <v/>
      </c>
      <c r="T254" s="16"/>
      <c r="U254" s="48"/>
      <c r="V254" s="48"/>
      <c r="W254" s="17"/>
      <c r="X254" s="17"/>
      <c r="Y254" s="15"/>
      <c r="Z254" s="15"/>
      <c r="AA254" s="59" t="str">
        <f>IFERROR(INDEX(NOI_CAP!$B:$B,MATCH(Z254,NOI_CAP!$A:$A,0)),"")</f>
        <v/>
      </c>
      <c r="AB254" s="58" t="str">
        <f>IF(ISNUMBER(MATCH(AC254,LOAI_DIA_CHI!$B:$B,0)),INDEX(LOAI_DIA_CHI!$A:$A,MATCH(AC254,LOAI_DIA_CHI!$B:$B,0)),"")</f>
        <v/>
      </c>
      <c r="AC254" s="16"/>
      <c r="AD254" s="58" t="str">
        <f>IF(ISNUMBER(MATCH(AE254,QUOC_GIA!$B:$B,0)),INDEX(QUOC_GIA!$A:$A,MATCH(AE254,QUOC_GIA!$B:$B,0)),"")</f>
        <v/>
      </c>
      <c r="AE254" s="16"/>
      <c r="AF254" s="48"/>
      <c r="AG254" s="59" t="str">
        <f>IFERROR(INDEX(TINH_TP!$B:$B,MATCH(AF254,TINH_TP!$A:$A,0)),"")</f>
        <v/>
      </c>
      <c r="AH254" s="50"/>
      <c r="AI254" s="59" t="str">
        <f>IF(OR(AF254="",AH254=""),"",IF(COUNTIFS(PHUONG_XA!$A$2:$A$3323,AH254,PHUONG_XA!$C$2:$C$3323,AF254)=0,"",INDEX(PHUONG_XA!$B$2:$B$3323,SUMPRODUCT((PHUONG_XA!$A$2:$A$3323&amp;""=AH254&amp;"")*(PHUONG_XA!$C$2:$C$3323&amp;""=AF254&amp;"")*(ROW(PHUONG_XA!$A$2:$A$3323)-ROW(PHUONG_XA!$A$2)+1)))))</f>
        <v/>
      </c>
      <c r="AJ254" s="14"/>
      <c r="AK254" s="14"/>
      <c r="AL254" s="57" t="str">
        <f t="shared" si="4"/>
        <v/>
      </c>
      <c r="AM254" s="14"/>
      <c r="AN254" s="15"/>
      <c r="AO254" s="15"/>
      <c r="AP254" s="48"/>
      <c r="AQ254" s="15"/>
      <c r="AR254" s="15"/>
      <c r="AS254" s="15"/>
      <c r="AT254" s="60" t="str">
        <f>IF(ISNUMBER(MATCH(AU254,LOAI_THE!$B:$B,0)),INDEX(LOAI_THE!$A:$A,MATCH(AU254,LOAI_THE!$B:$B,0)),"")</f>
        <v/>
      </c>
      <c r="AU254" s="48"/>
      <c r="AV254" s="15"/>
      <c r="AW254" s="15"/>
      <c r="AX254" s="15"/>
      <c r="AY254" s="48"/>
    </row>
    <row r="255" spans="1:51" x14ac:dyDescent="0.3">
      <c r="A255" s="13" t="s">
        <v>560</v>
      </c>
      <c r="B255" s="48"/>
      <c r="C255" s="48"/>
      <c r="D255" s="48"/>
      <c r="E255" s="48"/>
      <c r="F255" s="48"/>
      <c r="G255" s="58" t="str">
        <f>IF(ISNUMBER(MATCH(H255,GIOI_TINH!$B:$B,0)),INDEX(GIOI_TINH!$A:$A,MATCH(H255,GIOI_TINH!$B:$B,0)),"")</f>
        <v/>
      </c>
      <c r="H255" s="15"/>
      <c r="I255" s="15"/>
      <c r="J255" s="58" t="str">
        <f>IF(ISNUMBER(MATCH(K255,QUOC_GIA!$B:$B,0)),INDEX(QUOC_GIA!$A:$A,MATCH(K255,QUOC_GIA!$B:$B,0)),"")</f>
        <v/>
      </c>
      <c r="K255" s="50"/>
      <c r="L255" s="15"/>
      <c r="M255" s="58" t="str">
        <f>IF(ISNUMBER(MATCH(N255,LOAI_THUE!$B:$B,0)),INDEX(LOAI_THUE!$A:$A,MATCH(N255,LOAI_THUE!$B:$B,0)),"")</f>
        <v/>
      </c>
      <c r="N255" s="50"/>
      <c r="O255" s="58" t="str">
        <f>IF(ISNUMBER(MATCH(P255,CHI_TIET_LOAI_KH!$B:$B,0)),INDEX(CHI_TIET_LOAI_KH!$A:$A,MATCH(P255,CHI_TIET_LOAI_KH!$B:$B,0)),"")</f>
        <v/>
      </c>
      <c r="P255" s="50"/>
      <c r="Q255" s="58" t="str">
        <f>IF(ISNUMBER(MATCH(R255,NGHE_NGHIEP!$B:$B,0)),INDEX(NGHE_NGHIEP!$A:$A,MATCH(R255,NGHE_NGHIEP!$B:$B,0)),"")</f>
        <v/>
      </c>
      <c r="R255" s="50"/>
      <c r="S255" s="58" t="str">
        <f>IF(ISNUMBER(MATCH(T255,LOAI_ID!$B:$B,0)),INDEX(LOAI_ID!$A:$A,MATCH(T255,LOAI_ID!$B:$B,0)),"")</f>
        <v/>
      </c>
      <c r="T255" s="16"/>
      <c r="U255" s="48"/>
      <c r="V255" s="48"/>
      <c r="W255" s="17"/>
      <c r="X255" s="17"/>
      <c r="Y255" s="15"/>
      <c r="Z255" s="15"/>
      <c r="AA255" s="59" t="str">
        <f>IFERROR(INDEX(NOI_CAP!$B:$B,MATCH(Z255,NOI_CAP!$A:$A,0)),"")</f>
        <v/>
      </c>
      <c r="AB255" s="58" t="str">
        <f>IF(ISNUMBER(MATCH(AC255,LOAI_DIA_CHI!$B:$B,0)),INDEX(LOAI_DIA_CHI!$A:$A,MATCH(AC255,LOAI_DIA_CHI!$B:$B,0)),"")</f>
        <v/>
      </c>
      <c r="AC255" s="16"/>
      <c r="AD255" s="58" t="str">
        <f>IF(ISNUMBER(MATCH(AE255,QUOC_GIA!$B:$B,0)),INDEX(QUOC_GIA!$A:$A,MATCH(AE255,QUOC_GIA!$B:$B,0)),"")</f>
        <v/>
      </c>
      <c r="AE255" s="16"/>
      <c r="AF255" s="48"/>
      <c r="AG255" s="59" t="str">
        <f>IFERROR(INDEX(TINH_TP!$B:$B,MATCH(AF255,TINH_TP!$A:$A,0)),"")</f>
        <v/>
      </c>
      <c r="AH255" s="50"/>
      <c r="AI255" s="59" t="str">
        <f>IF(OR(AF255="",AH255=""),"",IF(COUNTIFS(PHUONG_XA!$A$2:$A$3323,AH255,PHUONG_XA!$C$2:$C$3323,AF255)=0,"",INDEX(PHUONG_XA!$B$2:$B$3323,SUMPRODUCT((PHUONG_XA!$A$2:$A$3323&amp;""=AH255&amp;"")*(PHUONG_XA!$C$2:$C$3323&amp;""=AF255&amp;"")*(ROW(PHUONG_XA!$A$2:$A$3323)-ROW(PHUONG_XA!$A$2)+1)))))</f>
        <v/>
      </c>
      <c r="AJ255" s="14"/>
      <c r="AK255" s="14"/>
      <c r="AL255" s="57" t="str">
        <f t="shared" si="4"/>
        <v/>
      </c>
      <c r="AM255" s="14"/>
      <c r="AN255" s="15"/>
      <c r="AO255" s="15"/>
      <c r="AP255" s="48"/>
      <c r="AQ255" s="15"/>
      <c r="AR255" s="15"/>
      <c r="AS255" s="15"/>
      <c r="AT255" s="60" t="str">
        <f>IF(ISNUMBER(MATCH(AU255,LOAI_THE!$B:$B,0)),INDEX(LOAI_THE!$A:$A,MATCH(AU255,LOAI_THE!$B:$B,0)),"")</f>
        <v/>
      </c>
      <c r="AU255" s="48"/>
      <c r="AV255" s="15"/>
      <c r="AW255" s="15"/>
      <c r="AX255" s="15"/>
      <c r="AY255" s="48"/>
    </row>
    <row r="256" spans="1:51" x14ac:dyDescent="0.3">
      <c r="A256" s="13" t="s">
        <v>562</v>
      </c>
      <c r="B256" s="48"/>
      <c r="C256" s="48"/>
      <c r="D256" s="48"/>
      <c r="E256" s="48"/>
      <c r="F256" s="48"/>
      <c r="G256" s="58" t="str">
        <f>IF(ISNUMBER(MATCH(H256,GIOI_TINH!$B:$B,0)),INDEX(GIOI_TINH!$A:$A,MATCH(H256,GIOI_TINH!$B:$B,0)),"")</f>
        <v/>
      </c>
      <c r="H256" s="15"/>
      <c r="I256" s="15"/>
      <c r="J256" s="58" t="str">
        <f>IF(ISNUMBER(MATCH(K256,QUOC_GIA!$B:$B,0)),INDEX(QUOC_GIA!$A:$A,MATCH(K256,QUOC_GIA!$B:$B,0)),"")</f>
        <v/>
      </c>
      <c r="K256" s="50"/>
      <c r="L256" s="15"/>
      <c r="M256" s="58" t="str">
        <f>IF(ISNUMBER(MATCH(N256,LOAI_THUE!$B:$B,0)),INDEX(LOAI_THUE!$A:$A,MATCH(N256,LOAI_THUE!$B:$B,0)),"")</f>
        <v/>
      </c>
      <c r="N256" s="50"/>
      <c r="O256" s="58" t="str">
        <f>IF(ISNUMBER(MATCH(P256,CHI_TIET_LOAI_KH!$B:$B,0)),INDEX(CHI_TIET_LOAI_KH!$A:$A,MATCH(P256,CHI_TIET_LOAI_KH!$B:$B,0)),"")</f>
        <v/>
      </c>
      <c r="P256" s="50"/>
      <c r="Q256" s="58" t="str">
        <f>IF(ISNUMBER(MATCH(R256,NGHE_NGHIEP!$B:$B,0)),INDEX(NGHE_NGHIEP!$A:$A,MATCH(R256,NGHE_NGHIEP!$B:$B,0)),"")</f>
        <v/>
      </c>
      <c r="R256" s="50"/>
      <c r="S256" s="58" t="str">
        <f>IF(ISNUMBER(MATCH(T256,LOAI_ID!$B:$B,0)),INDEX(LOAI_ID!$A:$A,MATCH(T256,LOAI_ID!$B:$B,0)),"")</f>
        <v/>
      </c>
      <c r="T256" s="16"/>
      <c r="U256" s="48"/>
      <c r="V256" s="48"/>
      <c r="W256" s="17"/>
      <c r="X256" s="17"/>
      <c r="Y256" s="15"/>
      <c r="Z256" s="15"/>
      <c r="AA256" s="59" t="str">
        <f>IFERROR(INDEX(NOI_CAP!$B:$B,MATCH(Z256,NOI_CAP!$A:$A,0)),"")</f>
        <v/>
      </c>
      <c r="AB256" s="58" t="str">
        <f>IF(ISNUMBER(MATCH(AC256,LOAI_DIA_CHI!$B:$B,0)),INDEX(LOAI_DIA_CHI!$A:$A,MATCH(AC256,LOAI_DIA_CHI!$B:$B,0)),"")</f>
        <v/>
      </c>
      <c r="AC256" s="16"/>
      <c r="AD256" s="58" t="str">
        <f>IF(ISNUMBER(MATCH(AE256,QUOC_GIA!$B:$B,0)),INDEX(QUOC_GIA!$A:$A,MATCH(AE256,QUOC_GIA!$B:$B,0)),"")</f>
        <v/>
      </c>
      <c r="AE256" s="16"/>
      <c r="AF256" s="48"/>
      <c r="AG256" s="59" t="str">
        <f>IFERROR(INDEX(TINH_TP!$B:$B,MATCH(AF256,TINH_TP!$A:$A,0)),"")</f>
        <v/>
      </c>
      <c r="AH256" s="50"/>
      <c r="AI256" s="59" t="str">
        <f>IF(OR(AF256="",AH256=""),"",IF(COUNTIFS(PHUONG_XA!$A$2:$A$3323,AH256,PHUONG_XA!$C$2:$C$3323,AF256)=0,"",INDEX(PHUONG_XA!$B$2:$B$3323,SUMPRODUCT((PHUONG_XA!$A$2:$A$3323&amp;""=AH256&amp;"")*(PHUONG_XA!$C$2:$C$3323&amp;""=AF256&amp;"")*(ROW(PHUONG_XA!$A$2:$A$3323)-ROW(PHUONG_XA!$A$2)+1)))))</f>
        <v/>
      </c>
      <c r="AJ256" s="14"/>
      <c r="AK256" s="14"/>
      <c r="AL256" s="57" t="str">
        <f t="shared" si="4"/>
        <v/>
      </c>
      <c r="AM256" s="14"/>
      <c r="AN256" s="15"/>
      <c r="AO256" s="15"/>
      <c r="AP256" s="48"/>
      <c r="AQ256" s="15"/>
      <c r="AR256" s="15"/>
      <c r="AS256" s="15"/>
      <c r="AT256" s="60" t="str">
        <f>IF(ISNUMBER(MATCH(AU256,LOAI_THE!$B:$B,0)),INDEX(LOAI_THE!$A:$A,MATCH(AU256,LOAI_THE!$B:$B,0)),"")</f>
        <v/>
      </c>
      <c r="AU256" s="48"/>
      <c r="AV256" s="15"/>
      <c r="AW256" s="15"/>
      <c r="AX256" s="15"/>
      <c r="AY256" s="48"/>
    </row>
    <row r="257" spans="1:51" x14ac:dyDescent="0.3">
      <c r="A257" s="13" t="s">
        <v>564</v>
      </c>
      <c r="B257" s="48"/>
      <c r="C257" s="48"/>
      <c r="D257" s="48"/>
      <c r="E257" s="48"/>
      <c r="F257" s="48"/>
      <c r="G257" s="58" t="str">
        <f>IF(ISNUMBER(MATCH(H257,GIOI_TINH!$B:$B,0)),INDEX(GIOI_TINH!$A:$A,MATCH(H257,GIOI_TINH!$B:$B,0)),"")</f>
        <v/>
      </c>
      <c r="H257" s="15"/>
      <c r="I257" s="15"/>
      <c r="J257" s="58" t="str">
        <f>IF(ISNUMBER(MATCH(K257,QUOC_GIA!$B:$B,0)),INDEX(QUOC_GIA!$A:$A,MATCH(K257,QUOC_GIA!$B:$B,0)),"")</f>
        <v/>
      </c>
      <c r="K257" s="50"/>
      <c r="L257" s="15"/>
      <c r="M257" s="58" t="str">
        <f>IF(ISNUMBER(MATCH(N257,LOAI_THUE!$B:$B,0)),INDEX(LOAI_THUE!$A:$A,MATCH(N257,LOAI_THUE!$B:$B,0)),"")</f>
        <v/>
      </c>
      <c r="N257" s="50"/>
      <c r="O257" s="58" t="str">
        <f>IF(ISNUMBER(MATCH(P257,CHI_TIET_LOAI_KH!$B:$B,0)),INDEX(CHI_TIET_LOAI_KH!$A:$A,MATCH(P257,CHI_TIET_LOAI_KH!$B:$B,0)),"")</f>
        <v/>
      </c>
      <c r="P257" s="50"/>
      <c r="Q257" s="58" t="str">
        <f>IF(ISNUMBER(MATCH(R257,NGHE_NGHIEP!$B:$B,0)),INDEX(NGHE_NGHIEP!$A:$A,MATCH(R257,NGHE_NGHIEP!$B:$B,0)),"")</f>
        <v/>
      </c>
      <c r="R257" s="50"/>
      <c r="S257" s="58" t="str">
        <f>IF(ISNUMBER(MATCH(T257,LOAI_ID!$B:$B,0)),INDEX(LOAI_ID!$A:$A,MATCH(T257,LOAI_ID!$B:$B,0)),"")</f>
        <v/>
      </c>
      <c r="T257" s="16"/>
      <c r="U257" s="48"/>
      <c r="V257" s="48"/>
      <c r="W257" s="17"/>
      <c r="X257" s="17"/>
      <c r="Y257" s="15"/>
      <c r="Z257" s="15"/>
      <c r="AA257" s="59" t="str">
        <f>IFERROR(INDEX(NOI_CAP!$B:$B,MATCH(Z257,NOI_CAP!$A:$A,0)),"")</f>
        <v/>
      </c>
      <c r="AB257" s="58" t="str">
        <f>IF(ISNUMBER(MATCH(AC257,LOAI_DIA_CHI!$B:$B,0)),INDEX(LOAI_DIA_CHI!$A:$A,MATCH(AC257,LOAI_DIA_CHI!$B:$B,0)),"")</f>
        <v/>
      </c>
      <c r="AC257" s="16"/>
      <c r="AD257" s="58" t="str">
        <f>IF(ISNUMBER(MATCH(AE257,QUOC_GIA!$B:$B,0)),INDEX(QUOC_GIA!$A:$A,MATCH(AE257,QUOC_GIA!$B:$B,0)),"")</f>
        <v/>
      </c>
      <c r="AE257" s="16"/>
      <c r="AF257" s="48"/>
      <c r="AG257" s="59" t="str">
        <f>IFERROR(INDEX(TINH_TP!$B:$B,MATCH(AF257,TINH_TP!$A:$A,0)),"")</f>
        <v/>
      </c>
      <c r="AH257" s="50"/>
      <c r="AI257" s="59" t="str">
        <f>IF(OR(AF257="",AH257=""),"",IF(COUNTIFS(PHUONG_XA!$A$2:$A$3323,AH257,PHUONG_XA!$C$2:$C$3323,AF257)=0,"",INDEX(PHUONG_XA!$B$2:$B$3323,SUMPRODUCT((PHUONG_XA!$A$2:$A$3323&amp;""=AH257&amp;"")*(PHUONG_XA!$C$2:$C$3323&amp;""=AF257&amp;"")*(ROW(PHUONG_XA!$A$2:$A$3323)-ROW(PHUONG_XA!$A$2)+1)))))</f>
        <v/>
      </c>
      <c r="AJ257" s="14"/>
      <c r="AK257" s="14"/>
      <c r="AL257" s="57" t="str">
        <f t="shared" si="4"/>
        <v/>
      </c>
      <c r="AM257" s="14"/>
      <c r="AN257" s="15"/>
      <c r="AO257" s="15"/>
      <c r="AP257" s="48"/>
      <c r="AQ257" s="15"/>
      <c r="AR257" s="15"/>
      <c r="AS257" s="15"/>
      <c r="AT257" s="60" t="str">
        <f>IF(ISNUMBER(MATCH(AU257,LOAI_THE!$B:$B,0)),INDEX(LOAI_THE!$A:$A,MATCH(AU257,LOAI_THE!$B:$B,0)),"")</f>
        <v/>
      </c>
      <c r="AU257" s="48"/>
      <c r="AV257" s="15"/>
      <c r="AW257" s="15"/>
      <c r="AX257" s="15"/>
      <c r="AY257" s="48"/>
    </row>
    <row r="258" spans="1:51" x14ac:dyDescent="0.3">
      <c r="A258" s="13" t="s">
        <v>566</v>
      </c>
      <c r="B258" s="48"/>
      <c r="C258" s="48"/>
      <c r="D258" s="48"/>
      <c r="E258" s="48"/>
      <c r="F258" s="48"/>
      <c r="G258" s="58" t="str">
        <f>IF(ISNUMBER(MATCH(H258,GIOI_TINH!$B:$B,0)),INDEX(GIOI_TINH!$A:$A,MATCH(H258,GIOI_TINH!$B:$B,0)),"")</f>
        <v/>
      </c>
      <c r="H258" s="15"/>
      <c r="I258" s="15"/>
      <c r="J258" s="58" t="str">
        <f>IF(ISNUMBER(MATCH(K258,QUOC_GIA!$B:$B,0)),INDEX(QUOC_GIA!$A:$A,MATCH(K258,QUOC_GIA!$B:$B,0)),"")</f>
        <v/>
      </c>
      <c r="K258" s="50"/>
      <c r="L258" s="15"/>
      <c r="M258" s="58" t="str">
        <f>IF(ISNUMBER(MATCH(N258,LOAI_THUE!$B:$B,0)),INDEX(LOAI_THUE!$A:$A,MATCH(N258,LOAI_THUE!$B:$B,0)),"")</f>
        <v/>
      </c>
      <c r="N258" s="50"/>
      <c r="O258" s="58" t="str">
        <f>IF(ISNUMBER(MATCH(P258,CHI_TIET_LOAI_KH!$B:$B,0)),INDEX(CHI_TIET_LOAI_KH!$A:$A,MATCH(P258,CHI_TIET_LOAI_KH!$B:$B,0)),"")</f>
        <v/>
      </c>
      <c r="P258" s="50"/>
      <c r="Q258" s="58" t="str">
        <f>IF(ISNUMBER(MATCH(R258,NGHE_NGHIEP!$B:$B,0)),INDEX(NGHE_NGHIEP!$A:$A,MATCH(R258,NGHE_NGHIEP!$B:$B,0)),"")</f>
        <v/>
      </c>
      <c r="R258" s="50"/>
      <c r="S258" s="58" t="str">
        <f>IF(ISNUMBER(MATCH(T258,LOAI_ID!$B:$B,0)),INDEX(LOAI_ID!$A:$A,MATCH(T258,LOAI_ID!$B:$B,0)),"")</f>
        <v/>
      </c>
      <c r="T258" s="16"/>
      <c r="U258" s="48"/>
      <c r="V258" s="48"/>
      <c r="W258" s="17"/>
      <c r="X258" s="17"/>
      <c r="Y258" s="15"/>
      <c r="Z258" s="15"/>
      <c r="AA258" s="59" t="str">
        <f>IFERROR(INDEX(NOI_CAP!$B:$B,MATCH(Z258,NOI_CAP!$A:$A,0)),"")</f>
        <v/>
      </c>
      <c r="AB258" s="58" t="str">
        <f>IF(ISNUMBER(MATCH(AC258,LOAI_DIA_CHI!$B:$B,0)),INDEX(LOAI_DIA_CHI!$A:$A,MATCH(AC258,LOAI_DIA_CHI!$B:$B,0)),"")</f>
        <v/>
      </c>
      <c r="AC258" s="16"/>
      <c r="AD258" s="58" t="str">
        <f>IF(ISNUMBER(MATCH(AE258,QUOC_GIA!$B:$B,0)),INDEX(QUOC_GIA!$A:$A,MATCH(AE258,QUOC_GIA!$B:$B,0)),"")</f>
        <v/>
      </c>
      <c r="AE258" s="16"/>
      <c r="AF258" s="48"/>
      <c r="AG258" s="59" t="str">
        <f>IFERROR(INDEX(TINH_TP!$B:$B,MATCH(AF258,TINH_TP!$A:$A,0)),"")</f>
        <v/>
      </c>
      <c r="AH258" s="50"/>
      <c r="AI258" s="59" t="str">
        <f>IF(OR(AF258="",AH258=""),"",IF(COUNTIFS(PHUONG_XA!$A$2:$A$3323,AH258,PHUONG_XA!$C$2:$C$3323,AF258)=0,"",INDEX(PHUONG_XA!$B$2:$B$3323,SUMPRODUCT((PHUONG_XA!$A$2:$A$3323&amp;""=AH258&amp;"")*(PHUONG_XA!$C$2:$C$3323&amp;""=AF258&amp;"")*(ROW(PHUONG_XA!$A$2:$A$3323)-ROW(PHUONG_XA!$A$2)+1)))))</f>
        <v/>
      </c>
      <c r="AJ258" s="14"/>
      <c r="AK258" s="14"/>
      <c r="AL258" s="57" t="str">
        <f t="shared" si="4"/>
        <v/>
      </c>
      <c r="AM258" s="14"/>
      <c r="AN258" s="15"/>
      <c r="AO258" s="15"/>
      <c r="AP258" s="48"/>
      <c r="AQ258" s="15"/>
      <c r="AR258" s="15"/>
      <c r="AS258" s="15"/>
      <c r="AT258" s="60" t="str">
        <f>IF(ISNUMBER(MATCH(AU258,LOAI_THE!$B:$B,0)),INDEX(LOAI_THE!$A:$A,MATCH(AU258,LOAI_THE!$B:$B,0)),"")</f>
        <v/>
      </c>
      <c r="AU258" s="48"/>
      <c r="AV258" s="15"/>
      <c r="AW258" s="15"/>
      <c r="AX258" s="15"/>
      <c r="AY258" s="48"/>
    </row>
    <row r="259" spans="1:51" x14ac:dyDescent="0.3">
      <c r="A259" s="13" t="s">
        <v>568</v>
      </c>
      <c r="B259" s="48"/>
      <c r="C259" s="48"/>
      <c r="D259" s="48"/>
      <c r="E259" s="48"/>
      <c r="F259" s="48"/>
      <c r="G259" s="58" t="str">
        <f>IF(ISNUMBER(MATCH(H259,GIOI_TINH!$B:$B,0)),INDEX(GIOI_TINH!$A:$A,MATCH(H259,GIOI_TINH!$B:$B,0)),"")</f>
        <v/>
      </c>
      <c r="H259" s="15"/>
      <c r="I259" s="15"/>
      <c r="J259" s="58" t="str">
        <f>IF(ISNUMBER(MATCH(K259,QUOC_GIA!$B:$B,0)),INDEX(QUOC_GIA!$A:$A,MATCH(K259,QUOC_GIA!$B:$B,0)),"")</f>
        <v/>
      </c>
      <c r="K259" s="50"/>
      <c r="L259" s="15"/>
      <c r="M259" s="58" t="str">
        <f>IF(ISNUMBER(MATCH(N259,LOAI_THUE!$B:$B,0)),INDEX(LOAI_THUE!$A:$A,MATCH(N259,LOAI_THUE!$B:$B,0)),"")</f>
        <v/>
      </c>
      <c r="N259" s="50"/>
      <c r="O259" s="58" t="str">
        <f>IF(ISNUMBER(MATCH(P259,CHI_TIET_LOAI_KH!$B:$B,0)),INDEX(CHI_TIET_LOAI_KH!$A:$A,MATCH(P259,CHI_TIET_LOAI_KH!$B:$B,0)),"")</f>
        <v/>
      </c>
      <c r="P259" s="50"/>
      <c r="Q259" s="58" t="str">
        <f>IF(ISNUMBER(MATCH(R259,NGHE_NGHIEP!$B:$B,0)),INDEX(NGHE_NGHIEP!$A:$A,MATCH(R259,NGHE_NGHIEP!$B:$B,0)),"")</f>
        <v/>
      </c>
      <c r="R259" s="50"/>
      <c r="S259" s="58" t="str">
        <f>IF(ISNUMBER(MATCH(T259,LOAI_ID!$B:$B,0)),INDEX(LOAI_ID!$A:$A,MATCH(T259,LOAI_ID!$B:$B,0)),"")</f>
        <v/>
      </c>
      <c r="T259" s="16"/>
      <c r="U259" s="48"/>
      <c r="V259" s="48"/>
      <c r="W259" s="17"/>
      <c r="X259" s="17"/>
      <c r="Y259" s="15"/>
      <c r="Z259" s="15"/>
      <c r="AA259" s="59" t="str">
        <f>IFERROR(INDEX(NOI_CAP!$B:$B,MATCH(Z259,NOI_CAP!$A:$A,0)),"")</f>
        <v/>
      </c>
      <c r="AB259" s="58" t="str">
        <f>IF(ISNUMBER(MATCH(AC259,LOAI_DIA_CHI!$B:$B,0)),INDEX(LOAI_DIA_CHI!$A:$A,MATCH(AC259,LOAI_DIA_CHI!$B:$B,0)),"")</f>
        <v/>
      </c>
      <c r="AC259" s="16"/>
      <c r="AD259" s="58" t="str">
        <f>IF(ISNUMBER(MATCH(AE259,QUOC_GIA!$B:$B,0)),INDEX(QUOC_GIA!$A:$A,MATCH(AE259,QUOC_GIA!$B:$B,0)),"")</f>
        <v/>
      </c>
      <c r="AE259" s="16"/>
      <c r="AF259" s="48"/>
      <c r="AG259" s="59" t="str">
        <f>IFERROR(INDEX(TINH_TP!$B:$B,MATCH(AF259,TINH_TP!$A:$A,0)),"")</f>
        <v/>
      </c>
      <c r="AH259" s="50"/>
      <c r="AI259" s="59" t="str">
        <f>IF(OR(AF259="",AH259=""),"",IF(COUNTIFS(PHUONG_XA!$A$2:$A$3323,AH259,PHUONG_XA!$C$2:$C$3323,AF259)=0,"",INDEX(PHUONG_XA!$B$2:$B$3323,SUMPRODUCT((PHUONG_XA!$A$2:$A$3323&amp;""=AH259&amp;"")*(PHUONG_XA!$C$2:$C$3323&amp;""=AF259&amp;"")*(ROW(PHUONG_XA!$A$2:$A$3323)-ROW(PHUONG_XA!$A$2)+1)))))</f>
        <v/>
      </c>
      <c r="AJ259" s="14"/>
      <c r="AK259" s="14"/>
      <c r="AL259" s="57" t="str">
        <f t="shared" si="4"/>
        <v/>
      </c>
      <c r="AM259" s="14"/>
      <c r="AN259" s="15"/>
      <c r="AO259" s="15"/>
      <c r="AP259" s="48"/>
      <c r="AQ259" s="15"/>
      <c r="AR259" s="15"/>
      <c r="AS259" s="15"/>
      <c r="AT259" s="60" t="str">
        <f>IF(ISNUMBER(MATCH(AU259,LOAI_THE!$B:$B,0)),INDEX(LOAI_THE!$A:$A,MATCH(AU259,LOAI_THE!$B:$B,0)),"")</f>
        <v/>
      </c>
      <c r="AU259" s="48"/>
      <c r="AV259" s="15"/>
      <c r="AW259" s="15"/>
      <c r="AX259" s="15"/>
      <c r="AY259" s="48"/>
    </row>
    <row r="260" spans="1:51" x14ac:dyDescent="0.3">
      <c r="A260" s="13" t="s">
        <v>570</v>
      </c>
      <c r="B260" s="48"/>
      <c r="C260" s="48"/>
      <c r="D260" s="48"/>
      <c r="E260" s="48"/>
      <c r="F260" s="48"/>
      <c r="G260" s="58" t="str">
        <f>IF(ISNUMBER(MATCH(H260,GIOI_TINH!$B:$B,0)),INDEX(GIOI_TINH!$A:$A,MATCH(H260,GIOI_TINH!$B:$B,0)),"")</f>
        <v/>
      </c>
      <c r="H260" s="15"/>
      <c r="I260" s="15"/>
      <c r="J260" s="58" t="str">
        <f>IF(ISNUMBER(MATCH(K260,QUOC_GIA!$B:$B,0)),INDEX(QUOC_GIA!$A:$A,MATCH(K260,QUOC_GIA!$B:$B,0)),"")</f>
        <v/>
      </c>
      <c r="K260" s="50"/>
      <c r="L260" s="15"/>
      <c r="M260" s="58" t="str">
        <f>IF(ISNUMBER(MATCH(N260,LOAI_THUE!$B:$B,0)),INDEX(LOAI_THUE!$A:$A,MATCH(N260,LOAI_THUE!$B:$B,0)),"")</f>
        <v/>
      </c>
      <c r="N260" s="50"/>
      <c r="O260" s="58" t="str">
        <f>IF(ISNUMBER(MATCH(P260,CHI_TIET_LOAI_KH!$B:$B,0)),INDEX(CHI_TIET_LOAI_KH!$A:$A,MATCH(P260,CHI_TIET_LOAI_KH!$B:$B,0)),"")</f>
        <v/>
      </c>
      <c r="P260" s="50"/>
      <c r="Q260" s="58" t="str">
        <f>IF(ISNUMBER(MATCH(R260,NGHE_NGHIEP!$B:$B,0)),INDEX(NGHE_NGHIEP!$A:$A,MATCH(R260,NGHE_NGHIEP!$B:$B,0)),"")</f>
        <v/>
      </c>
      <c r="R260" s="50"/>
      <c r="S260" s="58" t="str">
        <f>IF(ISNUMBER(MATCH(T260,LOAI_ID!$B:$B,0)),INDEX(LOAI_ID!$A:$A,MATCH(T260,LOAI_ID!$B:$B,0)),"")</f>
        <v/>
      </c>
      <c r="T260" s="16"/>
      <c r="U260" s="48"/>
      <c r="V260" s="48"/>
      <c r="W260" s="17"/>
      <c r="X260" s="17"/>
      <c r="Y260" s="15"/>
      <c r="Z260" s="15"/>
      <c r="AA260" s="59" t="str">
        <f>IFERROR(INDEX(NOI_CAP!$B:$B,MATCH(Z260,NOI_CAP!$A:$A,0)),"")</f>
        <v/>
      </c>
      <c r="AB260" s="58" t="str">
        <f>IF(ISNUMBER(MATCH(AC260,LOAI_DIA_CHI!$B:$B,0)),INDEX(LOAI_DIA_CHI!$A:$A,MATCH(AC260,LOAI_DIA_CHI!$B:$B,0)),"")</f>
        <v/>
      </c>
      <c r="AC260" s="16"/>
      <c r="AD260" s="58" t="str">
        <f>IF(ISNUMBER(MATCH(AE260,QUOC_GIA!$B:$B,0)),INDEX(QUOC_GIA!$A:$A,MATCH(AE260,QUOC_GIA!$B:$B,0)),"")</f>
        <v/>
      </c>
      <c r="AE260" s="16"/>
      <c r="AF260" s="48"/>
      <c r="AG260" s="59" t="str">
        <f>IFERROR(INDEX(TINH_TP!$B:$B,MATCH(AF260,TINH_TP!$A:$A,0)),"")</f>
        <v/>
      </c>
      <c r="AH260" s="50"/>
      <c r="AI260" s="59" t="str">
        <f>IF(OR(AF260="",AH260=""),"",IF(COUNTIFS(PHUONG_XA!$A$2:$A$3323,AH260,PHUONG_XA!$C$2:$C$3323,AF260)=0,"",INDEX(PHUONG_XA!$B$2:$B$3323,SUMPRODUCT((PHUONG_XA!$A$2:$A$3323&amp;""=AH260&amp;"")*(PHUONG_XA!$C$2:$C$3323&amp;""=AF260&amp;"")*(ROW(PHUONG_XA!$A$2:$A$3323)-ROW(PHUONG_XA!$A$2)+1)))))</f>
        <v/>
      </c>
      <c r="AJ260" s="14"/>
      <c r="AK260" s="14"/>
      <c r="AL260" s="57" t="str">
        <f t="shared" si="4"/>
        <v/>
      </c>
      <c r="AM260" s="14"/>
      <c r="AN260" s="15"/>
      <c r="AO260" s="15"/>
      <c r="AP260" s="48"/>
      <c r="AQ260" s="15"/>
      <c r="AR260" s="15"/>
      <c r="AS260" s="15"/>
      <c r="AT260" s="60" t="str">
        <f>IF(ISNUMBER(MATCH(AU260,LOAI_THE!$B:$B,0)),INDEX(LOAI_THE!$A:$A,MATCH(AU260,LOAI_THE!$B:$B,0)),"")</f>
        <v/>
      </c>
      <c r="AU260" s="48"/>
      <c r="AV260" s="15"/>
      <c r="AW260" s="15"/>
      <c r="AX260" s="15"/>
      <c r="AY260" s="48"/>
    </row>
    <row r="261" spans="1:51" x14ac:dyDescent="0.3">
      <c r="A261" s="13" t="s">
        <v>572</v>
      </c>
      <c r="B261" s="48"/>
      <c r="C261" s="48"/>
      <c r="D261" s="48"/>
      <c r="E261" s="48"/>
      <c r="F261" s="48"/>
      <c r="G261" s="58" t="str">
        <f>IF(ISNUMBER(MATCH(H261,GIOI_TINH!$B:$B,0)),INDEX(GIOI_TINH!$A:$A,MATCH(H261,GIOI_TINH!$B:$B,0)),"")</f>
        <v/>
      </c>
      <c r="H261" s="15"/>
      <c r="I261" s="15"/>
      <c r="J261" s="58" t="str">
        <f>IF(ISNUMBER(MATCH(K261,QUOC_GIA!$B:$B,0)),INDEX(QUOC_GIA!$A:$A,MATCH(K261,QUOC_GIA!$B:$B,0)),"")</f>
        <v/>
      </c>
      <c r="K261" s="50"/>
      <c r="L261" s="15"/>
      <c r="M261" s="58" t="str">
        <f>IF(ISNUMBER(MATCH(N261,LOAI_THUE!$B:$B,0)),INDEX(LOAI_THUE!$A:$A,MATCH(N261,LOAI_THUE!$B:$B,0)),"")</f>
        <v/>
      </c>
      <c r="N261" s="50"/>
      <c r="O261" s="58" t="str">
        <f>IF(ISNUMBER(MATCH(P261,CHI_TIET_LOAI_KH!$B:$B,0)),INDEX(CHI_TIET_LOAI_KH!$A:$A,MATCH(P261,CHI_TIET_LOAI_KH!$B:$B,0)),"")</f>
        <v/>
      </c>
      <c r="P261" s="50"/>
      <c r="Q261" s="58" t="str">
        <f>IF(ISNUMBER(MATCH(R261,NGHE_NGHIEP!$B:$B,0)),INDEX(NGHE_NGHIEP!$A:$A,MATCH(R261,NGHE_NGHIEP!$B:$B,0)),"")</f>
        <v/>
      </c>
      <c r="R261" s="50"/>
      <c r="S261" s="58" t="str">
        <f>IF(ISNUMBER(MATCH(T261,LOAI_ID!$B:$B,0)),INDEX(LOAI_ID!$A:$A,MATCH(T261,LOAI_ID!$B:$B,0)),"")</f>
        <v/>
      </c>
      <c r="T261" s="16"/>
      <c r="U261" s="48"/>
      <c r="V261" s="48"/>
      <c r="W261" s="17"/>
      <c r="X261" s="17"/>
      <c r="Y261" s="15"/>
      <c r="Z261" s="15"/>
      <c r="AA261" s="59" t="str">
        <f>IFERROR(INDEX(NOI_CAP!$B:$B,MATCH(Z261,NOI_CAP!$A:$A,0)),"")</f>
        <v/>
      </c>
      <c r="AB261" s="58" t="str">
        <f>IF(ISNUMBER(MATCH(AC261,LOAI_DIA_CHI!$B:$B,0)),INDEX(LOAI_DIA_CHI!$A:$A,MATCH(AC261,LOAI_DIA_CHI!$B:$B,0)),"")</f>
        <v/>
      </c>
      <c r="AC261" s="16"/>
      <c r="AD261" s="58" t="str">
        <f>IF(ISNUMBER(MATCH(AE261,QUOC_GIA!$B:$B,0)),INDEX(QUOC_GIA!$A:$A,MATCH(AE261,QUOC_GIA!$B:$B,0)),"")</f>
        <v/>
      </c>
      <c r="AE261" s="16"/>
      <c r="AF261" s="48"/>
      <c r="AG261" s="59" t="str">
        <f>IFERROR(INDEX(TINH_TP!$B:$B,MATCH(AF261,TINH_TP!$A:$A,0)),"")</f>
        <v/>
      </c>
      <c r="AH261" s="50"/>
      <c r="AI261" s="59" t="str">
        <f>IF(OR(AF261="",AH261=""),"",IF(COUNTIFS(PHUONG_XA!$A$2:$A$3323,AH261,PHUONG_XA!$C$2:$C$3323,AF261)=0,"",INDEX(PHUONG_XA!$B$2:$B$3323,SUMPRODUCT((PHUONG_XA!$A$2:$A$3323&amp;""=AH261&amp;"")*(PHUONG_XA!$C$2:$C$3323&amp;""=AF261&amp;"")*(ROW(PHUONG_XA!$A$2:$A$3323)-ROW(PHUONG_XA!$A$2)+1)))))</f>
        <v/>
      </c>
      <c r="AJ261" s="14"/>
      <c r="AK261" s="14"/>
      <c r="AL261" s="57" t="str">
        <f t="shared" si="4"/>
        <v/>
      </c>
      <c r="AM261" s="14"/>
      <c r="AN261" s="15"/>
      <c r="AO261" s="15"/>
      <c r="AP261" s="48"/>
      <c r="AQ261" s="15"/>
      <c r="AR261" s="15"/>
      <c r="AS261" s="15"/>
      <c r="AT261" s="60" t="str">
        <f>IF(ISNUMBER(MATCH(AU261,LOAI_THE!$B:$B,0)),INDEX(LOAI_THE!$A:$A,MATCH(AU261,LOAI_THE!$B:$B,0)),"")</f>
        <v/>
      </c>
      <c r="AU261" s="48"/>
      <c r="AV261" s="15"/>
      <c r="AW261" s="15"/>
      <c r="AX261" s="15"/>
      <c r="AY261" s="48"/>
    </row>
    <row r="262" spans="1:51" x14ac:dyDescent="0.3">
      <c r="A262" s="13" t="s">
        <v>574</v>
      </c>
      <c r="B262" s="48"/>
      <c r="C262" s="48"/>
      <c r="D262" s="48"/>
      <c r="E262" s="48"/>
      <c r="F262" s="48"/>
      <c r="G262" s="58" t="str">
        <f>IF(ISNUMBER(MATCH(H262,GIOI_TINH!$B:$B,0)),INDEX(GIOI_TINH!$A:$A,MATCH(H262,GIOI_TINH!$B:$B,0)),"")</f>
        <v/>
      </c>
      <c r="H262" s="15"/>
      <c r="I262" s="15"/>
      <c r="J262" s="58" t="str">
        <f>IF(ISNUMBER(MATCH(K262,QUOC_GIA!$B:$B,0)),INDEX(QUOC_GIA!$A:$A,MATCH(K262,QUOC_GIA!$B:$B,0)),"")</f>
        <v/>
      </c>
      <c r="K262" s="50"/>
      <c r="L262" s="15"/>
      <c r="M262" s="58" t="str">
        <f>IF(ISNUMBER(MATCH(N262,LOAI_THUE!$B:$B,0)),INDEX(LOAI_THUE!$A:$A,MATCH(N262,LOAI_THUE!$B:$B,0)),"")</f>
        <v/>
      </c>
      <c r="N262" s="50"/>
      <c r="O262" s="58" t="str">
        <f>IF(ISNUMBER(MATCH(P262,CHI_TIET_LOAI_KH!$B:$B,0)),INDEX(CHI_TIET_LOAI_KH!$A:$A,MATCH(P262,CHI_TIET_LOAI_KH!$B:$B,0)),"")</f>
        <v/>
      </c>
      <c r="P262" s="50"/>
      <c r="Q262" s="58" t="str">
        <f>IF(ISNUMBER(MATCH(R262,NGHE_NGHIEP!$B:$B,0)),INDEX(NGHE_NGHIEP!$A:$A,MATCH(R262,NGHE_NGHIEP!$B:$B,0)),"")</f>
        <v/>
      </c>
      <c r="R262" s="50"/>
      <c r="S262" s="58" t="str">
        <f>IF(ISNUMBER(MATCH(T262,LOAI_ID!$B:$B,0)),INDEX(LOAI_ID!$A:$A,MATCH(T262,LOAI_ID!$B:$B,0)),"")</f>
        <v/>
      </c>
      <c r="T262" s="16"/>
      <c r="U262" s="48"/>
      <c r="V262" s="48"/>
      <c r="W262" s="17"/>
      <c r="X262" s="17"/>
      <c r="Y262" s="15"/>
      <c r="Z262" s="15"/>
      <c r="AA262" s="59" t="str">
        <f>IFERROR(INDEX(NOI_CAP!$B:$B,MATCH(Z262,NOI_CAP!$A:$A,0)),"")</f>
        <v/>
      </c>
      <c r="AB262" s="58" t="str">
        <f>IF(ISNUMBER(MATCH(AC262,LOAI_DIA_CHI!$B:$B,0)),INDEX(LOAI_DIA_CHI!$A:$A,MATCH(AC262,LOAI_DIA_CHI!$B:$B,0)),"")</f>
        <v/>
      </c>
      <c r="AC262" s="16"/>
      <c r="AD262" s="58" t="str">
        <f>IF(ISNUMBER(MATCH(AE262,QUOC_GIA!$B:$B,0)),INDEX(QUOC_GIA!$A:$A,MATCH(AE262,QUOC_GIA!$B:$B,0)),"")</f>
        <v/>
      </c>
      <c r="AE262" s="16"/>
      <c r="AF262" s="48"/>
      <c r="AG262" s="59" t="str">
        <f>IFERROR(INDEX(TINH_TP!$B:$B,MATCH(AF262,TINH_TP!$A:$A,0)),"")</f>
        <v/>
      </c>
      <c r="AH262" s="50"/>
      <c r="AI262" s="59" t="str">
        <f>IF(OR(AF262="",AH262=""),"",IF(COUNTIFS(PHUONG_XA!$A$2:$A$3323,AH262,PHUONG_XA!$C$2:$C$3323,AF262)=0,"",INDEX(PHUONG_XA!$B$2:$B$3323,SUMPRODUCT((PHUONG_XA!$A$2:$A$3323&amp;""=AH262&amp;"")*(PHUONG_XA!$C$2:$C$3323&amp;""=AF262&amp;"")*(ROW(PHUONG_XA!$A$2:$A$3323)-ROW(PHUONG_XA!$A$2)+1)))))</f>
        <v/>
      </c>
      <c r="AJ262" s="14"/>
      <c r="AK262" s="14"/>
      <c r="AL262" s="57" t="str">
        <f t="shared" si="4"/>
        <v/>
      </c>
      <c r="AM262" s="14"/>
      <c r="AN262" s="15"/>
      <c r="AO262" s="15"/>
      <c r="AP262" s="48"/>
      <c r="AQ262" s="15"/>
      <c r="AR262" s="15"/>
      <c r="AS262" s="15"/>
      <c r="AT262" s="60" t="str">
        <f>IF(ISNUMBER(MATCH(AU262,LOAI_THE!$B:$B,0)),INDEX(LOAI_THE!$A:$A,MATCH(AU262,LOAI_THE!$B:$B,0)),"")</f>
        <v/>
      </c>
      <c r="AU262" s="48"/>
      <c r="AV262" s="15"/>
      <c r="AW262" s="15"/>
      <c r="AX262" s="15"/>
      <c r="AY262" s="48"/>
    </row>
    <row r="263" spans="1:51" x14ac:dyDescent="0.3">
      <c r="A263" s="13" t="s">
        <v>576</v>
      </c>
      <c r="B263" s="48"/>
      <c r="C263" s="48"/>
      <c r="D263" s="48"/>
      <c r="E263" s="48"/>
      <c r="F263" s="48"/>
      <c r="G263" s="58" t="str">
        <f>IF(ISNUMBER(MATCH(H263,GIOI_TINH!$B:$B,0)),INDEX(GIOI_TINH!$A:$A,MATCH(H263,GIOI_TINH!$B:$B,0)),"")</f>
        <v/>
      </c>
      <c r="H263" s="15"/>
      <c r="I263" s="15"/>
      <c r="J263" s="58" t="str">
        <f>IF(ISNUMBER(MATCH(K263,QUOC_GIA!$B:$B,0)),INDEX(QUOC_GIA!$A:$A,MATCH(K263,QUOC_GIA!$B:$B,0)),"")</f>
        <v/>
      </c>
      <c r="K263" s="50"/>
      <c r="L263" s="15"/>
      <c r="M263" s="58" t="str">
        <f>IF(ISNUMBER(MATCH(N263,LOAI_THUE!$B:$B,0)),INDEX(LOAI_THUE!$A:$A,MATCH(N263,LOAI_THUE!$B:$B,0)),"")</f>
        <v/>
      </c>
      <c r="N263" s="50"/>
      <c r="O263" s="58" t="str">
        <f>IF(ISNUMBER(MATCH(P263,CHI_TIET_LOAI_KH!$B:$B,0)),INDEX(CHI_TIET_LOAI_KH!$A:$A,MATCH(P263,CHI_TIET_LOAI_KH!$B:$B,0)),"")</f>
        <v/>
      </c>
      <c r="P263" s="50"/>
      <c r="Q263" s="58" t="str">
        <f>IF(ISNUMBER(MATCH(R263,NGHE_NGHIEP!$B:$B,0)),INDEX(NGHE_NGHIEP!$A:$A,MATCH(R263,NGHE_NGHIEP!$B:$B,0)),"")</f>
        <v/>
      </c>
      <c r="R263" s="50"/>
      <c r="S263" s="58" t="str">
        <f>IF(ISNUMBER(MATCH(T263,LOAI_ID!$B:$B,0)),INDEX(LOAI_ID!$A:$A,MATCH(T263,LOAI_ID!$B:$B,0)),"")</f>
        <v/>
      </c>
      <c r="T263" s="16"/>
      <c r="U263" s="48"/>
      <c r="V263" s="48"/>
      <c r="W263" s="17"/>
      <c r="X263" s="17"/>
      <c r="Y263" s="15"/>
      <c r="Z263" s="15"/>
      <c r="AA263" s="59" t="str">
        <f>IFERROR(INDEX(NOI_CAP!$B:$B,MATCH(Z263,NOI_CAP!$A:$A,0)),"")</f>
        <v/>
      </c>
      <c r="AB263" s="58" t="str">
        <f>IF(ISNUMBER(MATCH(AC263,LOAI_DIA_CHI!$B:$B,0)),INDEX(LOAI_DIA_CHI!$A:$A,MATCH(AC263,LOAI_DIA_CHI!$B:$B,0)),"")</f>
        <v/>
      </c>
      <c r="AC263" s="16"/>
      <c r="AD263" s="58" t="str">
        <f>IF(ISNUMBER(MATCH(AE263,QUOC_GIA!$B:$B,0)),INDEX(QUOC_GIA!$A:$A,MATCH(AE263,QUOC_GIA!$B:$B,0)),"")</f>
        <v/>
      </c>
      <c r="AE263" s="16"/>
      <c r="AF263" s="48"/>
      <c r="AG263" s="59" t="str">
        <f>IFERROR(INDEX(TINH_TP!$B:$B,MATCH(AF263,TINH_TP!$A:$A,0)),"")</f>
        <v/>
      </c>
      <c r="AH263" s="50"/>
      <c r="AI263" s="59" t="str">
        <f>IF(OR(AF263="",AH263=""),"",IF(COUNTIFS(PHUONG_XA!$A$2:$A$3323,AH263,PHUONG_XA!$C$2:$C$3323,AF263)=0,"",INDEX(PHUONG_XA!$B$2:$B$3323,SUMPRODUCT((PHUONG_XA!$A$2:$A$3323&amp;""=AH263&amp;"")*(PHUONG_XA!$C$2:$C$3323&amp;""=AF263&amp;"")*(ROW(PHUONG_XA!$A$2:$A$3323)-ROW(PHUONG_XA!$A$2)+1)))))</f>
        <v/>
      </c>
      <c r="AJ263" s="14"/>
      <c r="AK263" s="14"/>
      <c r="AL263" s="57" t="str">
        <f t="shared" ref="AL263:AL326" si="5">IF(OR(AI263="",AG263=""),"",SUBSTITUTE(SUBSTITUTE(AI263,"Phường","P."),"Xã","X.")&amp;", "&amp;SUBSTITUTE(SUBSTITUTE(AG263,"Thành phố","TP."),"Tỉnh","T."))</f>
        <v/>
      </c>
      <c r="AM263" s="14"/>
      <c r="AN263" s="15"/>
      <c r="AO263" s="15"/>
      <c r="AP263" s="48"/>
      <c r="AQ263" s="15"/>
      <c r="AR263" s="15"/>
      <c r="AS263" s="15"/>
      <c r="AT263" s="60" t="str">
        <f>IF(ISNUMBER(MATCH(AU263,LOAI_THE!$B:$B,0)),INDEX(LOAI_THE!$A:$A,MATCH(AU263,LOAI_THE!$B:$B,0)),"")</f>
        <v/>
      </c>
      <c r="AU263" s="48"/>
      <c r="AV263" s="15"/>
      <c r="AW263" s="15"/>
      <c r="AX263" s="15"/>
      <c r="AY263" s="48"/>
    </row>
    <row r="264" spans="1:51" x14ac:dyDescent="0.3">
      <c r="A264" s="13" t="s">
        <v>578</v>
      </c>
      <c r="B264" s="48"/>
      <c r="C264" s="48"/>
      <c r="D264" s="48"/>
      <c r="E264" s="48"/>
      <c r="F264" s="48"/>
      <c r="G264" s="58" t="str">
        <f>IF(ISNUMBER(MATCH(H264,GIOI_TINH!$B:$B,0)),INDEX(GIOI_TINH!$A:$A,MATCH(H264,GIOI_TINH!$B:$B,0)),"")</f>
        <v/>
      </c>
      <c r="H264" s="15"/>
      <c r="I264" s="15"/>
      <c r="J264" s="58" t="str">
        <f>IF(ISNUMBER(MATCH(K264,QUOC_GIA!$B:$B,0)),INDEX(QUOC_GIA!$A:$A,MATCH(K264,QUOC_GIA!$B:$B,0)),"")</f>
        <v/>
      </c>
      <c r="K264" s="50"/>
      <c r="L264" s="15"/>
      <c r="M264" s="58" t="str">
        <f>IF(ISNUMBER(MATCH(N264,LOAI_THUE!$B:$B,0)),INDEX(LOAI_THUE!$A:$A,MATCH(N264,LOAI_THUE!$B:$B,0)),"")</f>
        <v/>
      </c>
      <c r="N264" s="50"/>
      <c r="O264" s="58" t="str">
        <f>IF(ISNUMBER(MATCH(P264,CHI_TIET_LOAI_KH!$B:$B,0)),INDEX(CHI_TIET_LOAI_KH!$A:$A,MATCH(P264,CHI_TIET_LOAI_KH!$B:$B,0)),"")</f>
        <v/>
      </c>
      <c r="P264" s="50"/>
      <c r="Q264" s="58" t="str">
        <f>IF(ISNUMBER(MATCH(R264,NGHE_NGHIEP!$B:$B,0)),INDEX(NGHE_NGHIEP!$A:$A,MATCH(R264,NGHE_NGHIEP!$B:$B,0)),"")</f>
        <v/>
      </c>
      <c r="R264" s="50"/>
      <c r="S264" s="58" t="str">
        <f>IF(ISNUMBER(MATCH(T264,LOAI_ID!$B:$B,0)),INDEX(LOAI_ID!$A:$A,MATCH(T264,LOAI_ID!$B:$B,0)),"")</f>
        <v/>
      </c>
      <c r="T264" s="16"/>
      <c r="U264" s="48"/>
      <c r="V264" s="48"/>
      <c r="W264" s="17"/>
      <c r="X264" s="17"/>
      <c r="Y264" s="15"/>
      <c r="Z264" s="15"/>
      <c r="AA264" s="59" t="str">
        <f>IFERROR(INDEX(NOI_CAP!$B:$B,MATCH(Z264,NOI_CAP!$A:$A,0)),"")</f>
        <v/>
      </c>
      <c r="AB264" s="58" t="str">
        <f>IF(ISNUMBER(MATCH(AC264,LOAI_DIA_CHI!$B:$B,0)),INDEX(LOAI_DIA_CHI!$A:$A,MATCH(AC264,LOAI_DIA_CHI!$B:$B,0)),"")</f>
        <v/>
      </c>
      <c r="AC264" s="16"/>
      <c r="AD264" s="58" t="str">
        <f>IF(ISNUMBER(MATCH(AE264,QUOC_GIA!$B:$B,0)),INDEX(QUOC_GIA!$A:$A,MATCH(AE264,QUOC_GIA!$B:$B,0)),"")</f>
        <v/>
      </c>
      <c r="AE264" s="16"/>
      <c r="AF264" s="48"/>
      <c r="AG264" s="59" t="str">
        <f>IFERROR(INDEX(TINH_TP!$B:$B,MATCH(AF264,TINH_TP!$A:$A,0)),"")</f>
        <v/>
      </c>
      <c r="AH264" s="50"/>
      <c r="AI264" s="59" t="str">
        <f>IF(OR(AF264="",AH264=""),"",IF(COUNTIFS(PHUONG_XA!$A$2:$A$3323,AH264,PHUONG_XA!$C$2:$C$3323,AF264)=0,"",INDEX(PHUONG_XA!$B$2:$B$3323,SUMPRODUCT((PHUONG_XA!$A$2:$A$3323&amp;""=AH264&amp;"")*(PHUONG_XA!$C$2:$C$3323&amp;""=AF264&amp;"")*(ROW(PHUONG_XA!$A$2:$A$3323)-ROW(PHUONG_XA!$A$2)+1)))))</f>
        <v/>
      </c>
      <c r="AJ264" s="14"/>
      <c r="AK264" s="14"/>
      <c r="AL264" s="57" t="str">
        <f t="shared" si="5"/>
        <v/>
      </c>
      <c r="AM264" s="14"/>
      <c r="AN264" s="15"/>
      <c r="AO264" s="15"/>
      <c r="AP264" s="48"/>
      <c r="AQ264" s="15"/>
      <c r="AR264" s="15"/>
      <c r="AS264" s="15"/>
      <c r="AT264" s="60" t="str">
        <f>IF(ISNUMBER(MATCH(AU264,LOAI_THE!$B:$B,0)),INDEX(LOAI_THE!$A:$A,MATCH(AU264,LOAI_THE!$B:$B,0)),"")</f>
        <v/>
      </c>
      <c r="AU264" s="48"/>
      <c r="AV264" s="15"/>
      <c r="AW264" s="15"/>
      <c r="AX264" s="15"/>
      <c r="AY264" s="48"/>
    </row>
    <row r="265" spans="1:51" x14ac:dyDescent="0.3">
      <c r="A265" s="13" t="s">
        <v>580</v>
      </c>
      <c r="B265" s="48"/>
      <c r="C265" s="48"/>
      <c r="D265" s="48"/>
      <c r="E265" s="48"/>
      <c r="F265" s="48"/>
      <c r="G265" s="58" t="str">
        <f>IF(ISNUMBER(MATCH(H265,GIOI_TINH!$B:$B,0)),INDEX(GIOI_TINH!$A:$A,MATCH(H265,GIOI_TINH!$B:$B,0)),"")</f>
        <v/>
      </c>
      <c r="H265" s="15"/>
      <c r="I265" s="15"/>
      <c r="J265" s="58" t="str">
        <f>IF(ISNUMBER(MATCH(K265,QUOC_GIA!$B:$B,0)),INDEX(QUOC_GIA!$A:$A,MATCH(K265,QUOC_GIA!$B:$B,0)),"")</f>
        <v/>
      </c>
      <c r="K265" s="50"/>
      <c r="L265" s="15"/>
      <c r="M265" s="58" t="str">
        <f>IF(ISNUMBER(MATCH(N265,LOAI_THUE!$B:$B,0)),INDEX(LOAI_THUE!$A:$A,MATCH(N265,LOAI_THUE!$B:$B,0)),"")</f>
        <v/>
      </c>
      <c r="N265" s="50"/>
      <c r="O265" s="58" t="str">
        <f>IF(ISNUMBER(MATCH(P265,CHI_TIET_LOAI_KH!$B:$B,0)),INDEX(CHI_TIET_LOAI_KH!$A:$A,MATCH(P265,CHI_TIET_LOAI_KH!$B:$B,0)),"")</f>
        <v/>
      </c>
      <c r="P265" s="50"/>
      <c r="Q265" s="58" t="str">
        <f>IF(ISNUMBER(MATCH(R265,NGHE_NGHIEP!$B:$B,0)),INDEX(NGHE_NGHIEP!$A:$A,MATCH(R265,NGHE_NGHIEP!$B:$B,0)),"")</f>
        <v/>
      </c>
      <c r="R265" s="50"/>
      <c r="S265" s="58" t="str">
        <f>IF(ISNUMBER(MATCH(T265,LOAI_ID!$B:$B,0)),INDEX(LOAI_ID!$A:$A,MATCH(T265,LOAI_ID!$B:$B,0)),"")</f>
        <v/>
      </c>
      <c r="T265" s="16"/>
      <c r="U265" s="48"/>
      <c r="V265" s="48"/>
      <c r="W265" s="17"/>
      <c r="X265" s="17"/>
      <c r="Y265" s="15"/>
      <c r="Z265" s="15"/>
      <c r="AA265" s="59" t="str">
        <f>IFERROR(INDEX(NOI_CAP!$B:$B,MATCH(Z265,NOI_CAP!$A:$A,0)),"")</f>
        <v/>
      </c>
      <c r="AB265" s="58" t="str">
        <f>IF(ISNUMBER(MATCH(AC265,LOAI_DIA_CHI!$B:$B,0)),INDEX(LOAI_DIA_CHI!$A:$A,MATCH(AC265,LOAI_DIA_CHI!$B:$B,0)),"")</f>
        <v/>
      </c>
      <c r="AC265" s="16"/>
      <c r="AD265" s="58" t="str">
        <f>IF(ISNUMBER(MATCH(AE265,QUOC_GIA!$B:$B,0)),INDEX(QUOC_GIA!$A:$A,MATCH(AE265,QUOC_GIA!$B:$B,0)),"")</f>
        <v/>
      </c>
      <c r="AE265" s="16"/>
      <c r="AF265" s="48"/>
      <c r="AG265" s="59" t="str">
        <f>IFERROR(INDEX(TINH_TP!$B:$B,MATCH(AF265,TINH_TP!$A:$A,0)),"")</f>
        <v/>
      </c>
      <c r="AH265" s="50"/>
      <c r="AI265" s="59" t="str">
        <f>IF(OR(AF265="",AH265=""),"",IF(COUNTIFS(PHUONG_XA!$A$2:$A$3323,AH265,PHUONG_XA!$C$2:$C$3323,AF265)=0,"",INDEX(PHUONG_XA!$B$2:$B$3323,SUMPRODUCT((PHUONG_XA!$A$2:$A$3323&amp;""=AH265&amp;"")*(PHUONG_XA!$C$2:$C$3323&amp;""=AF265&amp;"")*(ROW(PHUONG_XA!$A$2:$A$3323)-ROW(PHUONG_XA!$A$2)+1)))))</f>
        <v/>
      </c>
      <c r="AJ265" s="14"/>
      <c r="AK265" s="14"/>
      <c r="AL265" s="57" t="str">
        <f t="shared" si="5"/>
        <v/>
      </c>
      <c r="AM265" s="14"/>
      <c r="AN265" s="15"/>
      <c r="AO265" s="15"/>
      <c r="AP265" s="48"/>
      <c r="AQ265" s="15"/>
      <c r="AR265" s="15"/>
      <c r="AS265" s="15"/>
      <c r="AT265" s="60" t="str">
        <f>IF(ISNUMBER(MATCH(AU265,LOAI_THE!$B:$B,0)),INDEX(LOAI_THE!$A:$A,MATCH(AU265,LOAI_THE!$B:$B,0)),"")</f>
        <v/>
      </c>
      <c r="AU265" s="48"/>
      <c r="AV265" s="15"/>
      <c r="AW265" s="15"/>
      <c r="AX265" s="15"/>
      <c r="AY265" s="48"/>
    </row>
    <row r="266" spans="1:51" x14ac:dyDescent="0.3">
      <c r="A266" s="13" t="s">
        <v>582</v>
      </c>
      <c r="B266" s="48"/>
      <c r="C266" s="48"/>
      <c r="D266" s="48"/>
      <c r="E266" s="48"/>
      <c r="F266" s="48"/>
      <c r="G266" s="58" t="str">
        <f>IF(ISNUMBER(MATCH(H266,GIOI_TINH!$B:$B,0)),INDEX(GIOI_TINH!$A:$A,MATCH(H266,GIOI_TINH!$B:$B,0)),"")</f>
        <v/>
      </c>
      <c r="H266" s="15"/>
      <c r="I266" s="15"/>
      <c r="J266" s="58" t="str">
        <f>IF(ISNUMBER(MATCH(K266,QUOC_GIA!$B:$B,0)),INDEX(QUOC_GIA!$A:$A,MATCH(K266,QUOC_GIA!$B:$B,0)),"")</f>
        <v/>
      </c>
      <c r="K266" s="50"/>
      <c r="L266" s="15"/>
      <c r="M266" s="58" t="str">
        <f>IF(ISNUMBER(MATCH(N266,LOAI_THUE!$B:$B,0)),INDEX(LOAI_THUE!$A:$A,MATCH(N266,LOAI_THUE!$B:$B,0)),"")</f>
        <v/>
      </c>
      <c r="N266" s="50"/>
      <c r="O266" s="58" t="str">
        <f>IF(ISNUMBER(MATCH(P266,CHI_TIET_LOAI_KH!$B:$B,0)),INDEX(CHI_TIET_LOAI_KH!$A:$A,MATCH(P266,CHI_TIET_LOAI_KH!$B:$B,0)),"")</f>
        <v/>
      </c>
      <c r="P266" s="50"/>
      <c r="Q266" s="58" t="str">
        <f>IF(ISNUMBER(MATCH(R266,NGHE_NGHIEP!$B:$B,0)),INDEX(NGHE_NGHIEP!$A:$A,MATCH(R266,NGHE_NGHIEP!$B:$B,0)),"")</f>
        <v/>
      </c>
      <c r="R266" s="50"/>
      <c r="S266" s="58" t="str">
        <f>IF(ISNUMBER(MATCH(T266,LOAI_ID!$B:$B,0)),INDEX(LOAI_ID!$A:$A,MATCH(T266,LOAI_ID!$B:$B,0)),"")</f>
        <v/>
      </c>
      <c r="T266" s="16"/>
      <c r="U266" s="48"/>
      <c r="V266" s="48"/>
      <c r="W266" s="17"/>
      <c r="X266" s="17"/>
      <c r="Y266" s="15"/>
      <c r="Z266" s="15"/>
      <c r="AA266" s="59" t="str">
        <f>IFERROR(INDEX(NOI_CAP!$B:$B,MATCH(Z266,NOI_CAP!$A:$A,0)),"")</f>
        <v/>
      </c>
      <c r="AB266" s="58" t="str">
        <f>IF(ISNUMBER(MATCH(AC266,LOAI_DIA_CHI!$B:$B,0)),INDEX(LOAI_DIA_CHI!$A:$A,MATCH(AC266,LOAI_DIA_CHI!$B:$B,0)),"")</f>
        <v/>
      </c>
      <c r="AC266" s="16"/>
      <c r="AD266" s="58" t="str">
        <f>IF(ISNUMBER(MATCH(AE266,QUOC_GIA!$B:$B,0)),INDEX(QUOC_GIA!$A:$A,MATCH(AE266,QUOC_GIA!$B:$B,0)),"")</f>
        <v/>
      </c>
      <c r="AE266" s="16"/>
      <c r="AF266" s="48"/>
      <c r="AG266" s="59" t="str">
        <f>IFERROR(INDEX(TINH_TP!$B:$B,MATCH(AF266,TINH_TP!$A:$A,0)),"")</f>
        <v/>
      </c>
      <c r="AH266" s="50"/>
      <c r="AI266" s="59" t="str">
        <f>IF(OR(AF266="",AH266=""),"",IF(COUNTIFS(PHUONG_XA!$A$2:$A$3323,AH266,PHUONG_XA!$C$2:$C$3323,AF266)=0,"",INDEX(PHUONG_XA!$B$2:$B$3323,SUMPRODUCT((PHUONG_XA!$A$2:$A$3323&amp;""=AH266&amp;"")*(PHUONG_XA!$C$2:$C$3323&amp;""=AF266&amp;"")*(ROW(PHUONG_XA!$A$2:$A$3323)-ROW(PHUONG_XA!$A$2)+1)))))</f>
        <v/>
      </c>
      <c r="AJ266" s="14"/>
      <c r="AK266" s="14"/>
      <c r="AL266" s="57" t="str">
        <f t="shared" si="5"/>
        <v/>
      </c>
      <c r="AM266" s="14"/>
      <c r="AN266" s="15"/>
      <c r="AO266" s="15"/>
      <c r="AP266" s="48"/>
      <c r="AQ266" s="15"/>
      <c r="AR266" s="15"/>
      <c r="AS266" s="15"/>
      <c r="AT266" s="60" t="str">
        <f>IF(ISNUMBER(MATCH(AU266,LOAI_THE!$B:$B,0)),INDEX(LOAI_THE!$A:$A,MATCH(AU266,LOAI_THE!$B:$B,0)),"")</f>
        <v/>
      </c>
      <c r="AU266" s="48"/>
      <c r="AV266" s="15"/>
      <c r="AW266" s="15"/>
      <c r="AX266" s="15"/>
      <c r="AY266" s="48"/>
    </row>
    <row r="267" spans="1:51" x14ac:dyDescent="0.3">
      <c r="A267" s="13" t="s">
        <v>584</v>
      </c>
      <c r="B267" s="48"/>
      <c r="C267" s="48"/>
      <c r="D267" s="48"/>
      <c r="E267" s="48"/>
      <c r="F267" s="48"/>
      <c r="G267" s="58" t="str">
        <f>IF(ISNUMBER(MATCH(H267,GIOI_TINH!$B:$B,0)),INDEX(GIOI_TINH!$A:$A,MATCH(H267,GIOI_TINH!$B:$B,0)),"")</f>
        <v/>
      </c>
      <c r="H267" s="15"/>
      <c r="I267" s="15"/>
      <c r="J267" s="58" t="str">
        <f>IF(ISNUMBER(MATCH(K267,QUOC_GIA!$B:$B,0)),INDEX(QUOC_GIA!$A:$A,MATCH(K267,QUOC_GIA!$B:$B,0)),"")</f>
        <v/>
      </c>
      <c r="K267" s="50"/>
      <c r="L267" s="15"/>
      <c r="M267" s="58" t="str">
        <f>IF(ISNUMBER(MATCH(N267,LOAI_THUE!$B:$B,0)),INDEX(LOAI_THUE!$A:$A,MATCH(N267,LOAI_THUE!$B:$B,0)),"")</f>
        <v/>
      </c>
      <c r="N267" s="50"/>
      <c r="O267" s="58" t="str">
        <f>IF(ISNUMBER(MATCH(P267,CHI_TIET_LOAI_KH!$B:$B,0)),INDEX(CHI_TIET_LOAI_KH!$A:$A,MATCH(P267,CHI_TIET_LOAI_KH!$B:$B,0)),"")</f>
        <v/>
      </c>
      <c r="P267" s="50"/>
      <c r="Q267" s="58" t="str">
        <f>IF(ISNUMBER(MATCH(R267,NGHE_NGHIEP!$B:$B,0)),INDEX(NGHE_NGHIEP!$A:$A,MATCH(R267,NGHE_NGHIEP!$B:$B,0)),"")</f>
        <v/>
      </c>
      <c r="R267" s="50"/>
      <c r="S267" s="58" t="str">
        <f>IF(ISNUMBER(MATCH(T267,LOAI_ID!$B:$B,0)),INDEX(LOAI_ID!$A:$A,MATCH(T267,LOAI_ID!$B:$B,0)),"")</f>
        <v/>
      </c>
      <c r="T267" s="16"/>
      <c r="U267" s="48"/>
      <c r="V267" s="48"/>
      <c r="W267" s="17"/>
      <c r="X267" s="17"/>
      <c r="Y267" s="15"/>
      <c r="Z267" s="15"/>
      <c r="AA267" s="59" t="str">
        <f>IFERROR(INDEX(NOI_CAP!$B:$B,MATCH(Z267,NOI_CAP!$A:$A,0)),"")</f>
        <v/>
      </c>
      <c r="AB267" s="58" t="str">
        <f>IF(ISNUMBER(MATCH(AC267,LOAI_DIA_CHI!$B:$B,0)),INDEX(LOAI_DIA_CHI!$A:$A,MATCH(AC267,LOAI_DIA_CHI!$B:$B,0)),"")</f>
        <v/>
      </c>
      <c r="AC267" s="16"/>
      <c r="AD267" s="58" t="str">
        <f>IF(ISNUMBER(MATCH(AE267,QUOC_GIA!$B:$B,0)),INDEX(QUOC_GIA!$A:$A,MATCH(AE267,QUOC_GIA!$B:$B,0)),"")</f>
        <v/>
      </c>
      <c r="AE267" s="16"/>
      <c r="AF267" s="48"/>
      <c r="AG267" s="59" t="str">
        <f>IFERROR(INDEX(TINH_TP!$B:$B,MATCH(AF267,TINH_TP!$A:$A,0)),"")</f>
        <v/>
      </c>
      <c r="AH267" s="50"/>
      <c r="AI267" s="59" t="str">
        <f>IF(OR(AF267="",AH267=""),"",IF(COUNTIFS(PHUONG_XA!$A$2:$A$3323,AH267,PHUONG_XA!$C$2:$C$3323,AF267)=0,"",INDEX(PHUONG_XA!$B$2:$B$3323,SUMPRODUCT((PHUONG_XA!$A$2:$A$3323&amp;""=AH267&amp;"")*(PHUONG_XA!$C$2:$C$3323&amp;""=AF267&amp;"")*(ROW(PHUONG_XA!$A$2:$A$3323)-ROW(PHUONG_XA!$A$2)+1)))))</f>
        <v/>
      </c>
      <c r="AJ267" s="14"/>
      <c r="AK267" s="14"/>
      <c r="AL267" s="57" t="str">
        <f t="shared" si="5"/>
        <v/>
      </c>
      <c r="AM267" s="14"/>
      <c r="AN267" s="15"/>
      <c r="AO267" s="15"/>
      <c r="AP267" s="48"/>
      <c r="AQ267" s="15"/>
      <c r="AR267" s="15"/>
      <c r="AS267" s="15"/>
      <c r="AT267" s="60" t="str">
        <f>IF(ISNUMBER(MATCH(AU267,LOAI_THE!$B:$B,0)),INDEX(LOAI_THE!$A:$A,MATCH(AU267,LOAI_THE!$B:$B,0)),"")</f>
        <v/>
      </c>
      <c r="AU267" s="48"/>
      <c r="AV267" s="15"/>
      <c r="AW267" s="15"/>
      <c r="AX267" s="15"/>
      <c r="AY267" s="48"/>
    </row>
    <row r="268" spans="1:51" x14ac:dyDescent="0.3">
      <c r="A268" s="13" t="s">
        <v>586</v>
      </c>
      <c r="B268" s="48"/>
      <c r="C268" s="48"/>
      <c r="D268" s="48"/>
      <c r="E268" s="48"/>
      <c r="F268" s="48"/>
      <c r="G268" s="58" t="str">
        <f>IF(ISNUMBER(MATCH(H268,GIOI_TINH!$B:$B,0)),INDEX(GIOI_TINH!$A:$A,MATCH(H268,GIOI_TINH!$B:$B,0)),"")</f>
        <v/>
      </c>
      <c r="H268" s="15"/>
      <c r="I268" s="15"/>
      <c r="J268" s="58" t="str">
        <f>IF(ISNUMBER(MATCH(K268,QUOC_GIA!$B:$B,0)),INDEX(QUOC_GIA!$A:$A,MATCH(K268,QUOC_GIA!$B:$B,0)),"")</f>
        <v/>
      </c>
      <c r="K268" s="50"/>
      <c r="L268" s="15"/>
      <c r="M268" s="58" t="str">
        <f>IF(ISNUMBER(MATCH(N268,LOAI_THUE!$B:$B,0)),INDEX(LOAI_THUE!$A:$A,MATCH(N268,LOAI_THUE!$B:$B,0)),"")</f>
        <v/>
      </c>
      <c r="N268" s="50"/>
      <c r="O268" s="58" t="str">
        <f>IF(ISNUMBER(MATCH(P268,CHI_TIET_LOAI_KH!$B:$B,0)),INDEX(CHI_TIET_LOAI_KH!$A:$A,MATCH(P268,CHI_TIET_LOAI_KH!$B:$B,0)),"")</f>
        <v/>
      </c>
      <c r="P268" s="50"/>
      <c r="Q268" s="58" t="str">
        <f>IF(ISNUMBER(MATCH(R268,NGHE_NGHIEP!$B:$B,0)),INDEX(NGHE_NGHIEP!$A:$A,MATCH(R268,NGHE_NGHIEP!$B:$B,0)),"")</f>
        <v/>
      </c>
      <c r="R268" s="50"/>
      <c r="S268" s="58" t="str">
        <f>IF(ISNUMBER(MATCH(T268,LOAI_ID!$B:$B,0)),INDEX(LOAI_ID!$A:$A,MATCH(T268,LOAI_ID!$B:$B,0)),"")</f>
        <v/>
      </c>
      <c r="T268" s="16"/>
      <c r="U268" s="48"/>
      <c r="V268" s="48"/>
      <c r="W268" s="17"/>
      <c r="X268" s="17"/>
      <c r="Y268" s="15"/>
      <c r="Z268" s="15"/>
      <c r="AA268" s="59" t="str">
        <f>IFERROR(INDEX(NOI_CAP!$B:$B,MATCH(Z268,NOI_CAP!$A:$A,0)),"")</f>
        <v/>
      </c>
      <c r="AB268" s="58" t="str">
        <f>IF(ISNUMBER(MATCH(AC268,LOAI_DIA_CHI!$B:$B,0)),INDEX(LOAI_DIA_CHI!$A:$A,MATCH(AC268,LOAI_DIA_CHI!$B:$B,0)),"")</f>
        <v/>
      </c>
      <c r="AC268" s="16"/>
      <c r="AD268" s="58" t="str">
        <f>IF(ISNUMBER(MATCH(AE268,QUOC_GIA!$B:$B,0)),INDEX(QUOC_GIA!$A:$A,MATCH(AE268,QUOC_GIA!$B:$B,0)),"")</f>
        <v/>
      </c>
      <c r="AE268" s="16"/>
      <c r="AF268" s="48"/>
      <c r="AG268" s="59" t="str">
        <f>IFERROR(INDEX(TINH_TP!$B:$B,MATCH(AF268,TINH_TP!$A:$A,0)),"")</f>
        <v/>
      </c>
      <c r="AH268" s="50"/>
      <c r="AI268" s="59" t="str">
        <f>IF(OR(AF268="",AH268=""),"",IF(COUNTIFS(PHUONG_XA!$A$2:$A$3323,AH268,PHUONG_XA!$C$2:$C$3323,AF268)=0,"",INDEX(PHUONG_XA!$B$2:$B$3323,SUMPRODUCT((PHUONG_XA!$A$2:$A$3323&amp;""=AH268&amp;"")*(PHUONG_XA!$C$2:$C$3323&amp;""=AF268&amp;"")*(ROW(PHUONG_XA!$A$2:$A$3323)-ROW(PHUONG_XA!$A$2)+1)))))</f>
        <v/>
      </c>
      <c r="AJ268" s="14"/>
      <c r="AK268" s="14"/>
      <c r="AL268" s="57" t="str">
        <f t="shared" si="5"/>
        <v/>
      </c>
      <c r="AM268" s="14"/>
      <c r="AN268" s="15"/>
      <c r="AO268" s="15"/>
      <c r="AP268" s="48"/>
      <c r="AQ268" s="15"/>
      <c r="AR268" s="15"/>
      <c r="AS268" s="15"/>
      <c r="AT268" s="60" t="str">
        <f>IF(ISNUMBER(MATCH(AU268,LOAI_THE!$B:$B,0)),INDEX(LOAI_THE!$A:$A,MATCH(AU268,LOAI_THE!$B:$B,0)),"")</f>
        <v/>
      </c>
      <c r="AU268" s="48"/>
      <c r="AV268" s="15"/>
      <c r="AW268" s="15"/>
      <c r="AX268" s="15"/>
      <c r="AY268" s="48"/>
    </row>
    <row r="269" spans="1:51" x14ac:dyDescent="0.3">
      <c r="A269" s="13" t="s">
        <v>588</v>
      </c>
      <c r="B269" s="48"/>
      <c r="C269" s="48"/>
      <c r="D269" s="48"/>
      <c r="E269" s="48"/>
      <c r="F269" s="48"/>
      <c r="G269" s="58" t="str">
        <f>IF(ISNUMBER(MATCH(H269,GIOI_TINH!$B:$B,0)),INDEX(GIOI_TINH!$A:$A,MATCH(H269,GIOI_TINH!$B:$B,0)),"")</f>
        <v/>
      </c>
      <c r="H269" s="15"/>
      <c r="I269" s="15"/>
      <c r="J269" s="58" t="str">
        <f>IF(ISNUMBER(MATCH(K269,QUOC_GIA!$B:$B,0)),INDEX(QUOC_GIA!$A:$A,MATCH(K269,QUOC_GIA!$B:$B,0)),"")</f>
        <v/>
      </c>
      <c r="K269" s="50"/>
      <c r="L269" s="15"/>
      <c r="M269" s="58" t="str">
        <f>IF(ISNUMBER(MATCH(N269,LOAI_THUE!$B:$B,0)),INDEX(LOAI_THUE!$A:$A,MATCH(N269,LOAI_THUE!$B:$B,0)),"")</f>
        <v/>
      </c>
      <c r="N269" s="50"/>
      <c r="O269" s="58" t="str">
        <f>IF(ISNUMBER(MATCH(P269,CHI_TIET_LOAI_KH!$B:$B,0)),INDEX(CHI_TIET_LOAI_KH!$A:$A,MATCH(P269,CHI_TIET_LOAI_KH!$B:$B,0)),"")</f>
        <v/>
      </c>
      <c r="P269" s="50"/>
      <c r="Q269" s="58" t="str">
        <f>IF(ISNUMBER(MATCH(R269,NGHE_NGHIEP!$B:$B,0)),INDEX(NGHE_NGHIEP!$A:$A,MATCH(R269,NGHE_NGHIEP!$B:$B,0)),"")</f>
        <v/>
      </c>
      <c r="R269" s="50"/>
      <c r="S269" s="58" t="str">
        <f>IF(ISNUMBER(MATCH(T269,LOAI_ID!$B:$B,0)),INDEX(LOAI_ID!$A:$A,MATCH(T269,LOAI_ID!$B:$B,0)),"")</f>
        <v/>
      </c>
      <c r="T269" s="16"/>
      <c r="U269" s="48"/>
      <c r="V269" s="48"/>
      <c r="W269" s="17"/>
      <c r="X269" s="17"/>
      <c r="Y269" s="15"/>
      <c r="Z269" s="15"/>
      <c r="AA269" s="59" t="str">
        <f>IFERROR(INDEX(NOI_CAP!$B:$B,MATCH(Z269,NOI_CAP!$A:$A,0)),"")</f>
        <v/>
      </c>
      <c r="AB269" s="58" t="str">
        <f>IF(ISNUMBER(MATCH(AC269,LOAI_DIA_CHI!$B:$B,0)),INDEX(LOAI_DIA_CHI!$A:$A,MATCH(AC269,LOAI_DIA_CHI!$B:$B,0)),"")</f>
        <v/>
      </c>
      <c r="AC269" s="16"/>
      <c r="AD269" s="58" t="str">
        <f>IF(ISNUMBER(MATCH(AE269,QUOC_GIA!$B:$B,0)),INDEX(QUOC_GIA!$A:$A,MATCH(AE269,QUOC_GIA!$B:$B,0)),"")</f>
        <v/>
      </c>
      <c r="AE269" s="16"/>
      <c r="AF269" s="48"/>
      <c r="AG269" s="59" t="str">
        <f>IFERROR(INDEX(TINH_TP!$B:$B,MATCH(AF269,TINH_TP!$A:$A,0)),"")</f>
        <v/>
      </c>
      <c r="AH269" s="50"/>
      <c r="AI269" s="59" t="str">
        <f>IF(OR(AF269="",AH269=""),"",IF(COUNTIFS(PHUONG_XA!$A$2:$A$3323,AH269,PHUONG_XA!$C$2:$C$3323,AF269)=0,"",INDEX(PHUONG_XA!$B$2:$B$3323,SUMPRODUCT((PHUONG_XA!$A$2:$A$3323&amp;""=AH269&amp;"")*(PHUONG_XA!$C$2:$C$3323&amp;""=AF269&amp;"")*(ROW(PHUONG_XA!$A$2:$A$3323)-ROW(PHUONG_XA!$A$2)+1)))))</f>
        <v/>
      </c>
      <c r="AJ269" s="14"/>
      <c r="AK269" s="14"/>
      <c r="AL269" s="57" t="str">
        <f t="shared" si="5"/>
        <v/>
      </c>
      <c r="AM269" s="14"/>
      <c r="AN269" s="15"/>
      <c r="AO269" s="15"/>
      <c r="AP269" s="48"/>
      <c r="AQ269" s="15"/>
      <c r="AR269" s="15"/>
      <c r="AS269" s="15"/>
      <c r="AT269" s="60" t="str">
        <f>IF(ISNUMBER(MATCH(AU269,LOAI_THE!$B:$B,0)),INDEX(LOAI_THE!$A:$A,MATCH(AU269,LOAI_THE!$B:$B,0)),"")</f>
        <v/>
      </c>
      <c r="AU269" s="48"/>
      <c r="AV269" s="15"/>
      <c r="AW269" s="15"/>
      <c r="AX269" s="15"/>
      <c r="AY269" s="48"/>
    </row>
    <row r="270" spans="1:51" x14ac:dyDescent="0.3">
      <c r="A270" s="13" t="s">
        <v>590</v>
      </c>
      <c r="B270" s="48"/>
      <c r="C270" s="48"/>
      <c r="D270" s="48"/>
      <c r="E270" s="48"/>
      <c r="F270" s="48"/>
      <c r="G270" s="58" t="str">
        <f>IF(ISNUMBER(MATCH(H270,GIOI_TINH!$B:$B,0)),INDEX(GIOI_TINH!$A:$A,MATCH(H270,GIOI_TINH!$B:$B,0)),"")</f>
        <v/>
      </c>
      <c r="H270" s="15"/>
      <c r="I270" s="15"/>
      <c r="J270" s="58" t="str">
        <f>IF(ISNUMBER(MATCH(K270,QUOC_GIA!$B:$B,0)),INDEX(QUOC_GIA!$A:$A,MATCH(K270,QUOC_GIA!$B:$B,0)),"")</f>
        <v/>
      </c>
      <c r="K270" s="50"/>
      <c r="L270" s="15"/>
      <c r="M270" s="58" t="str">
        <f>IF(ISNUMBER(MATCH(N270,LOAI_THUE!$B:$B,0)),INDEX(LOAI_THUE!$A:$A,MATCH(N270,LOAI_THUE!$B:$B,0)),"")</f>
        <v/>
      </c>
      <c r="N270" s="50"/>
      <c r="O270" s="58" t="str">
        <f>IF(ISNUMBER(MATCH(P270,CHI_TIET_LOAI_KH!$B:$B,0)),INDEX(CHI_TIET_LOAI_KH!$A:$A,MATCH(P270,CHI_TIET_LOAI_KH!$B:$B,0)),"")</f>
        <v/>
      </c>
      <c r="P270" s="50"/>
      <c r="Q270" s="58" t="str">
        <f>IF(ISNUMBER(MATCH(R270,NGHE_NGHIEP!$B:$B,0)),INDEX(NGHE_NGHIEP!$A:$A,MATCH(R270,NGHE_NGHIEP!$B:$B,0)),"")</f>
        <v/>
      </c>
      <c r="R270" s="50"/>
      <c r="S270" s="58" t="str">
        <f>IF(ISNUMBER(MATCH(T270,LOAI_ID!$B:$B,0)),INDEX(LOAI_ID!$A:$A,MATCH(T270,LOAI_ID!$B:$B,0)),"")</f>
        <v/>
      </c>
      <c r="T270" s="16"/>
      <c r="U270" s="48"/>
      <c r="V270" s="48"/>
      <c r="W270" s="17"/>
      <c r="X270" s="17"/>
      <c r="Y270" s="15"/>
      <c r="Z270" s="15"/>
      <c r="AA270" s="59" t="str">
        <f>IFERROR(INDEX(NOI_CAP!$B:$B,MATCH(Z270,NOI_CAP!$A:$A,0)),"")</f>
        <v/>
      </c>
      <c r="AB270" s="58" t="str">
        <f>IF(ISNUMBER(MATCH(AC270,LOAI_DIA_CHI!$B:$B,0)),INDEX(LOAI_DIA_CHI!$A:$A,MATCH(AC270,LOAI_DIA_CHI!$B:$B,0)),"")</f>
        <v/>
      </c>
      <c r="AC270" s="16"/>
      <c r="AD270" s="58" t="str">
        <f>IF(ISNUMBER(MATCH(AE270,QUOC_GIA!$B:$B,0)),INDEX(QUOC_GIA!$A:$A,MATCH(AE270,QUOC_GIA!$B:$B,0)),"")</f>
        <v/>
      </c>
      <c r="AE270" s="16"/>
      <c r="AF270" s="48"/>
      <c r="AG270" s="59" t="str">
        <f>IFERROR(INDEX(TINH_TP!$B:$B,MATCH(AF270,TINH_TP!$A:$A,0)),"")</f>
        <v/>
      </c>
      <c r="AH270" s="50"/>
      <c r="AI270" s="59" t="str">
        <f>IF(OR(AF270="",AH270=""),"",IF(COUNTIFS(PHUONG_XA!$A$2:$A$3323,AH270,PHUONG_XA!$C$2:$C$3323,AF270)=0,"",INDEX(PHUONG_XA!$B$2:$B$3323,SUMPRODUCT((PHUONG_XA!$A$2:$A$3323&amp;""=AH270&amp;"")*(PHUONG_XA!$C$2:$C$3323&amp;""=AF270&amp;"")*(ROW(PHUONG_XA!$A$2:$A$3323)-ROW(PHUONG_XA!$A$2)+1)))))</f>
        <v/>
      </c>
      <c r="AJ270" s="14"/>
      <c r="AK270" s="14"/>
      <c r="AL270" s="57" t="str">
        <f t="shared" si="5"/>
        <v/>
      </c>
      <c r="AM270" s="14"/>
      <c r="AN270" s="15"/>
      <c r="AO270" s="15"/>
      <c r="AP270" s="48"/>
      <c r="AQ270" s="15"/>
      <c r="AR270" s="15"/>
      <c r="AS270" s="15"/>
      <c r="AT270" s="60" t="str">
        <f>IF(ISNUMBER(MATCH(AU270,LOAI_THE!$B:$B,0)),INDEX(LOAI_THE!$A:$A,MATCH(AU270,LOAI_THE!$B:$B,0)),"")</f>
        <v/>
      </c>
      <c r="AU270" s="48"/>
      <c r="AV270" s="15"/>
      <c r="AW270" s="15"/>
      <c r="AX270" s="15"/>
      <c r="AY270" s="48"/>
    </row>
    <row r="271" spans="1:51" x14ac:dyDescent="0.3">
      <c r="A271" s="13" t="s">
        <v>592</v>
      </c>
      <c r="B271" s="48"/>
      <c r="C271" s="48"/>
      <c r="D271" s="48"/>
      <c r="E271" s="48"/>
      <c r="F271" s="48"/>
      <c r="G271" s="58" t="str">
        <f>IF(ISNUMBER(MATCH(H271,GIOI_TINH!$B:$B,0)),INDEX(GIOI_TINH!$A:$A,MATCH(H271,GIOI_TINH!$B:$B,0)),"")</f>
        <v/>
      </c>
      <c r="H271" s="15"/>
      <c r="I271" s="15"/>
      <c r="J271" s="58" t="str">
        <f>IF(ISNUMBER(MATCH(K271,QUOC_GIA!$B:$B,0)),INDEX(QUOC_GIA!$A:$A,MATCH(K271,QUOC_GIA!$B:$B,0)),"")</f>
        <v/>
      </c>
      <c r="K271" s="50"/>
      <c r="L271" s="15"/>
      <c r="M271" s="58" t="str">
        <f>IF(ISNUMBER(MATCH(N271,LOAI_THUE!$B:$B,0)),INDEX(LOAI_THUE!$A:$A,MATCH(N271,LOAI_THUE!$B:$B,0)),"")</f>
        <v/>
      </c>
      <c r="N271" s="50"/>
      <c r="O271" s="58" t="str">
        <f>IF(ISNUMBER(MATCH(P271,CHI_TIET_LOAI_KH!$B:$B,0)),INDEX(CHI_TIET_LOAI_KH!$A:$A,MATCH(P271,CHI_TIET_LOAI_KH!$B:$B,0)),"")</f>
        <v/>
      </c>
      <c r="P271" s="50"/>
      <c r="Q271" s="58" t="str">
        <f>IF(ISNUMBER(MATCH(R271,NGHE_NGHIEP!$B:$B,0)),INDEX(NGHE_NGHIEP!$A:$A,MATCH(R271,NGHE_NGHIEP!$B:$B,0)),"")</f>
        <v/>
      </c>
      <c r="R271" s="50"/>
      <c r="S271" s="58" t="str">
        <f>IF(ISNUMBER(MATCH(T271,LOAI_ID!$B:$B,0)),INDEX(LOAI_ID!$A:$A,MATCH(T271,LOAI_ID!$B:$B,0)),"")</f>
        <v/>
      </c>
      <c r="T271" s="16"/>
      <c r="U271" s="48"/>
      <c r="V271" s="48"/>
      <c r="W271" s="17"/>
      <c r="X271" s="17"/>
      <c r="Y271" s="15"/>
      <c r="Z271" s="15"/>
      <c r="AA271" s="59" t="str">
        <f>IFERROR(INDEX(NOI_CAP!$B:$B,MATCH(Z271,NOI_CAP!$A:$A,0)),"")</f>
        <v/>
      </c>
      <c r="AB271" s="58" t="str">
        <f>IF(ISNUMBER(MATCH(AC271,LOAI_DIA_CHI!$B:$B,0)),INDEX(LOAI_DIA_CHI!$A:$A,MATCH(AC271,LOAI_DIA_CHI!$B:$B,0)),"")</f>
        <v/>
      </c>
      <c r="AC271" s="16"/>
      <c r="AD271" s="58" t="str">
        <f>IF(ISNUMBER(MATCH(AE271,QUOC_GIA!$B:$B,0)),INDEX(QUOC_GIA!$A:$A,MATCH(AE271,QUOC_GIA!$B:$B,0)),"")</f>
        <v/>
      </c>
      <c r="AE271" s="16"/>
      <c r="AF271" s="48"/>
      <c r="AG271" s="59" t="str">
        <f>IFERROR(INDEX(TINH_TP!$B:$B,MATCH(AF271,TINH_TP!$A:$A,0)),"")</f>
        <v/>
      </c>
      <c r="AH271" s="50"/>
      <c r="AI271" s="59" t="str">
        <f>IF(OR(AF271="",AH271=""),"",IF(COUNTIFS(PHUONG_XA!$A$2:$A$3323,AH271,PHUONG_XA!$C$2:$C$3323,AF271)=0,"",INDEX(PHUONG_XA!$B$2:$B$3323,SUMPRODUCT((PHUONG_XA!$A$2:$A$3323&amp;""=AH271&amp;"")*(PHUONG_XA!$C$2:$C$3323&amp;""=AF271&amp;"")*(ROW(PHUONG_XA!$A$2:$A$3323)-ROW(PHUONG_XA!$A$2)+1)))))</f>
        <v/>
      </c>
      <c r="AJ271" s="14"/>
      <c r="AK271" s="14"/>
      <c r="AL271" s="57" t="str">
        <f t="shared" si="5"/>
        <v/>
      </c>
      <c r="AM271" s="14"/>
      <c r="AN271" s="15"/>
      <c r="AO271" s="15"/>
      <c r="AP271" s="48"/>
      <c r="AQ271" s="15"/>
      <c r="AR271" s="15"/>
      <c r="AS271" s="15"/>
      <c r="AT271" s="60" t="str">
        <f>IF(ISNUMBER(MATCH(AU271,LOAI_THE!$B:$B,0)),INDEX(LOAI_THE!$A:$A,MATCH(AU271,LOAI_THE!$B:$B,0)),"")</f>
        <v/>
      </c>
      <c r="AU271" s="48"/>
      <c r="AV271" s="15"/>
      <c r="AW271" s="15"/>
      <c r="AX271" s="15"/>
      <c r="AY271" s="48"/>
    </row>
    <row r="272" spans="1:51" x14ac:dyDescent="0.3">
      <c r="A272" s="13" t="s">
        <v>594</v>
      </c>
      <c r="B272" s="48"/>
      <c r="C272" s="48"/>
      <c r="D272" s="48"/>
      <c r="E272" s="48"/>
      <c r="F272" s="48"/>
      <c r="G272" s="58" t="str">
        <f>IF(ISNUMBER(MATCH(H272,GIOI_TINH!$B:$B,0)),INDEX(GIOI_TINH!$A:$A,MATCH(H272,GIOI_TINH!$B:$B,0)),"")</f>
        <v/>
      </c>
      <c r="H272" s="15"/>
      <c r="I272" s="15"/>
      <c r="J272" s="58" t="str">
        <f>IF(ISNUMBER(MATCH(K272,QUOC_GIA!$B:$B,0)),INDEX(QUOC_GIA!$A:$A,MATCH(K272,QUOC_GIA!$B:$B,0)),"")</f>
        <v/>
      </c>
      <c r="K272" s="50"/>
      <c r="L272" s="15"/>
      <c r="M272" s="58" t="str">
        <f>IF(ISNUMBER(MATCH(N272,LOAI_THUE!$B:$B,0)),INDEX(LOAI_THUE!$A:$A,MATCH(N272,LOAI_THUE!$B:$B,0)),"")</f>
        <v/>
      </c>
      <c r="N272" s="50"/>
      <c r="O272" s="58" t="str">
        <f>IF(ISNUMBER(MATCH(P272,CHI_TIET_LOAI_KH!$B:$B,0)),INDEX(CHI_TIET_LOAI_KH!$A:$A,MATCH(P272,CHI_TIET_LOAI_KH!$B:$B,0)),"")</f>
        <v/>
      </c>
      <c r="P272" s="50"/>
      <c r="Q272" s="58" t="str">
        <f>IF(ISNUMBER(MATCH(R272,NGHE_NGHIEP!$B:$B,0)),INDEX(NGHE_NGHIEP!$A:$A,MATCH(R272,NGHE_NGHIEP!$B:$B,0)),"")</f>
        <v/>
      </c>
      <c r="R272" s="50"/>
      <c r="S272" s="58" t="str">
        <f>IF(ISNUMBER(MATCH(T272,LOAI_ID!$B:$B,0)),INDEX(LOAI_ID!$A:$A,MATCH(T272,LOAI_ID!$B:$B,0)),"")</f>
        <v/>
      </c>
      <c r="T272" s="16"/>
      <c r="U272" s="48"/>
      <c r="V272" s="48"/>
      <c r="W272" s="17"/>
      <c r="X272" s="17"/>
      <c r="Y272" s="15"/>
      <c r="Z272" s="15"/>
      <c r="AA272" s="59" t="str">
        <f>IFERROR(INDEX(NOI_CAP!$B:$B,MATCH(Z272,NOI_CAP!$A:$A,0)),"")</f>
        <v/>
      </c>
      <c r="AB272" s="58" t="str">
        <f>IF(ISNUMBER(MATCH(AC272,LOAI_DIA_CHI!$B:$B,0)),INDEX(LOAI_DIA_CHI!$A:$A,MATCH(AC272,LOAI_DIA_CHI!$B:$B,0)),"")</f>
        <v/>
      </c>
      <c r="AC272" s="16"/>
      <c r="AD272" s="58" t="str">
        <f>IF(ISNUMBER(MATCH(AE272,QUOC_GIA!$B:$B,0)),INDEX(QUOC_GIA!$A:$A,MATCH(AE272,QUOC_GIA!$B:$B,0)),"")</f>
        <v/>
      </c>
      <c r="AE272" s="16"/>
      <c r="AF272" s="48"/>
      <c r="AG272" s="59" t="str">
        <f>IFERROR(INDEX(TINH_TP!$B:$B,MATCH(AF272,TINH_TP!$A:$A,0)),"")</f>
        <v/>
      </c>
      <c r="AH272" s="50"/>
      <c r="AI272" s="59" t="str">
        <f>IF(OR(AF272="",AH272=""),"",IF(COUNTIFS(PHUONG_XA!$A$2:$A$3323,AH272,PHUONG_XA!$C$2:$C$3323,AF272)=0,"",INDEX(PHUONG_XA!$B$2:$B$3323,SUMPRODUCT((PHUONG_XA!$A$2:$A$3323&amp;""=AH272&amp;"")*(PHUONG_XA!$C$2:$C$3323&amp;""=AF272&amp;"")*(ROW(PHUONG_XA!$A$2:$A$3323)-ROW(PHUONG_XA!$A$2)+1)))))</f>
        <v/>
      </c>
      <c r="AJ272" s="14"/>
      <c r="AK272" s="14"/>
      <c r="AL272" s="57" t="str">
        <f t="shared" si="5"/>
        <v/>
      </c>
      <c r="AM272" s="14"/>
      <c r="AN272" s="15"/>
      <c r="AO272" s="15"/>
      <c r="AP272" s="48"/>
      <c r="AQ272" s="15"/>
      <c r="AR272" s="15"/>
      <c r="AS272" s="15"/>
      <c r="AT272" s="60" t="str">
        <f>IF(ISNUMBER(MATCH(AU272,LOAI_THE!$B:$B,0)),INDEX(LOAI_THE!$A:$A,MATCH(AU272,LOAI_THE!$B:$B,0)),"")</f>
        <v/>
      </c>
      <c r="AU272" s="48"/>
      <c r="AV272" s="15"/>
      <c r="AW272" s="15"/>
      <c r="AX272" s="15"/>
      <c r="AY272" s="48"/>
    </row>
    <row r="273" spans="1:51" x14ac:dyDescent="0.3">
      <c r="A273" s="13" t="s">
        <v>596</v>
      </c>
      <c r="B273" s="48"/>
      <c r="C273" s="48"/>
      <c r="D273" s="48"/>
      <c r="E273" s="48"/>
      <c r="F273" s="48"/>
      <c r="G273" s="58" t="str">
        <f>IF(ISNUMBER(MATCH(H273,GIOI_TINH!$B:$B,0)),INDEX(GIOI_TINH!$A:$A,MATCH(H273,GIOI_TINH!$B:$B,0)),"")</f>
        <v/>
      </c>
      <c r="H273" s="15"/>
      <c r="I273" s="15"/>
      <c r="J273" s="58" t="str">
        <f>IF(ISNUMBER(MATCH(K273,QUOC_GIA!$B:$B,0)),INDEX(QUOC_GIA!$A:$A,MATCH(K273,QUOC_GIA!$B:$B,0)),"")</f>
        <v/>
      </c>
      <c r="K273" s="50"/>
      <c r="L273" s="15"/>
      <c r="M273" s="58" t="str">
        <f>IF(ISNUMBER(MATCH(N273,LOAI_THUE!$B:$B,0)),INDEX(LOAI_THUE!$A:$A,MATCH(N273,LOAI_THUE!$B:$B,0)),"")</f>
        <v/>
      </c>
      <c r="N273" s="50"/>
      <c r="O273" s="58" t="str">
        <f>IF(ISNUMBER(MATCH(P273,CHI_TIET_LOAI_KH!$B:$B,0)),INDEX(CHI_TIET_LOAI_KH!$A:$A,MATCH(P273,CHI_TIET_LOAI_KH!$B:$B,0)),"")</f>
        <v/>
      </c>
      <c r="P273" s="50"/>
      <c r="Q273" s="58" t="str">
        <f>IF(ISNUMBER(MATCH(R273,NGHE_NGHIEP!$B:$B,0)),INDEX(NGHE_NGHIEP!$A:$A,MATCH(R273,NGHE_NGHIEP!$B:$B,0)),"")</f>
        <v/>
      </c>
      <c r="R273" s="50"/>
      <c r="S273" s="58" t="str">
        <f>IF(ISNUMBER(MATCH(T273,LOAI_ID!$B:$B,0)),INDEX(LOAI_ID!$A:$A,MATCH(T273,LOAI_ID!$B:$B,0)),"")</f>
        <v/>
      </c>
      <c r="T273" s="16"/>
      <c r="U273" s="48"/>
      <c r="V273" s="48"/>
      <c r="W273" s="17"/>
      <c r="X273" s="17"/>
      <c r="Y273" s="15"/>
      <c r="Z273" s="15"/>
      <c r="AA273" s="59" t="str">
        <f>IFERROR(INDEX(NOI_CAP!$B:$B,MATCH(Z273,NOI_CAP!$A:$A,0)),"")</f>
        <v/>
      </c>
      <c r="AB273" s="58" t="str">
        <f>IF(ISNUMBER(MATCH(AC273,LOAI_DIA_CHI!$B:$B,0)),INDEX(LOAI_DIA_CHI!$A:$A,MATCH(AC273,LOAI_DIA_CHI!$B:$B,0)),"")</f>
        <v/>
      </c>
      <c r="AC273" s="16"/>
      <c r="AD273" s="58" t="str">
        <f>IF(ISNUMBER(MATCH(AE273,QUOC_GIA!$B:$B,0)),INDEX(QUOC_GIA!$A:$A,MATCH(AE273,QUOC_GIA!$B:$B,0)),"")</f>
        <v/>
      </c>
      <c r="AE273" s="16"/>
      <c r="AF273" s="48"/>
      <c r="AG273" s="59" t="str">
        <f>IFERROR(INDEX(TINH_TP!$B:$B,MATCH(AF273,TINH_TP!$A:$A,0)),"")</f>
        <v/>
      </c>
      <c r="AH273" s="50"/>
      <c r="AI273" s="59" t="str">
        <f>IF(OR(AF273="",AH273=""),"",IF(COUNTIFS(PHUONG_XA!$A$2:$A$3323,AH273,PHUONG_XA!$C$2:$C$3323,AF273)=0,"",INDEX(PHUONG_XA!$B$2:$B$3323,SUMPRODUCT((PHUONG_XA!$A$2:$A$3323&amp;""=AH273&amp;"")*(PHUONG_XA!$C$2:$C$3323&amp;""=AF273&amp;"")*(ROW(PHUONG_XA!$A$2:$A$3323)-ROW(PHUONG_XA!$A$2)+1)))))</f>
        <v/>
      </c>
      <c r="AJ273" s="14"/>
      <c r="AK273" s="14"/>
      <c r="AL273" s="57" t="str">
        <f t="shared" si="5"/>
        <v/>
      </c>
      <c r="AM273" s="14"/>
      <c r="AN273" s="15"/>
      <c r="AO273" s="15"/>
      <c r="AP273" s="48"/>
      <c r="AQ273" s="15"/>
      <c r="AR273" s="15"/>
      <c r="AS273" s="15"/>
      <c r="AT273" s="60" t="str">
        <f>IF(ISNUMBER(MATCH(AU273,LOAI_THE!$B:$B,0)),INDEX(LOAI_THE!$A:$A,MATCH(AU273,LOAI_THE!$B:$B,0)),"")</f>
        <v/>
      </c>
      <c r="AU273" s="48"/>
      <c r="AV273" s="15"/>
      <c r="AW273" s="15"/>
      <c r="AX273" s="15"/>
      <c r="AY273" s="48"/>
    </row>
    <row r="274" spans="1:51" x14ac:dyDescent="0.3">
      <c r="A274" s="13" t="s">
        <v>598</v>
      </c>
      <c r="B274" s="48"/>
      <c r="C274" s="48"/>
      <c r="D274" s="48"/>
      <c r="E274" s="48"/>
      <c r="F274" s="48"/>
      <c r="G274" s="58" t="str">
        <f>IF(ISNUMBER(MATCH(H274,GIOI_TINH!$B:$B,0)),INDEX(GIOI_TINH!$A:$A,MATCH(H274,GIOI_TINH!$B:$B,0)),"")</f>
        <v/>
      </c>
      <c r="H274" s="15"/>
      <c r="I274" s="15"/>
      <c r="J274" s="58" t="str">
        <f>IF(ISNUMBER(MATCH(K274,QUOC_GIA!$B:$B,0)),INDEX(QUOC_GIA!$A:$A,MATCH(K274,QUOC_GIA!$B:$B,0)),"")</f>
        <v/>
      </c>
      <c r="K274" s="50"/>
      <c r="L274" s="15"/>
      <c r="M274" s="58" t="str">
        <f>IF(ISNUMBER(MATCH(N274,LOAI_THUE!$B:$B,0)),INDEX(LOAI_THUE!$A:$A,MATCH(N274,LOAI_THUE!$B:$B,0)),"")</f>
        <v/>
      </c>
      <c r="N274" s="50"/>
      <c r="O274" s="58" t="str">
        <f>IF(ISNUMBER(MATCH(P274,CHI_TIET_LOAI_KH!$B:$B,0)),INDEX(CHI_TIET_LOAI_KH!$A:$A,MATCH(P274,CHI_TIET_LOAI_KH!$B:$B,0)),"")</f>
        <v/>
      </c>
      <c r="P274" s="50"/>
      <c r="Q274" s="58" t="str">
        <f>IF(ISNUMBER(MATCH(R274,NGHE_NGHIEP!$B:$B,0)),INDEX(NGHE_NGHIEP!$A:$A,MATCH(R274,NGHE_NGHIEP!$B:$B,0)),"")</f>
        <v/>
      </c>
      <c r="R274" s="50"/>
      <c r="S274" s="58" t="str">
        <f>IF(ISNUMBER(MATCH(T274,LOAI_ID!$B:$B,0)),INDEX(LOAI_ID!$A:$A,MATCH(T274,LOAI_ID!$B:$B,0)),"")</f>
        <v/>
      </c>
      <c r="T274" s="16"/>
      <c r="U274" s="48"/>
      <c r="V274" s="48"/>
      <c r="W274" s="17"/>
      <c r="X274" s="17"/>
      <c r="Y274" s="15"/>
      <c r="Z274" s="15"/>
      <c r="AA274" s="59" t="str">
        <f>IFERROR(INDEX(NOI_CAP!$B:$B,MATCH(Z274,NOI_CAP!$A:$A,0)),"")</f>
        <v/>
      </c>
      <c r="AB274" s="58" t="str">
        <f>IF(ISNUMBER(MATCH(AC274,LOAI_DIA_CHI!$B:$B,0)),INDEX(LOAI_DIA_CHI!$A:$A,MATCH(AC274,LOAI_DIA_CHI!$B:$B,0)),"")</f>
        <v/>
      </c>
      <c r="AC274" s="16"/>
      <c r="AD274" s="58" t="str">
        <f>IF(ISNUMBER(MATCH(AE274,QUOC_GIA!$B:$B,0)),INDEX(QUOC_GIA!$A:$A,MATCH(AE274,QUOC_GIA!$B:$B,0)),"")</f>
        <v/>
      </c>
      <c r="AE274" s="16"/>
      <c r="AF274" s="48"/>
      <c r="AG274" s="59" t="str">
        <f>IFERROR(INDEX(TINH_TP!$B:$B,MATCH(AF274,TINH_TP!$A:$A,0)),"")</f>
        <v/>
      </c>
      <c r="AH274" s="50"/>
      <c r="AI274" s="59" t="str">
        <f>IF(OR(AF274="",AH274=""),"",IF(COUNTIFS(PHUONG_XA!$A$2:$A$3323,AH274,PHUONG_XA!$C$2:$C$3323,AF274)=0,"",INDEX(PHUONG_XA!$B$2:$B$3323,SUMPRODUCT((PHUONG_XA!$A$2:$A$3323&amp;""=AH274&amp;"")*(PHUONG_XA!$C$2:$C$3323&amp;""=AF274&amp;"")*(ROW(PHUONG_XA!$A$2:$A$3323)-ROW(PHUONG_XA!$A$2)+1)))))</f>
        <v/>
      </c>
      <c r="AJ274" s="14"/>
      <c r="AK274" s="14"/>
      <c r="AL274" s="57" t="str">
        <f t="shared" si="5"/>
        <v/>
      </c>
      <c r="AM274" s="14"/>
      <c r="AN274" s="15"/>
      <c r="AO274" s="15"/>
      <c r="AP274" s="48"/>
      <c r="AQ274" s="15"/>
      <c r="AR274" s="15"/>
      <c r="AS274" s="15"/>
      <c r="AT274" s="60" t="str">
        <f>IF(ISNUMBER(MATCH(AU274,LOAI_THE!$B:$B,0)),INDEX(LOAI_THE!$A:$A,MATCH(AU274,LOAI_THE!$B:$B,0)),"")</f>
        <v/>
      </c>
      <c r="AU274" s="48"/>
      <c r="AV274" s="15"/>
      <c r="AW274" s="15"/>
      <c r="AX274" s="15"/>
      <c r="AY274" s="48"/>
    </row>
    <row r="275" spans="1:51" x14ac:dyDescent="0.3">
      <c r="A275" s="13" t="s">
        <v>600</v>
      </c>
      <c r="B275" s="48"/>
      <c r="C275" s="48"/>
      <c r="D275" s="48"/>
      <c r="E275" s="48"/>
      <c r="F275" s="48"/>
      <c r="G275" s="58" t="str">
        <f>IF(ISNUMBER(MATCH(H275,GIOI_TINH!$B:$B,0)),INDEX(GIOI_TINH!$A:$A,MATCH(H275,GIOI_TINH!$B:$B,0)),"")</f>
        <v/>
      </c>
      <c r="H275" s="15"/>
      <c r="I275" s="15"/>
      <c r="J275" s="58" t="str">
        <f>IF(ISNUMBER(MATCH(K275,QUOC_GIA!$B:$B,0)),INDEX(QUOC_GIA!$A:$A,MATCH(K275,QUOC_GIA!$B:$B,0)),"")</f>
        <v/>
      </c>
      <c r="K275" s="50"/>
      <c r="L275" s="15"/>
      <c r="M275" s="58" t="str">
        <f>IF(ISNUMBER(MATCH(N275,LOAI_THUE!$B:$B,0)),INDEX(LOAI_THUE!$A:$A,MATCH(N275,LOAI_THUE!$B:$B,0)),"")</f>
        <v/>
      </c>
      <c r="N275" s="50"/>
      <c r="O275" s="58" t="str">
        <f>IF(ISNUMBER(MATCH(P275,CHI_TIET_LOAI_KH!$B:$B,0)),INDEX(CHI_TIET_LOAI_KH!$A:$A,MATCH(P275,CHI_TIET_LOAI_KH!$B:$B,0)),"")</f>
        <v/>
      </c>
      <c r="P275" s="50"/>
      <c r="Q275" s="58" t="str">
        <f>IF(ISNUMBER(MATCH(R275,NGHE_NGHIEP!$B:$B,0)),INDEX(NGHE_NGHIEP!$A:$A,MATCH(R275,NGHE_NGHIEP!$B:$B,0)),"")</f>
        <v/>
      </c>
      <c r="R275" s="50"/>
      <c r="S275" s="58" t="str">
        <f>IF(ISNUMBER(MATCH(T275,LOAI_ID!$B:$B,0)),INDEX(LOAI_ID!$A:$A,MATCH(T275,LOAI_ID!$B:$B,0)),"")</f>
        <v/>
      </c>
      <c r="T275" s="16"/>
      <c r="U275" s="48"/>
      <c r="V275" s="48"/>
      <c r="W275" s="17"/>
      <c r="X275" s="17"/>
      <c r="Y275" s="15"/>
      <c r="Z275" s="15"/>
      <c r="AA275" s="59" t="str">
        <f>IFERROR(INDEX(NOI_CAP!$B:$B,MATCH(Z275,NOI_CAP!$A:$A,0)),"")</f>
        <v/>
      </c>
      <c r="AB275" s="58" t="str">
        <f>IF(ISNUMBER(MATCH(AC275,LOAI_DIA_CHI!$B:$B,0)),INDEX(LOAI_DIA_CHI!$A:$A,MATCH(AC275,LOAI_DIA_CHI!$B:$B,0)),"")</f>
        <v/>
      </c>
      <c r="AC275" s="16"/>
      <c r="AD275" s="58" t="str">
        <f>IF(ISNUMBER(MATCH(AE275,QUOC_GIA!$B:$B,0)),INDEX(QUOC_GIA!$A:$A,MATCH(AE275,QUOC_GIA!$B:$B,0)),"")</f>
        <v/>
      </c>
      <c r="AE275" s="16"/>
      <c r="AF275" s="48"/>
      <c r="AG275" s="59" t="str">
        <f>IFERROR(INDEX(TINH_TP!$B:$B,MATCH(AF275,TINH_TP!$A:$A,0)),"")</f>
        <v/>
      </c>
      <c r="AH275" s="50"/>
      <c r="AI275" s="59" t="str">
        <f>IF(OR(AF275="",AH275=""),"",IF(COUNTIFS(PHUONG_XA!$A$2:$A$3323,AH275,PHUONG_XA!$C$2:$C$3323,AF275)=0,"",INDEX(PHUONG_XA!$B$2:$B$3323,SUMPRODUCT((PHUONG_XA!$A$2:$A$3323&amp;""=AH275&amp;"")*(PHUONG_XA!$C$2:$C$3323&amp;""=AF275&amp;"")*(ROW(PHUONG_XA!$A$2:$A$3323)-ROW(PHUONG_XA!$A$2)+1)))))</f>
        <v/>
      </c>
      <c r="AJ275" s="14"/>
      <c r="AK275" s="14"/>
      <c r="AL275" s="57" t="str">
        <f t="shared" si="5"/>
        <v/>
      </c>
      <c r="AM275" s="14"/>
      <c r="AN275" s="15"/>
      <c r="AO275" s="15"/>
      <c r="AP275" s="48"/>
      <c r="AQ275" s="15"/>
      <c r="AR275" s="15"/>
      <c r="AS275" s="15"/>
      <c r="AT275" s="60" t="str">
        <f>IF(ISNUMBER(MATCH(AU275,LOAI_THE!$B:$B,0)),INDEX(LOAI_THE!$A:$A,MATCH(AU275,LOAI_THE!$B:$B,0)),"")</f>
        <v/>
      </c>
      <c r="AU275" s="48"/>
      <c r="AV275" s="15"/>
      <c r="AW275" s="15"/>
      <c r="AX275" s="15"/>
      <c r="AY275" s="48"/>
    </row>
    <row r="276" spans="1:51" x14ac:dyDescent="0.3">
      <c r="A276" s="13" t="s">
        <v>602</v>
      </c>
      <c r="B276" s="48"/>
      <c r="C276" s="48"/>
      <c r="D276" s="48"/>
      <c r="E276" s="48"/>
      <c r="F276" s="48"/>
      <c r="G276" s="58" t="str">
        <f>IF(ISNUMBER(MATCH(H276,GIOI_TINH!$B:$B,0)),INDEX(GIOI_TINH!$A:$A,MATCH(H276,GIOI_TINH!$B:$B,0)),"")</f>
        <v/>
      </c>
      <c r="H276" s="15"/>
      <c r="I276" s="15"/>
      <c r="J276" s="58" t="str">
        <f>IF(ISNUMBER(MATCH(K276,QUOC_GIA!$B:$B,0)),INDEX(QUOC_GIA!$A:$A,MATCH(K276,QUOC_GIA!$B:$B,0)),"")</f>
        <v/>
      </c>
      <c r="K276" s="50"/>
      <c r="L276" s="15"/>
      <c r="M276" s="58" t="str">
        <f>IF(ISNUMBER(MATCH(N276,LOAI_THUE!$B:$B,0)),INDEX(LOAI_THUE!$A:$A,MATCH(N276,LOAI_THUE!$B:$B,0)),"")</f>
        <v/>
      </c>
      <c r="N276" s="50"/>
      <c r="O276" s="58" t="str">
        <f>IF(ISNUMBER(MATCH(P276,CHI_TIET_LOAI_KH!$B:$B,0)),INDEX(CHI_TIET_LOAI_KH!$A:$A,MATCH(P276,CHI_TIET_LOAI_KH!$B:$B,0)),"")</f>
        <v/>
      </c>
      <c r="P276" s="50"/>
      <c r="Q276" s="58" t="str">
        <f>IF(ISNUMBER(MATCH(R276,NGHE_NGHIEP!$B:$B,0)),INDEX(NGHE_NGHIEP!$A:$A,MATCH(R276,NGHE_NGHIEP!$B:$B,0)),"")</f>
        <v/>
      </c>
      <c r="R276" s="50"/>
      <c r="S276" s="58" t="str">
        <f>IF(ISNUMBER(MATCH(T276,LOAI_ID!$B:$B,0)),INDEX(LOAI_ID!$A:$A,MATCH(T276,LOAI_ID!$B:$B,0)),"")</f>
        <v/>
      </c>
      <c r="T276" s="16"/>
      <c r="U276" s="48"/>
      <c r="V276" s="48"/>
      <c r="W276" s="17"/>
      <c r="X276" s="17"/>
      <c r="Y276" s="15"/>
      <c r="Z276" s="15"/>
      <c r="AA276" s="59" t="str">
        <f>IFERROR(INDEX(NOI_CAP!$B:$B,MATCH(Z276,NOI_CAP!$A:$A,0)),"")</f>
        <v/>
      </c>
      <c r="AB276" s="58" t="str">
        <f>IF(ISNUMBER(MATCH(AC276,LOAI_DIA_CHI!$B:$B,0)),INDEX(LOAI_DIA_CHI!$A:$A,MATCH(AC276,LOAI_DIA_CHI!$B:$B,0)),"")</f>
        <v/>
      </c>
      <c r="AC276" s="16"/>
      <c r="AD276" s="58" t="str">
        <f>IF(ISNUMBER(MATCH(AE276,QUOC_GIA!$B:$B,0)),INDEX(QUOC_GIA!$A:$A,MATCH(AE276,QUOC_GIA!$B:$B,0)),"")</f>
        <v/>
      </c>
      <c r="AE276" s="16"/>
      <c r="AF276" s="48"/>
      <c r="AG276" s="59" t="str">
        <f>IFERROR(INDEX(TINH_TP!$B:$B,MATCH(AF276,TINH_TP!$A:$A,0)),"")</f>
        <v/>
      </c>
      <c r="AH276" s="50"/>
      <c r="AI276" s="59" t="str">
        <f>IF(OR(AF276="",AH276=""),"",IF(COUNTIFS(PHUONG_XA!$A$2:$A$3323,AH276,PHUONG_XA!$C$2:$C$3323,AF276)=0,"",INDEX(PHUONG_XA!$B$2:$B$3323,SUMPRODUCT((PHUONG_XA!$A$2:$A$3323&amp;""=AH276&amp;"")*(PHUONG_XA!$C$2:$C$3323&amp;""=AF276&amp;"")*(ROW(PHUONG_XA!$A$2:$A$3323)-ROW(PHUONG_XA!$A$2)+1)))))</f>
        <v/>
      </c>
      <c r="AJ276" s="14"/>
      <c r="AK276" s="14"/>
      <c r="AL276" s="57" t="str">
        <f t="shared" si="5"/>
        <v/>
      </c>
      <c r="AM276" s="14"/>
      <c r="AN276" s="15"/>
      <c r="AO276" s="15"/>
      <c r="AP276" s="48"/>
      <c r="AQ276" s="15"/>
      <c r="AR276" s="15"/>
      <c r="AS276" s="15"/>
      <c r="AT276" s="60" t="str">
        <f>IF(ISNUMBER(MATCH(AU276,LOAI_THE!$B:$B,0)),INDEX(LOAI_THE!$A:$A,MATCH(AU276,LOAI_THE!$B:$B,0)),"")</f>
        <v/>
      </c>
      <c r="AU276" s="48"/>
      <c r="AV276" s="15"/>
      <c r="AW276" s="15"/>
      <c r="AX276" s="15"/>
      <c r="AY276" s="48"/>
    </row>
    <row r="277" spans="1:51" x14ac:dyDescent="0.3">
      <c r="A277" s="13" t="s">
        <v>604</v>
      </c>
      <c r="B277" s="48"/>
      <c r="C277" s="48"/>
      <c r="D277" s="48"/>
      <c r="E277" s="48"/>
      <c r="F277" s="48"/>
      <c r="G277" s="58" t="str">
        <f>IF(ISNUMBER(MATCH(H277,GIOI_TINH!$B:$B,0)),INDEX(GIOI_TINH!$A:$A,MATCH(H277,GIOI_TINH!$B:$B,0)),"")</f>
        <v/>
      </c>
      <c r="H277" s="15"/>
      <c r="I277" s="15"/>
      <c r="J277" s="58" t="str">
        <f>IF(ISNUMBER(MATCH(K277,QUOC_GIA!$B:$B,0)),INDEX(QUOC_GIA!$A:$A,MATCH(K277,QUOC_GIA!$B:$B,0)),"")</f>
        <v/>
      </c>
      <c r="K277" s="50"/>
      <c r="L277" s="15"/>
      <c r="M277" s="58" t="str">
        <f>IF(ISNUMBER(MATCH(N277,LOAI_THUE!$B:$B,0)),INDEX(LOAI_THUE!$A:$A,MATCH(N277,LOAI_THUE!$B:$B,0)),"")</f>
        <v/>
      </c>
      <c r="N277" s="50"/>
      <c r="O277" s="58" t="str">
        <f>IF(ISNUMBER(MATCH(P277,CHI_TIET_LOAI_KH!$B:$B,0)),INDEX(CHI_TIET_LOAI_KH!$A:$A,MATCH(P277,CHI_TIET_LOAI_KH!$B:$B,0)),"")</f>
        <v/>
      </c>
      <c r="P277" s="50"/>
      <c r="Q277" s="58" t="str">
        <f>IF(ISNUMBER(MATCH(R277,NGHE_NGHIEP!$B:$B,0)),INDEX(NGHE_NGHIEP!$A:$A,MATCH(R277,NGHE_NGHIEP!$B:$B,0)),"")</f>
        <v/>
      </c>
      <c r="R277" s="50"/>
      <c r="S277" s="58" t="str">
        <f>IF(ISNUMBER(MATCH(T277,LOAI_ID!$B:$B,0)),INDEX(LOAI_ID!$A:$A,MATCH(T277,LOAI_ID!$B:$B,0)),"")</f>
        <v/>
      </c>
      <c r="T277" s="16"/>
      <c r="U277" s="48"/>
      <c r="V277" s="48"/>
      <c r="W277" s="17"/>
      <c r="X277" s="17"/>
      <c r="Y277" s="15"/>
      <c r="Z277" s="15"/>
      <c r="AA277" s="59" t="str">
        <f>IFERROR(INDEX(NOI_CAP!$B:$B,MATCH(Z277,NOI_CAP!$A:$A,0)),"")</f>
        <v/>
      </c>
      <c r="AB277" s="58" t="str">
        <f>IF(ISNUMBER(MATCH(AC277,LOAI_DIA_CHI!$B:$B,0)),INDEX(LOAI_DIA_CHI!$A:$A,MATCH(AC277,LOAI_DIA_CHI!$B:$B,0)),"")</f>
        <v/>
      </c>
      <c r="AC277" s="16"/>
      <c r="AD277" s="58" t="str">
        <f>IF(ISNUMBER(MATCH(AE277,QUOC_GIA!$B:$B,0)),INDEX(QUOC_GIA!$A:$A,MATCH(AE277,QUOC_GIA!$B:$B,0)),"")</f>
        <v/>
      </c>
      <c r="AE277" s="16"/>
      <c r="AF277" s="48"/>
      <c r="AG277" s="59" t="str">
        <f>IFERROR(INDEX(TINH_TP!$B:$B,MATCH(AF277,TINH_TP!$A:$A,0)),"")</f>
        <v/>
      </c>
      <c r="AH277" s="50"/>
      <c r="AI277" s="59" t="str">
        <f>IF(OR(AF277="",AH277=""),"",IF(COUNTIFS(PHUONG_XA!$A$2:$A$3323,AH277,PHUONG_XA!$C$2:$C$3323,AF277)=0,"",INDEX(PHUONG_XA!$B$2:$B$3323,SUMPRODUCT((PHUONG_XA!$A$2:$A$3323&amp;""=AH277&amp;"")*(PHUONG_XA!$C$2:$C$3323&amp;""=AF277&amp;"")*(ROW(PHUONG_XA!$A$2:$A$3323)-ROW(PHUONG_XA!$A$2)+1)))))</f>
        <v/>
      </c>
      <c r="AJ277" s="14"/>
      <c r="AK277" s="14"/>
      <c r="AL277" s="57" t="str">
        <f t="shared" si="5"/>
        <v/>
      </c>
      <c r="AM277" s="14"/>
      <c r="AN277" s="15"/>
      <c r="AO277" s="15"/>
      <c r="AP277" s="48"/>
      <c r="AQ277" s="15"/>
      <c r="AR277" s="15"/>
      <c r="AS277" s="15"/>
      <c r="AT277" s="60" t="str">
        <f>IF(ISNUMBER(MATCH(AU277,LOAI_THE!$B:$B,0)),INDEX(LOAI_THE!$A:$A,MATCH(AU277,LOAI_THE!$B:$B,0)),"")</f>
        <v/>
      </c>
      <c r="AU277" s="48"/>
      <c r="AV277" s="15"/>
      <c r="AW277" s="15"/>
      <c r="AX277" s="15"/>
      <c r="AY277" s="48"/>
    </row>
    <row r="278" spans="1:51" x14ac:dyDescent="0.3">
      <c r="A278" s="13" t="s">
        <v>606</v>
      </c>
      <c r="B278" s="48"/>
      <c r="C278" s="48"/>
      <c r="D278" s="48"/>
      <c r="E278" s="48"/>
      <c r="F278" s="48"/>
      <c r="G278" s="58" t="str">
        <f>IF(ISNUMBER(MATCH(H278,GIOI_TINH!$B:$B,0)),INDEX(GIOI_TINH!$A:$A,MATCH(H278,GIOI_TINH!$B:$B,0)),"")</f>
        <v/>
      </c>
      <c r="H278" s="15"/>
      <c r="I278" s="15"/>
      <c r="J278" s="58" t="str">
        <f>IF(ISNUMBER(MATCH(K278,QUOC_GIA!$B:$B,0)),INDEX(QUOC_GIA!$A:$A,MATCH(K278,QUOC_GIA!$B:$B,0)),"")</f>
        <v/>
      </c>
      <c r="K278" s="50"/>
      <c r="L278" s="15"/>
      <c r="M278" s="58" t="str">
        <f>IF(ISNUMBER(MATCH(N278,LOAI_THUE!$B:$B,0)),INDEX(LOAI_THUE!$A:$A,MATCH(N278,LOAI_THUE!$B:$B,0)),"")</f>
        <v/>
      </c>
      <c r="N278" s="50"/>
      <c r="O278" s="58" t="str">
        <f>IF(ISNUMBER(MATCH(P278,CHI_TIET_LOAI_KH!$B:$B,0)),INDEX(CHI_TIET_LOAI_KH!$A:$A,MATCH(P278,CHI_TIET_LOAI_KH!$B:$B,0)),"")</f>
        <v/>
      </c>
      <c r="P278" s="50"/>
      <c r="Q278" s="58" t="str">
        <f>IF(ISNUMBER(MATCH(R278,NGHE_NGHIEP!$B:$B,0)),INDEX(NGHE_NGHIEP!$A:$A,MATCH(R278,NGHE_NGHIEP!$B:$B,0)),"")</f>
        <v/>
      </c>
      <c r="R278" s="50"/>
      <c r="S278" s="58" t="str">
        <f>IF(ISNUMBER(MATCH(T278,LOAI_ID!$B:$B,0)),INDEX(LOAI_ID!$A:$A,MATCH(T278,LOAI_ID!$B:$B,0)),"")</f>
        <v/>
      </c>
      <c r="T278" s="16"/>
      <c r="U278" s="48"/>
      <c r="V278" s="48"/>
      <c r="W278" s="17"/>
      <c r="X278" s="17"/>
      <c r="Y278" s="15"/>
      <c r="Z278" s="15"/>
      <c r="AA278" s="59" t="str">
        <f>IFERROR(INDEX(NOI_CAP!$B:$B,MATCH(Z278,NOI_CAP!$A:$A,0)),"")</f>
        <v/>
      </c>
      <c r="AB278" s="58" t="str">
        <f>IF(ISNUMBER(MATCH(AC278,LOAI_DIA_CHI!$B:$B,0)),INDEX(LOAI_DIA_CHI!$A:$A,MATCH(AC278,LOAI_DIA_CHI!$B:$B,0)),"")</f>
        <v/>
      </c>
      <c r="AC278" s="16"/>
      <c r="AD278" s="58" t="str">
        <f>IF(ISNUMBER(MATCH(AE278,QUOC_GIA!$B:$B,0)),INDEX(QUOC_GIA!$A:$A,MATCH(AE278,QUOC_GIA!$B:$B,0)),"")</f>
        <v/>
      </c>
      <c r="AE278" s="16"/>
      <c r="AF278" s="48"/>
      <c r="AG278" s="59" t="str">
        <f>IFERROR(INDEX(TINH_TP!$B:$B,MATCH(AF278,TINH_TP!$A:$A,0)),"")</f>
        <v/>
      </c>
      <c r="AH278" s="50"/>
      <c r="AI278" s="59" t="str">
        <f>IF(OR(AF278="",AH278=""),"",IF(COUNTIFS(PHUONG_XA!$A$2:$A$3323,AH278,PHUONG_XA!$C$2:$C$3323,AF278)=0,"",INDEX(PHUONG_XA!$B$2:$B$3323,SUMPRODUCT((PHUONG_XA!$A$2:$A$3323&amp;""=AH278&amp;"")*(PHUONG_XA!$C$2:$C$3323&amp;""=AF278&amp;"")*(ROW(PHUONG_XA!$A$2:$A$3323)-ROW(PHUONG_XA!$A$2)+1)))))</f>
        <v/>
      </c>
      <c r="AJ278" s="14"/>
      <c r="AK278" s="14"/>
      <c r="AL278" s="57" t="str">
        <f t="shared" si="5"/>
        <v/>
      </c>
      <c r="AM278" s="14"/>
      <c r="AN278" s="15"/>
      <c r="AO278" s="15"/>
      <c r="AP278" s="48"/>
      <c r="AQ278" s="15"/>
      <c r="AR278" s="15"/>
      <c r="AS278" s="15"/>
      <c r="AT278" s="60" t="str">
        <f>IF(ISNUMBER(MATCH(AU278,LOAI_THE!$B:$B,0)),INDEX(LOAI_THE!$A:$A,MATCH(AU278,LOAI_THE!$B:$B,0)),"")</f>
        <v/>
      </c>
      <c r="AU278" s="48"/>
      <c r="AV278" s="15"/>
      <c r="AW278" s="15"/>
      <c r="AX278" s="15"/>
      <c r="AY278" s="48"/>
    </row>
    <row r="279" spans="1:51" x14ac:dyDescent="0.3">
      <c r="A279" s="13" t="s">
        <v>608</v>
      </c>
      <c r="B279" s="48"/>
      <c r="C279" s="48"/>
      <c r="D279" s="48"/>
      <c r="E279" s="48"/>
      <c r="F279" s="48"/>
      <c r="G279" s="58" t="str">
        <f>IF(ISNUMBER(MATCH(H279,GIOI_TINH!$B:$B,0)),INDEX(GIOI_TINH!$A:$A,MATCH(H279,GIOI_TINH!$B:$B,0)),"")</f>
        <v/>
      </c>
      <c r="H279" s="15"/>
      <c r="I279" s="15"/>
      <c r="J279" s="58" t="str">
        <f>IF(ISNUMBER(MATCH(K279,QUOC_GIA!$B:$B,0)),INDEX(QUOC_GIA!$A:$A,MATCH(K279,QUOC_GIA!$B:$B,0)),"")</f>
        <v/>
      </c>
      <c r="K279" s="50"/>
      <c r="L279" s="15"/>
      <c r="M279" s="58" t="str">
        <f>IF(ISNUMBER(MATCH(N279,LOAI_THUE!$B:$B,0)),INDEX(LOAI_THUE!$A:$A,MATCH(N279,LOAI_THUE!$B:$B,0)),"")</f>
        <v/>
      </c>
      <c r="N279" s="50"/>
      <c r="O279" s="58" t="str">
        <f>IF(ISNUMBER(MATCH(P279,CHI_TIET_LOAI_KH!$B:$B,0)),INDEX(CHI_TIET_LOAI_KH!$A:$A,MATCH(P279,CHI_TIET_LOAI_KH!$B:$B,0)),"")</f>
        <v/>
      </c>
      <c r="P279" s="50"/>
      <c r="Q279" s="58" t="str">
        <f>IF(ISNUMBER(MATCH(R279,NGHE_NGHIEP!$B:$B,0)),INDEX(NGHE_NGHIEP!$A:$A,MATCH(R279,NGHE_NGHIEP!$B:$B,0)),"")</f>
        <v/>
      </c>
      <c r="R279" s="50"/>
      <c r="S279" s="58" t="str">
        <f>IF(ISNUMBER(MATCH(T279,LOAI_ID!$B:$B,0)),INDEX(LOAI_ID!$A:$A,MATCH(T279,LOAI_ID!$B:$B,0)),"")</f>
        <v/>
      </c>
      <c r="T279" s="16"/>
      <c r="U279" s="48"/>
      <c r="V279" s="48"/>
      <c r="W279" s="17"/>
      <c r="X279" s="17"/>
      <c r="Y279" s="15"/>
      <c r="Z279" s="15"/>
      <c r="AA279" s="59" t="str">
        <f>IFERROR(INDEX(NOI_CAP!$B:$B,MATCH(Z279,NOI_CAP!$A:$A,0)),"")</f>
        <v/>
      </c>
      <c r="AB279" s="58" t="str">
        <f>IF(ISNUMBER(MATCH(AC279,LOAI_DIA_CHI!$B:$B,0)),INDEX(LOAI_DIA_CHI!$A:$A,MATCH(AC279,LOAI_DIA_CHI!$B:$B,0)),"")</f>
        <v/>
      </c>
      <c r="AC279" s="16"/>
      <c r="AD279" s="58" t="str">
        <f>IF(ISNUMBER(MATCH(AE279,QUOC_GIA!$B:$B,0)),INDEX(QUOC_GIA!$A:$A,MATCH(AE279,QUOC_GIA!$B:$B,0)),"")</f>
        <v/>
      </c>
      <c r="AE279" s="16"/>
      <c r="AF279" s="48"/>
      <c r="AG279" s="59" t="str">
        <f>IFERROR(INDEX(TINH_TP!$B:$B,MATCH(AF279,TINH_TP!$A:$A,0)),"")</f>
        <v/>
      </c>
      <c r="AH279" s="50"/>
      <c r="AI279" s="59" t="str">
        <f>IF(OR(AF279="",AH279=""),"",IF(COUNTIFS(PHUONG_XA!$A$2:$A$3323,AH279,PHUONG_XA!$C$2:$C$3323,AF279)=0,"",INDEX(PHUONG_XA!$B$2:$B$3323,SUMPRODUCT((PHUONG_XA!$A$2:$A$3323&amp;""=AH279&amp;"")*(PHUONG_XA!$C$2:$C$3323&amp;""=AF279&amp;"")*(ROW(PHUONG_XA!$A$2:$A$3323)-ROW(PHUONG_XA!$A$2)+1)))))</f>
        <v/>
      </c>
      <c r="AJ279" s="14"/>
      <c r="AK279" s="14"/>
      <c r="AL279" s="57" t="str">
        <f t="shared" si="5"/>
        <v/>
      </c>
      <c r="AM279" s="14"/>
      <c r="AN279" s="15"/>
      <c r="AO279" s="15"/>
      <c r="AP279" s="48"/>
      <c r="AQ279" s="15"/>
      <c r="AR279" s="15"/>
      <c r="AS279" s="15"/>
      <c r="AT279" s="60" t="str">
        <f>IF(ISNUMBER(MATCH(AU279,LOAI_THE!$B:$B,0)),INDEX(LOAI_THE!$A:$A,MATCH(AU279,LOAI_THE!$B:$B,0)),"")</f>
        <v/>
      </c>
      <c r="AU279" s="48"/>
      <c r="AV279" s="15"/>
      <c r="AW279" s="15"/>
      <c r="AX279" s="15"/>
      <c r="AY279" s="48"/>
    </row>
    <row r="280" spans="1:51" x14ac:dyDescent="0.3">
      <c r="A280" s="13" t="s">
        <v>610</v>
      </c>
      <c r="B280" s="48"/>
      <c r="C280" s="48"/>
      <c r="D280" s="48"/>
      <c r="E280" s="48"/>
      <c r="F280" s="48"/>
      <c r="G280" s="58" t="str">
        <f>IF(ISNUMBER(MATCH(H280,GIOI_TINH!$B:$B,0)),INDEX(GIOI_TINH!$A:$A,MATCH(H280,GIOI_TINH!$B:$B,0)),"")</f>
        <v/>
      </c>
      <c r="H280" s="15"/>
      <c r="I280" s="15"/>
      <c r="J280" s="58" t="str">
        <f>IF(ISNUMBER(MATCH(K280,QUOC_GIA!$B:$B,0)),INDEX(QUOC_GIA!$A:$A,MATCH(K280,QUOC_GIA!$B:$B,0)),"")</f>
        <v/>
      </c>
      <c r="K280" s="50"/>
      <c r="L280" s="15"/>
      <c r="M280" s="58" t="str">
        <f>IF(ISNUMBER(MATCH(N280,LOAI_THUE!$B:$B,0)),INDEX(LOAI_THUE!$A:$A,MATCH(N280,LOAI_THUE!$B:$B,0)),"")</f>
        <v/>
      </c>
      <c r="N280" s="50"/>
      <c r="O280" s="58" t="str">
        <f>IF(ISNUMBER(MATCH(P280,CHI_TIET_LOAI_KH!$B:$B,0)),INDEX(CHI_TIET_LOAI_KH!$A:$A,MATCH(P280,CHI_TIET_LOAI_KH!$B:$B,0)),"")</f>
        <v/>
      </c>
      <c r="P280" s="50"/>
      <c r="Q280" s="58" t="str">
        <f>IF(ISNUMBER(MATCH(R280,NGHE_NGHIEP!$B:$B,0)),INDEX(NGHE_NGHIEP!$A:$A,MATCH(R280,NGHE_NGHIEP!$B:$B,0)),"")</f>
        <v/>
      </c>
      <c r="R280" s="50"/>
      <c r="S280" s="58" t="str">
        <f>IF(ISNUMBER(MATCH(T280,LOAI_ID!$B:$B,0)),INDEX(LOAI_ID!$A:$A,MATCH(T280,LOAI_ID!$B:$B,0)),"")</f>
        <v/>
      </c>
      <c r="T280" s="16"/>
      <c r="U280" s="48"/>
      <c r="V280" s="48"/>
      <c r="W280" s="17"/>
      <c r="X280" s="17"/>
      <c r="Y280" s="15"/>
      <c r="Z280" s="15"/>
      <c r="AA280" s="59" t="str">
        <f>IFERROR(INDEX(NOI_CAP!$B:$B,MATCH(Z280,NOI_CAP!$A:$A,0)),"")</f>
        <v/>
      </c>
      <c r="AB280" s="58" t="str">
        <f>IF(ISNUMBER(MATCH(AC280,LOAI_DIA_CHI!$B:$B,0)),INDEX(LOAI_DIA_CHI!$A:$A,MATCH(AC280,LOAI_DIA_CHI!$B:$B,0)),"")</f>
        <v/>
      </c>
      <c r="AC280" s="16"/>
      <c r="AD280" s="58" t="str">
        <f>IF(ISNUMBER(MATCH(AE280,QUOC_GIA!$B:$B,0)),INDEX(QUOC_GIA!$A:$A,MATCH(AE280,QUOC_GIA!$B:$B,0)),"")</f>
        <v/>
      </c>
      <c r="AE280" s="16"/>
      <c r="AF280" s="48"/>
      <c r="AG280" s="59" t="str">
        <f>IFERROR(INDEX(TINH_TP!$B:$B,MATCH(AF280,TINH_TP!$A:$A,0)),"")</f>
        <v/>
      </c>
      <c r="AH280" s="50"/>
      <c r="AI280" s="59" t="str">
        <f>IF(OR(AF280="",AH280=""),"",IF(COUNTIFS(PHUONG_XA!$A$2:$A$3323,AH280,PHUONG_XA!$C$2:$C$3323,AF280)=0,"",INDEX(PHUONG_XA!$B$2:$B$3323,SUMPRODUCT((PHUONG_XA!$A$2:$A$3323&amp;""=AH280&amp;"")*(PHUONG_XA!$C$2:$C$3323&amp;""=AF280&amp;"")*(ROW(PHUONG_XA!$A$2:$A$3323)-ROW(PHUONG_XA!$A$2)+1)))))</f>
        <v/>
      </c>
      <c r="AJ280" s="14"/>
      <c r="AK280" s="14"/>
      <c r="AL280" s="57" t="str">
        <f t="shared" si="5"/>
        <v/>
      </c>
      <c r="AM280" s="14"/>
      <c r="AN280" s="15"/>
      <c r="AO280" s="15"/>
      <c r="AP280" s="48"/>
      <c r="AQ280" s="15"/>
      <c r="AR280" s="15"/>
      <c r="AS280" s="15"/>
      <c r="AT280" s="60" t="str">
        <f>IF(ISNUMBER(MATCH(AU280,LOAI_THE!$B:$B,0)),INDEX(LOAI_THE!$A:$A,MATCH(AU280,LOAI_THE!$B:$B,0)),"")</f>
        <v/>
      </c>
      <c r="AU280" s="48"/>
      <c r="AV280" s="15"/>
      <c r="AW280" s="15"/>
      <c r="AX280" s="15"/>
      <c r="AY280" s="48"/>
    </row>
    <row r="281" spans="1:51" x14ac:dyDescent="0.3">
      <c r="A281" s="13" t="s">
        <v>612</v>
      </c>
      <c r="B281" s="48"/>
      <c r="C281" s="48"/>
      <c r="D281" s="48"/>
      <c r="E281" s="48"/>
      <c r="F281" s="48"/>
      <c r="G281" s="58" t="str">
        <f>IF(ISNUMBER(MATCH(H281,GIOI_TINH!$B:$B,0)),INDEX(GIOI_TINH!$A:$A,MATCH(H281,GIOI_TINH!$B:$B,0)),"")</f>
        <v/>
      </c>
      <c r="H281" s="15"/>
      <c r="I281" s="15"/>
      <c r="J281" s="58" t="str">
        <f>IF(ISNUMBER(MATCH(K281,QUOC_GIA!$B:$B,0)),INDEX(QUOC_GIA!$A:$A,MATCH(K281,QUOC_GIA!$B:$B,0)),"")</f>
        <v/>
      </c>
      <c r="K281" s="50"/>
      <c r="L281" s="15"/>
      <c r="M281" s="58" t="str">
        <f>IF(ISNUMBER(MATCH(N281,LOAI_THUE!$B:$B,0)),INDEX(LOAI_THUE!$A:$A,MATCH(N281,LOAI_THUE!$B:$B,0)),"")</f>
        <v/>
      </c>
      <c r="N281" s="50"/>
      <c r="O281" s="58" t="str">
        <f>IF(ISNUMBER(MATCH(P281,CHI_TIET_LOAI_KH!$B:$B,0)),INDEX(CHI_TIET_LOAI_KH!$A:$A,MATCH(P281,CHI_TIET_LOAI_KH!$B:$B,0)),"")</f>
        <v/>
      </c>
      <c r="P281" s="50"/>
      <c r="Q281" s="58" t="str">
        <f>IF(ISNUMBER(MATCH(R281,NGHE_NGHIEP!$B:$B,0)),INDEX(NGHE_NGHIEP!$A:$A,MATCH(R281,NGHE_NGHIEP!$B:$B,0)),"")</f>
        <v/>
      </c>
      <c r="R281" s="50"/>
      <c r="S281" s="58" t="str">
        <f>IF(ISNUMBER(MATCH(T281,LOAI_ID!$B:$B,0)),INDEX(LOAI_ID!$A:$A,MATCH(T281,LOAI_ID!$B:$B,0)),"")</f>
        <v/>
      </c>
      <c r="T281" s="16"/>
      <c r="U281" s="48"/>
      <c r="V281" s="48"/>
      <c r="W281" s="17"/>
      <c r="X281" s="17"/>
      <c r="Y281" s="15"/>
      <c r="Z281" s="15"/>
      <c r="AA281" s="59" t="str">
        <f>IFERROR(INDEX(NOI_CAP!$B:$B,MATCH(Z281,NOI_CAP!$A:$A,0)),"")</f>
        <v/>
      </c>
      <c r="AB281" s="58" t="str">
        <f>IF(ISNUMBER(MATCH(AC281,LOAI_DIA_CHI!$B:$B,0)),INDEX(LOAI_DIA_CHI!$A:$A,MATCH(AC281,LOAI_DIA_CHI!$B:$B,0)),"")</f>
        <v/>
      </c>
      <c r="AC281" s="16"/>
      <c r="AD281" s="58" t="str">
        <f>IF(ISNUMBER(MATCH(AE281,QUOC_GIA!$B:$B,0)),INDEX(QUOC_GIA!$A:$A,MATCH(AE281,QUOC_GIA!$B:$B,0)),"")</f>
        <v/>
      </c>
      <c r="AE281" s="16"/>
      <c r="AF281" s="48"/>
      <c r="AG281" s="59" t="str">
        <f>IFERROR(INDEX(TINH_TP!$B:$B,MATCH(AF281,TINH_TP!$A:$A,0)),"")</f>
        <v/>
      </c>
      <c r="AH281" s="50"/>
      <c r="AI281" s="59" t="str">
        <f>IF(OR(AF281="",AH281=""),"",IF(COUNTIFS(PHUONG_XA!$A$2:$A$3323,AH281,PHUONG_XA!$C$2:$C$3323,AF281)=0,"",INDEX(PHUONG_XA!$B$2:$B$3323,SUMPRODUCT((PHUONG_XA!$A$2:$A$3323&amp;""=AH281&amp;"")*(PHUONG_XA!$C$2:$C$3323&amp;""=AF281&amp;"")*(ROW(PHUONG_XA!$A$2:$A$3323)-ROW(PHUONG_XA!$A$2)+1)))))</f>
        <v/>
      </c>
      <c r="AJ281" s="14"/>
      <c r="AK281" s="14"/>
      <c r="AL281" s="57" t="str">
        <f t="shared" si="5"/>
        <v/>
      </c>
      <c r="AM281" s="14"/>
      <c r="AN281" s="15"/>
      <c r="AO281" s="15"/>
      <c r="AP281" s="48"/>
      <c r="AQ281" s="15"/>
      <c r="AR281" s="15"/>
      <c r="AS281" s="15"/>
      <c r="AT281" s="60" t="str">
        <f>IF(ISNUMBER(MATCH(AU281,LOAI_THE!$B:$B,0)),INDEX(LOAI_THE!$A:$A,MATCH(AU281,LOAI_THE!$B:$B,0)),"")</f>
        <v/>
      </c>
      <c r="AU281" s="48"/>
      <c r="AV281" s="15"/>
      <c r="AW281" s="15"/>
      <c r="AX281" s="15"/>
      <c r="AY281" s="48"/>
    </row>
    <row r="282" spans="1:51" x14ac:dyDescent="0.3">
      <c r="A282" s="13" t="s">
        <v>614</v>
      </c>
      <c r="B282" s="48"/>
      <c r="C282" s="48"/>
      <c r="D282" s="48"/>
      <c r="E282" s="48"/>
      <c r="F282" s="48"/>
      <c r="G282" s="58" t="str">
        <f>IF(ISNUMBER(MATCH(H282,GIOI_TINH!$B:$B,0)),INDEX(GIOI_TINH!$A:$A,MATCH(H282,GIOI_TINH!$B:$B,0)),"")</f>
        <v/>
      </c>
      <c r="H282" s="15"/>
      <c r="I282" s="15"/>
      <c r="J282" s="58" t="str">
        <f>IF(ISNUMBER(MATCH(K282,QUOC_GIA!$B:$B,0)),INDEX(QUOC_GIA!$A:$A,MATCH(K282,QUOC_GIA!$B:$B,0)),"")</f>
        <v/>
      </c>
      <c r="K282" s="50"/>
      <c r="L282" s="15"/>
      <c r="M282" s="58" t="str">
        <f>IF(ISNUMBER(MATCH(N282,LOAI_THUE!$B:$B,0)),INDEX(LOAI_THUE!$A:$A,MATCH(N282,LOAI_THUE!$B:$B,0)),"")</f>
        <v/>
      </c>
      <c r="N282" s="50"/>
      <c r="O282" s="58" t="str">
        <f>IF(ISNUMBER(MATCH(P282,CHI_TIET_LOAI_KH!$B:$B,0)),INDEX(CHI_TIET_LOAI_KH!$A:$A,MATCH(P282,CHI_TIET_LOAI_KH!$B:$B,0)),"")</f>
        <v/>
      </c>
      <c r="P282" s="50"/>
      <c r="Q282" s="58" t="str">
        <f>IF(ISNUMBER(MATCH(R282,NGHE_NGHIEP!$B:$B,0)),INDEX(NGHE_NGHIEP!$A:$A,MATCH(R282,NGHE_NGHIEP!$B:$B,0)),"")</f>
        <v/>
      </c>
      <c r="R282" s="50"/>
      <c r="S282" s="58" t="str">
        <f>IF(ISNUMBER(MATCH(T282,LOAI_ID!$B:$B,0)),INDEX(LOAI_ID!$A:$A,MATCH(T282,LOAI_ID!$B:$B,0)),"")</f>
        <v/>
      </c>
      <c r="T282" s="16"/>
      <c r="U282" s="48"/>
      <c r="V282" s="48"/>
      <c r="W282" s="17"/>
      <c r="X282" s="17"/>
      <c r="Y282" s="15"/>
      <c r="Z282" s="15"/>
      <c r="AA282" s="59" t="str">
        <f>IFERROR(INDEX(NOI_CAP!$B:$B,MATCH(Z282,NOI_CAP!$A:$A,0)),"")</f>
        <v/>
      </c>
      <c r="AB282" s="58" t="str">
        <f>IF(ISNUMBER(MATCH(AC282,LOAI_DIA_CHI!$B:$B,0)),INDEX(LOAI_DIA_CHI!$A:$A,MATCH(AC282,LOAI_DIA_CHI!$B:$B,0)),"")</f>
        <v/>
      </c>
      <c r="AC282" s="16"/>
      <c r="AD282" s="58" t="str">
        <f>IF(ISNUMBER(MATCH(AE282,QUOC_GIA!$B:$B,0)),INDEX(QUOC_GIA!$A:$A,MATCH(AE282,QUOC_GIA!$B:$B,0)),"")</f>
        <v/>
      </c>
      <c r="AE282" s="16"/>
      <c r="AF282" s="48"/>
      <c r="AG282" s="59" t="str">
        <f>IFERROR(INDEX(TINH_TP!$B:$B,MATCH(AF282,TINH_TP!$A:$A,0)),"")</f>
        <v/>
      </c>
      <c r="AH282" s="50"/>
      <c r="AI282" s="59" t="str">
        <f>IF(OR(AF282="",AH282=""),"",IF(COUNTIFS(PHUONG_XA!$A$2:$A$3323,AH282,PHUONG_XA!$C$2:$C$3323,AF282)=0,"",INDEX(PHUONG_XA!$B$2:$B$3323,SUMPRODUCT((PHUONG_XA!$A$2:$A$3323&amp;""=AH282&amp;"")*(PHUONG_XA!$C$2:$C$3323&amp;""=AF282&amp;"")*(ROW(PHUONG_XA!$A$2:$A$3323)-ROW(PHUONG_XA!$A$2)+1)))))</f>
        <v/>
      </c>
      <c r="AJ282" s="14"/>
      <c r="AK282" s="14"/>
      <c r="AL282" s="57" t="str">
        <f t="shared" si="5"/>
        <v/>
      </c>
      <c r="AM282" s="14"/>
      <c r="AN282" s="15"/>
      <c r="AO282" s="15"/>
      <c r="AP282" s="48"/>
      <c r="AQ282" s="15"/>
      <c r="AR282" s="15"/>
      <c r="AS282" s="15"/>
      <c r="AT282" s="60" t="str">
        <f>IF(ISNUMBER(MATCH(AU282,LOAI_THE!$B:$B,0)),INDEX(LOAI_THE!$A:$A,MATCH(AU282,LOAI_THE!$B:$B,0)),"")</f>
        <v/>
      </c>
      <c r="AU282" s="48"/>
      <c r="AV282" s="15"/>
      <c r="AW282" s="15"/>
      <c r="AX282" s="15"/>
      <c r="AY282" s="48"/>
    </row>
    <row r="283" spans="1:51" x14ac:dyDescent="0.3">
      <c r="A283" s="13" t="s">
        <v>616</v>
      </c>
      <c r="B283" s="48"/>
      <c r="C283" s="48"/>
      <c r="D283" s="48"/>
      <c r="E283" s="48"/>
      <c r="F283" s="48"/>
      <c r="G283" s="58" t="str">
        <f>IF(ISNUMBER(MATCH(H283,GIOI_TINH!$B:$B,0)),INDEX(GIOI_TINH!$A:$A,MATCH(H283,GIOI_TINH!$B:$B,0)),"")</f>
        <v/>
      </c>
      <c r="H283" s="15"/>
      <c r="I283" s="15"/>
      <c r="J283" s="58" t="str">
        <f>IF(ISNUMBER(MATCH(K283,QUOC_GIA!$B:$B,0)),INDEX(QUOC_GIA!$A:$A,MATCH(K283,QUOC_GIA!$B:$B,0)),"")</f>
        <v/>
      </c>
      <c r="K283" s="50"/>
      <c r="L283" s="15"/>
      <c r="M283" s="58" t="str">
        <f>IF(ISNUMBER(MATCH(N283,LOAI_THUE!$B:$B,0)),INDEX(LOAI_THUE!$A:$A,MATCH(N283,LOAI_THUE!$B:$B,0)),"")</f>
        <v/>
      </c>
      <c r="N283" s="50"/>
      <c r="O283" s="58" t="str">
        <f>IF(ISNUMBER(MATCH(P283,CHI_TIET_LOAI_KH!$B:$B,0)),INDEX(CHI_TIET_LOAI_KH!$A:$A,MATCH(P283,CHI_TIET_LOAI_KH!$B:$B,0)),"")</f>
        <v/>
      </c>
      <c r="P283" s="50"/>
      <c r="Q283" s="58" t="str">
        <f>IF(ISNUMBER(MATCH(R283,NGHE_NGHIEP!$B:$B,0)),INDEX(NGHE_NGHIEP!$A:$A,MATCH(R283,NGHE_NGHIEP!$B:$B,0)),"")</f>
        <v/>
      </c>
      <c r="R283" s="50"/>
      <c r="S283" s="58" t="str">
        <f>IF(ISNUMBER(MATCH(T283,LOAI_ID!$B:$B,0)),INDEX(LOAI_ID!$A:$A,MATCH(T283,LOAI_ID!$B:$B,0)),"")</f>
        <v/>
      </c>
      <c r="T283" s="16"/>
      <c r="U283" s="48"/>
      <c r="V283" s="48"/>
      <c r="W283" s="17"/>
      <c r="X283" s="17"/>
      <c r="Y283" s="15"/>
      <c r="Z283" s="15"/>
      <c r="AA283" s="59" t="str">
        <f>IFERROR(INDEX(NOI_CAP!$B:$B,MATCH(Z283,NOI_CAP!$A:$A,0)),"")</f>
        <v/>
      </c>
      <c r="AB283" s="58" t="str">
        <f>IF(ISNUMBER(MATCH(AC283,LOAI_DIA_CHI!$B:$B,0)),INDEX(LOAI_DIA_CHI!$A:$A,MATCH(AC283,LOAI_DIA_CHI!$B:$B,0)),"")</f>
        <v/>
      </c>
      <c r="AC283" s="16"/>
      <c r="AD283" s="58" t="str">
        <f>IF(ISNUMBER(MATCH(AE283,QUOC_GIA!$B:$B,0)),INDEX(QUOC_GIA!$A:$A,MATCH(AE283,QUOC_GIA!$B:$B,0)),"")</f>
        <v/>
      </c>
      <c r="AE283" s="16"/>
      <c r="AF283" s="48"/>
      <c r="AG283" s="59" t="str">
        <f>IFERROR(INDEX(TINH_TP!$B:$B,MATCH(AF283,TINH_TP!$A:$A,0)),"")</f>
        <v/>
      </c>
      <c r="AH283" s="50"/>
      <c r="AI283" s="59" t="str">
        <f>IF(OR(AF283="",AH283=""),"",IF(COUNTIFS(PHUONG_XA!$A$2:$A$3323,AH283,PHUONG_XA!$C$2:$C$3323,AF283)=0,"",INDEX(PHUONG_XA!$B$2:$B$3323,SUMPRODUCT((PHUONG_XA!$A$2:$A$3323&amp;""=AH283&amp;"")*(PHUONG_XA!$C$2:$C$3323&amp;""=AF283&amp;"")*(ROW(PHUONG_XA!$A$2:$A$3323)-ROW(PHUONG_XA!$A$2)+1)))))</f>
        <v/>
      </c>
      <c r="AJ283" s="14"/>
      <c r="AK283" s="14"/>
      <c r="AL283" s="57" t="str">
        <f t="shared" si="5"/>
        <v/>
      </c>
      <c r="AM283" s="14"/>
      <c r="AN283" s="15"/>
      <c r="AO283" s="15"/>
      <c r="AP283" s="48"/>
      <c r="AQ283" s="15"/>
      <c r="AR283" s="15"/>
      <c r="AS283" s="15"/>
      <c r="AT283" s="60" t="str">
        <f>IF(ISNUMBER(MATCH(AU283,LOAI_THE!$B:$B,0)),INDEX(LOAI_THE!$A:$A,MATCH(AU283,LOAI_THE!$B:$B,0)),"")</f>
        <v/>
      </c>
      <c r="AU283" s="48"/>
      <c r="AV283" s="15"/>
      <c r="AW283" s="15"/>
      <c r="AX283" s="15"/>
      <c r="AY283" s="48"/>
    </row>
    <row r="284" spans="1:51" x14ac:dyDescent="0.3">
      <c r="A284" s="13" t="s">
        <v>618</v>
      </c>
      <c r="B284" s="48"/>
      <c r="C284" s="48"/>
      <c r="D284" s="48"/>
      <c r="E284" s="48"/>
      <c r="F284" s="48"/>
      <c r="G284" s="58" t="str">
        <f>IF(ISNUMBER(MATCH(H284,GIOI_TINH!$B:$B,0)),INDEX(GIOI_TINH!$A:$A,MATCH(H284,GIOI_TINH!$B:$B,0)),"")</f>
        <v/>
      </c>
      <c r="H284" s="15"/>
      <c r="I284" s="15"/>
      <c r="J284" s="58" t="str">
        <f>IF(ISNUMBER(MATCH(K284,QUOC_GIA!$B:$B,0)),INDEX(QUOC_GIA!$A:$A,MATCH(K284,QUOC_GIA!$B:$B,0)),"")</f>
        <v/>
      </c>
      <c r="K284" s="50"/>
      <c r="L284" s="15"/>
      <c r="M284" s="58" t="str">
        <f>IF(ISNUMBER(MATCH(N284,LOAI_THUE!$B:$B,0)),INDEX(LOAI_THUE!$A:$A,MATCH(N284,LOAI_THUE!$B:$B,0)),"")</f>
        <v/>
      </c>
      <c r="N284" s="50"/>
      <c r="O284" s="58" t="str">
        <f>IF(ISNUMBER(MATCH(P284,CHI_TIET_LOAI_KH!$B:$B,0)),INDEX(CHI_TIET_LOAI_KH!$A:$A,MATCH(P284,CHI_TIET_LOAI_KH!$B:$B,0)),"")</f>
        <v/>
      </c>
      <c r="P284" s="50"/>
      <c r="Q284" s="58" t="str">
        <f>IF(ISNUMBER(MATCH(R284,NGHE_NGHIEP!$B:$B,0)),INDEX(NGHE_NGHIEP!$A:$A,MATCH(R284,NGHE_NGHIEP!$B:$B,0)),"")</f>
        <v/>
      </c>
      <c r="R284" s="50"/>
      <c r="S284" s="58" t="str">
        <f>IF(ISNUMBER(MATCH(T284,LOAI_ID!$B:$B,0)),INDEX(LOAI_ID!$A:$A,MATCH(T284,LOAI_ID!$B:$B,0)),"")</f>
        <v/>
      </c>
      <c r="T284" s="16"/>
      <c r="U284" s="48"/>
      <c r="V284" s="48"/>
      <c r="W284" s="17"/>
      <c r="X284" s="17"/>
      <c r="Y284" s="15"/>
      <c r="Z284" s="15"/>
      <c r="AA284" s="59" t="str">
        <f>IFERROR(INDEX(NOI_CAP!$B:$B,MATCH(Z284,NOI_CAP!$A:$A,0)),"")</f>
        <v/>
      </c>
      <c r="AB284" s="58" t="str">
        <f>IF(ISNUMBER(MATCH(AC284,LOAI_DIA_CHI!$B:$B,0)),INDEX(LOAI_DIA_CHI!$A:$A,MATCH(AC284,LOAI_DIA_CHI!$B:$B,0)),"")</f>
        <v/>
      </c>
      <c r="AC284" s="16"/>
      <c r="AD284" s="58" t="str">
        <f>IF(ISNUMBER(MATCH(AE284,QUOC_GIA!$B:$B,0)),INDEX(QUOC_GIA!$A:$A,MATCH(AE284,QUOC_GIA!$B:$B,0)),"")</f>
        <v/>
      </c>
      <c r="AE284" s="16"/>
      <c r="AF284" s="48"/>
      <c r="AG284" s="59" t="str">
        <f>IFERROR(INDEX(TINH_TP!$B:$B,MATCH(AF284,TINH_TP!$A:$A,0)),"")</f>
        <v/>
      </c>
      <c r="AH284" s="50"/>
      <c r="AI284" s="59" t="str">
        <f>IF(OR(AF284="",AH284=""),"",IF(COUNTIFS(PHUONG_XA!$A$2:$A$3323,AH284,PHUONG_XA!$C$2:$C$3323,AF284)=0,"",INDEX(PHUONG_XA!$B$2:$B$3323,SUMPRODUCT((PHUONG_XA!$A$2:$A$3323&amp;""=AH284&amp;"")*(PHUONG_XA!$C$2:$C$3323&amp;""=AF284&amp;"")*(ROW(PHUONG_XA!$A$2:$A$3323)-ROW(PHUONG_XA!$A$2)+1)))))</f>
        <v/>
      </c>
      <c r="AJ284" s="14"/>
      <c r="AK284" s="14"/>
      <c r="AL284" s="57" t="str">
        <f t="shared" si="5"/>
        <v/>
      </c>
      <c r="AM284" s="14"/>
      <c r="AN284" s="15"/>
      <c r="AO284" s="15"/>
      <c r="AP284" s="48"/>
      <c r="AQ284" s="15"/>
      <c r="AR284" s="15"/>
      <c r="AS284" s="15"/>
      <c r="AT284" s="60" t="str">
        <f>IF(ISNUMBER(MATCH(AU284,LOAI_THE!$B:$B,0)),INDEX(LOAI_THE!$A:$A,MATCH(AU284,LOAI_THE!$B:$B,0)),"")</f>
        <v/>
      </c>
      <c r="AU284" s="48"/>
      <c r="AV284" s="15"/>
      <c r="AW284" s="15"/>
      <c r="AX284" s="15"/>
      <c r="AY284" s="48"/>
    </row>
    <row r="285" spans="1:51" x14ac:dyDescent="0.3">
      <c r="A285" s="13" t="s">
        <v>620</v>
      </c>
      <c r="B285" s="48"/>
      <c r="C285" s="48"/>
      <c r="D285" s="48"/>
      <c r="E285" s="48"/>
      <c r="F285" s="48"/>
      <c r="G285" s="58" t="str">
        <f>IF(ISNUMBER(MATCH(H285,GIOI_TINH!$B:$B,0)),INDEX(GIOI_TINH!$A:$A,MATCH(H285,GIOI_TINH!$B:$B,0)),"")</f>
        <v/>
      </c>
      <c r="H285" s="15"/>
      <c r="I285" s="15"/>
      <c r="J285" s="58" t="str">
        <f>IF(ISNUMBER(MATCH(K285,QUOC_GIA!$B:$B,0)),INDEX(QUOC_GIA!$A:$A,MATCH(K285,QUOC_GIA!$B:$B,0)),"")</f>
        <v/>
      </c>
      <c r="K285" s="50"/>
      <c r="L285" s="15"/>
      <c r="M285" s="58" t="str">
        <f>IF(ISNUMBER(MATCH(N285,LOAI_THUE!$B:$B,0)),INDEX(LOAI_THUE!$A:$A,MATCH(N285,LOAI_THUE!$B:$B,0)),"")</f>
        <v/>
      </c>
      <c r="N285" s="50"/>
      <c r="O285" s="58" t="str">
        <f>IF(ISNUMBER(MATCH(P285,CHI_TIET_LOAI_KH!$B:$B,0)),INDEX(CHI_TIET_LOAI_KH!$A:$A,MATCH(P285,CHI_TIET_LOAI_KH!$B:$B,0)),"")</f>
        <v/>
      </c>
      <c r="P285" s="50"/>
      <c r="Q285" s="58" t="str">
        <f>IF(ISNUMBER(MATCH(R285,NGHE_NGHIEP!$B:$B,0)),INDEX(NGHE_NGHIEP!$A:$A,MATCH(R285,NGHE_NGHIEP!$B:$B,0)),"")</f>
        <v/>
      </c>
      <c r="R285" s="50"/>
      <c r="S285" s="58" t="str">
        <f>IF(ISNUMBER(MATCH(T285,LOAI_ID!$B:$B,0)),INDEX(LOAI_ID!$A:$A,MATCH(T285,LOAI_ID!$B:$B,0)),"")</f>
        <v/>
      </c>
      <c r="T285" s="16"/>
      <c r="U285" s="48"/>
      <c r="V285" s="48"/>
      <c r="W285" s="17"/>
      <c r="X285" s="17"/>
      <c r="Y285" s="15"/>
      <c r="Z285" s="15"/>
      <c r="AA285" s="59" t="str">
        <f>IFERROR(INDEX(NOI_CAP!$B:$B,MATCH(Z285,NOI_CAP!$A:$A,0)),"")</f>
        <v/>
      </c>
      <c r="AB285" s="58" t="str">
        <f>IF(ISNUMBER(MATCH(AC285,LOAI_DIA_CHI!$B:$B,0)),INDEX(LOAI_DIA_CHI!$A:$A,MATCH(AC285,LOAI_DIA_CHI!$B:$B,0)),"")</f>
        <v/>
      </c>
      <c r="AC285" s="16"/>
      <c r="AD285" s="58" t="str">
        <f>IF(ISNUMBER(MATCH(AE285,QUOC_GIA!$B:$B,0)),INDEX(QUOC_GIA!$A:$A,MATCH(AE285,QUOC_GIA!$B:$B,0)),"")</f>
        <v/>
      </c>
      <c r="AE285" s="16"/>
      <c r="AF285" s="48"/>
      <c r="AG285" s="59" t="str">
        <f>IFERROR(INDEX(TINH_TP!$B:$B,MATCH(AF285,TINH_TP!$A:$A,0)),"")</f>
        <v/>
      </c>
      <c r="AH285" s="50"/>
      <c r="AI285" s="59" t="str">
        <f>IF(OR(AF285="",AH285=""),"",IF(COUNTIFS(PHUONG_XA!$A$2:$A$3323,AH285,PHUONG_XA!$C$2:$C$3323,AF285)=0,"",INDEX(PHUONG_XA!$B$2:$B$3323,SUMPRODUCT((PHUONG_XA!$A$2:$A$3323&amp;""=AH285&amp;"")*(PHUONG_XA!$C$2:$C$3323&amp;""=AF285&amp;"")*(ROW(PHUONG_XA!$A$2:$A$3323)-ROW(PHUONG_XA!$A$2)+1)))))</f>
        <v/>
      </c>
      <c r="AJ285" s="14"/>
      <c r="AK285" s="14"/>
      <c r="AL285" s="57" t="str">
        <f t="shared" si="5"/>
        <v/>
      </c>
      <c r="AM285" s="14"/>
      <c r="AN285" s="15"/>
      <c r="AO285" s="15"/>
      <c r="AP285" s="48"/>
      <c r="AQ285" s="15"/>
      <c r="AR285" s="15"/>
      <c r="AS285" s="15"/>
      <c r="AT285" s="60" t="str">
        <f>IF(ISNUMBER(MATCH(AU285,LOAI_THE!$B:$B,0)),INDEX(LOAI_THE!$A:$A,MATCH(AU285,LOAI_THE!$B:$B,0)),"")</f>
        <v/>
      </c>
      <c r="AU285" s="48"/>
      <c r="AV285" s="15"/>
      <c r="AW285" s="15"/>
      <c r="AX285" s="15"/>
      <c r="AY285" s="48"/>
    </row>
    <row r="286" spans="1:51" x14ac:dyDescent="0.3">
      <c r="A286" s="13" t="s">
        <v>622</v>
      </c>
      <c r="B286" s="48"/>
      <c r="C286" s="48"/>
      <c r="D286" s="48"/>
      <c r="E286" s="48"/>
      <c r="F286" s="48"/>
      <c r="G286" s="58" t="str">
        <f>IF(ISNUMBER(MATCH(H286,GIOI_TINH!$B:$B,0)),INDEX(GIOI_TINH!$A:$A,MATCH(H286,GIOI_TINH!$B:$B,0)),"")</f>
        <v/>
      </c>
      <c r="H286" s="15"/>
      <c r="I286" s="15"/>
      <c r="J286" s="58" t="str">
        <f>IF(ISNUMBER(MATCH(K286,QUOC_GIA!$B:$B,0)),INDEX(QUOC_GIA!$A:$A,MATCH(K286,QUOC_GIA!$B:$B,0)),"")</f>
        <v/>
      </c>
      <c r="K286" s="50"/>
      <c r="L286" s="15"/>
      <c r="M286" s="58" t="str">
        <f>IF(ISNUMBER(MATCH(N286,LOAI_THUE!$B:$B,0)),INDEX(LOAI_THUE!$A:$A,MATCH(N286,LOAI_THUE!$B:$B,0)),"")</f>
        <v/>
      </c>
      <c r="N286" s="50"/>
      <c r="O286" s="58" t="str">
        <f>IF(ISNUMBER(MATCH(P286,CHI_TIET_LOAI_KH!$B:$B,0)),INDEX(CHI_TIET_LOAI_KH!$A:$A,MATCH(P286,CHI_TIET_LOAI_KH!$B:$B,0)),"")</f>
        <v/>
      </c>
      <c r="P286" s="50"/>
      <c r="Q286" s="58" t="str">
        <f>IF(ISNUMBER(MATCH(R286,NGHE_NGHIEP!$B:$B,0)),INDEX(NGHE_NGHIEP!$A:$A,MATCH(R286,NGHE_NGHIEP!$B:$B,0)),"")</f>
        <v/>
      </c>
      <c r="R286" s="50"/>
      <c r="S286" s="58" t="str">
        <f>IF(ISNUMBER(MATCH(T286,LOAI_ID!$B:$B,0)),INDEX(LOAI_ID!$A:$A,MATCH(T286,LOAI_ID!$B:$B,0)),"")</f>
        <v/>
      </c>
      <c r="T286" s="16"/>
      <c r="U286" s="48"/>
      <c r="V286" s="48"/>
      <c r="W286" s="17"/>
      <c r="X286" s="17"/>
      <c r="Y286" s="15"/>
      <c r="Z286" s="15"/>
      <c r="AA286" s="59" t="str">
        <f>IFERROR(INDEX(NOI_CAP!$B:$B,MATCH(Z286,NOI_CAP!$A:$A,0)),"")</f>
        <v/>
      </c>
      <c r="AB286" s="58" t="str">
        <f>IF(ISNUMBER(MATCH(AC286,LOAI_DIA_CHI!$B:$B,0)),INDEX(LOAI_DIA_CHI!$A:$A,MATCH(AC286,LOAI_DIA_CHI!$B:$B,0)),"")</f>
        <v/>
      </c>
      <c r="AC286" s="16"/>
      <c r="AD286" s="58" t="str">
        <f>IF(ISNUMBER(MATCH(AE286,QUOC_GIA!$B:$B,0)),INDEX(QUOC_GIA!$A:$A,MATCH(AE286,QUOC_GIA!$B:$B,0)),"")</f>
        <v/>
      </c>
      <c r="AE286" s="16"/>
      <c r="AF286" s="48"/>
      <c r="AG286" s="59" t="str">
        <f>IFERROR(INDEX(TINH_TP!$B:$B,MATCH(AF286,TINH_TP!$A:$A,0)),"")</f>
        <v/>
      </c>
      <c r="AH286" s="50"/>
      <c r="AI286" s="59" t="str">
        <f>IF(OR(AF286="",AH286=""),"",IF(COUNTIFS(PHUONG_XA!$A$2:$A$3323,AH286,PHUONG_XA!$C$2:$C$3323,AF286)=0,"",INDEX(PHUONG_XA!$B$2:$B$3323,SUMPRODUCT((PHUONG_XA!$A$2:$A$3323&amp;""=AH286&amp;"")*(PHUONG_XA!$C$2:$C$3323&amp;""=AF286&amp;"")*(ROW(PHUONG_XA!$A$2:$A$3323)-ROW(PHUONG_XA!$A$2)+1)))))</f>
        <v/>
      </c>
      <c r="AJ286" s="14"/>
      <c r="AK286" s="14"/>
      <c r="AL286" s="57" t="str">
        <f t="shared" si="5"/>
        <v/>
      </c>
      <c r="AM286" s="14"/>
      <c r="AN286" s="15"/>
      <c r="AO286" s="15"/>
      <c r="AP286" s="48"/>
      <c r="AQ286" s="15"/>
      <c r="AR286" s="15"/>
      <c r="AS286" s="15"/>
      <c r="AT286" s="60" t="str">
        <f>IF(ISNUMBER(MATCH(AU286,LOAI_THE!$B:$B,0)),INDEX(LOAI_THE!$A:$A,MATCH(AU286,LOAI_THE!$B:$B,0)),"")</f>
        <v/>
      </c>
      <c r="AU286" s="48"/>
      <c r="AV286" s="15"/>
      <c r="AW286" s="15"/>
      <c r="AX286" s="15"/>
      <c r="AY286" s="48"/>
    </row>
    <row r="287" spans="1:51" x14ac:dyDescent="0.3">
      <c r="A287" s="13" t="s">
        <v>624</v>
      </c>
      <c r="B287" s="48"/>
      <c r="C287" s="48"/>
      <c r="D287" s="48"/>
      <c r="E287" s="48"/>
      <c r="F287" s="48"/>
      <c r="G287" s="58" t="str">
        <f>IF(ISNUMBER(MATCH(H287,GIOI_TINH!$B:$B,0)),INDEX(GIOI_TINH!$A:$A,MATCH(H287,GIOI_TINH!$B:$B,0)),"")</f>
        <v/>
      </c>
      <c r="H287" s="15"/>
      <c r="I287" s="15"/>
      <c r="J287" s="58" t="str">
        <f>IF(ISNUMBER(MATCH(K287,QUOC_GIA!$B:$B,0)),INDEX(QUOC_GIA!$A:$A,MATCH(K287,QUOC_GIA!$B:$B,0)),"")</f>
        <v/>
      </c>
      <c r="K287" s="50"/>
      <c r="L287" s="15"/>
      <c r="M287" s="58" t="str">
        <f>IF(ISNUMBER(MATCH(N287,LOAI_THUE!$B:$B,0)),INDEX(LOAI_THUE!$A:$A,MATCH(N287,LOAI_THUE!$B:$B,0)),"")</f>
        <v/>
      </c>
      <c r="N287" s="50"/>
      <c r="O287" s="58" t="str">
        <f>IF(ISNUMBER(MATCH(P287,CHI_TIET_LOAI_KH!$B:$B,0)),INDEX(CHI_TIET_LOAI_KH!$A:$A,MATCH(P287,CHI_TIET_LOAI_KH!$B:$B,0)),"")</f>
        <v/>
      </c>
      <c r="P287" s="50"/>
      <c r="Q287" s="58" t="str">
        <f>IF(ISNUMBER(MATCH(R287,NGHE_NGHIEP!$B:$B,0)),INDEX(NGHE_NGHIEP!$A:$A,MATCH(R287,NGHE_NGHIEP!$B:$B,0)),"")</f>
        <v/>
      </c>
      <c r="R287" s="50"/>
      <c r="S287" s="58" t="str">
        <f>IF(ISNUMBER(MATCH(T287,LOAI_ID!$B:$B,0)),INDEX(LOAI_ID!$A:$A,MATCH(T287,LOAI_ID!$B:$B,0)),"")</f>
        <v/>
      </c>
      <c r="T287" s="16"/>
      <c r="U287" s="48"/>
      <c r="V287" s="48"/>
      <c r="W287" s="17"/>
      <c r="X287" s="17"/>
      <c r="Y287" s="15"/>
      <c r="Z287" s="15"/>
      <c r="AA287" s="59" t="str">
        <f>IFERROR(INDEX(NOI_CAP!$B:$B,MATCH(Z287,NOI_CAP!$A:$A,0)),"")</f>
        <v/>
      </c>
      <c r="AB287" s="58" t="str">
        <f>IF(ISNUMBER(MATCH(AC287,LOAI_DIA_CHI!$B:$B,0)),INDEX(LOAI_DIA_CHI!$A:$A,MATCH(AC287,LOAI_DIA_CHI!$B:$B,0)),"")</f>
        <v/>
      </c>
      <c r="AC287" s="16"/>
      <c r="AD287" s="58" t="str">
        <f>IF(ISNUMBER(MATCH(AE287,QUOC_GIA!$B:$B,0)),INDEX(QUOC_GIA!$A:$A,MATCH(AE287,QUOC_GIA!$B:$B,0)),"")</f>
        <v/>
      </c>
      <c r="AE287" s="16"/>
      <c r="AF287" s="48"/>
      <c r="AG287" s="59" t="str">
        <f>IFERROR(INDEX(TINH_TP!$B:$B,MATCH(AF287,TINH_TP!$A:$A,0)),"")</f>
        <v/>
      </c>
      <c r="AH287" s="50"/>
      <c r="AI287" s="59" t="str">
        <f>IF(OR(AF287="",AH287=""),"",IF(COUNTIFS(PHUONG_XA!$A$2:$A$3323,AH287,PHUONG_XA!$C$2:$C$3323,AF287)=0,"",INDEX(PHUONG_XA!$B$2:$B$3323,SUMPRODUCT((PHUONG_XA!$A$2:$A$3323&amp;""=AH287&amp;"")*(PHUONG_XA!$C$2:$C$3323&amp;""=AF287&amp;"")*(ROW(PHUONG_XA!$A$2:$A$3323)-ROW(PHUONG_XA!$A$2)+1)))))</f>
        <v/>
      </c>
      <c r="AJ287" s="14"/>
      <c r="AK287" s="14"/>
      <c r="AL287" s="57" t="str">
        <f t="shared" si="5"/>
        <v/>
      </c>
      <c r="AM287" s="14"/>
      <c r="AN287" s="15"/>
      <c r="AO287" s="15"/>
      <c r="AP287" s="48"/>
      <c r="AQ287" s="15"/>
      <c r="AR287" s="15"/>
      <c r="AS287" s="15"/>
      <c r="AT287" s="60" t="str">
        <f>IF(ISNUMBER(MATCH(AU287,LOAI_THE!$B:$B,0)),INDEX(LOAI_THE!$A:$A,MATCH(AU287,LOAI_THE!$B:$B,0)),"")</f>
        <v/>
      </c>
      <c r="AU287" s="48"/>
      <c r="AV287" s="15"/>
      <c r="AW287" s="15"/>
      <c r="AX287" s="15"/>
      <c r="AY287" s="48"/>
    </row>
    <row r="288" spans="1:51" x14ac:dyDescent="0.3">
      <c r="A288" s="13" t="s">
        <v>626</v>
      </c>
      <c r="B288" s="48"/>
      <c r="C288" s="48"/>
      <c r="D288" s="48"/>
      <c r="E288" s="48"/>
      <c r="F288" s="48"/>
      <c r="G288" s="58" t="str">
        <f>IF(ISNUMBER(MATCH(H288,GIOI_TINH!$B:$B,0)),INDEX(GIOI_TINH!$A:$A,MATCH(H288,GIOI_TINH!$B:$B,0)),"")</f>
        <v/>
      </c>
      <c r="H288" s="15"/>
      <c r="I288" s="15"/>
      <c r="J288" s="58" t="str">
        <f>IF(ISNUMBER(MATCH(K288,QUOC_GIA!$B:$B,0)),INDEX(QUOC_GIA!$A:$A,MATCH(K288,QUOC_GIA!$B:$B,0)),"")</f>
        <v/>
      </c>
      <c r="K288" s="50"/>
      <c r="L288" s="15"/>
      <c r="M288" s="58" t="str">
        <f>IF(ISNUMBER(MATCH(N288,LOAI_THUE!$B:$B,0)),INDEX(LOAI_THUE!$A:$A,MATCH(N288,LOAI_THUE!$B:$B,0)),"")</f>
        <v/>
      </c>
      <c r="N288" s="50"/>
      <c r="O288" s="58" t="str">
        <f>IF(ISNUMBER(MATCH(P288,CHI_TIET_LOAI_KH!$B:$B,0)),INDEX(CHI_TIET_LOAI_KH!$A:$A,MATCH(P288,CHI_TIET_LOAI_KH!$B:$B,0)),"")</f>
        <v/>
      </c>
      <c r="P288" s="50"/>
      <c r="Q288" s="58" t="str">
        <f>IF(ISNUMBER(MATCH(R288,NGHE_NGHIEP!$B:$B,0)),INDEX(NGHE_NGHIEP!$A:$A,MATCH(R288,NGHE_NGHIEP!$B:$B,0)),"")</f>
        <v/>
      </c>
      <c r="R288" s="50"/>
      <c r="S288" s="58" t="str">
        <f>IF(ISNUMBER(MATCH(T288,LOAI_ID!$B:$B,0)),INDEX(LOAI_ID!$A:$A,MATCH(T288,LOAI_ID!$B:$B,0)),"")</f>
        <v/>
      </c>
      <c r="T288" s="16"/>
      <c r="U288" s="48"/>
      <c r="V288" s="48"/>
      <c r="W288" s="17"/>
      <c r="X288" s="17"/>
      <c r="Y288" s="15"/>
      <c r="Z288" s="15"/>
      <c r="AA288" s="59" t="str">
        <f>IFERROR(INDEX(NOI_CAP!$B:$B,MATCH(Z288,NOI_CAP!$A:$A,0)),"")</f>
        <v/>
      </c>
      <c r="AB288" s="58" t="str">
        <f>IF(ISNUMBER(MATCH(AC288,LOAI_DIA_CHI!$B:$B,0)),INDEX(LOAI_DIA_CHI!$A:$A,MATCH(AC288,LOAI_DIA_CHI!$B:$B,0)),"")</f>
        <v/>
      </c>
      <c r="AC288" s="16"/>
      <c r="AD288" s="58" t="str">
        <f>IF(ISNUMBER(MATCH(AE288,QUOC_GIA!$B:$B,0)),INDEX(QUOC_GIA!$A:$A,MATCH(AE288,QUOC_GIA!$B:$B,0)),"")</f>
        <v/>
      </c>
      <c r="AE288" s="16"/>
      <c r="AF288" s="48"/>
      <c r="AG288" s="59" t="str">
        <f>IFERROR(INDEX(TINH_TP!$B:$B,MATCH(AF288,TINH_TP!$A:$A,0)),"")</f>
        <v/>
      </c>
      <c r="AH288" s="50"/>
      <c r="AI288" s="59" t="str">
        <f>IF(OR(AF288="",AH288=""),"",IF(COUNTIFS(PHUONG_XA!$A$2:$A$3323,AH288,PHUONG_XA!$C$2:$C$3323,AF288)=0,"",INDEX(PHUONG_XA!$B$2:$B$3323,SUMPRODUCT((PHUONG_XA!$A$2:$A$3323&amp;""=AH288&amp;"")*(PHUONG_XA!$C$2:$C$3323&amp;""=AF288&amp;"")*(ROW(PHUONG_XA!$A$2:$A$3323)-ROW(PHUONG_XA!$A$2)+1)))))</f>
        <v/>
      </c>
      <c r="AJ288" s="14"/>
      <c r="AK288" s="14"/>
      <c r="AL288" s="57" t="str">
        <f t="shared" si="5"/>
        <v/>
      </c>
      <c r="AM288" s="14"/>
      <c r="AN288" s="15"/>
      <c r="AO288" s="15"/>
      <c r="AP288" s="48"/>
      <c r="AQ288" s="15"/>
      <c r="AR288" s="15"/>
      <c r="AS288" s="15"/>
      <c r="AT288" s="60" t="str">
        <f>IF(ISNUMBER(MATCH(AU288,LOAI_THE!$B:$B,0)),INDEX(LOAI_THE!$A:$A,MATCH(AU288,LOAI_THE!$B:$B,0)),"")</f>
        <v/>
      </c>
      <c r="AU288" s="48"/>
      <c r="AV288" s="15"/>
      <c r="AW288" s="15"/>
      <c r="AX288" s="15"/>
      <c r="AY288" s="48"/>
    </row>
    <row r="289" spans="1:51" x14ac:dyDescent="0.3">
      <c r="A289" s="13" t="s">
        <v>628</v>
      </c>
      <c r="B289" s="48"/>
      <c r="C289" s="48"/>
      <c r="D289" s="48"/>
      <c r="E289" s="48"/>
      <c r="F289" s="48"/>
      <c r="G289" s="58" t="str">
        <f>IF(ISNUMBER(MATCH(H289,GIOI_TINH!$B:$B,0)),INDEX(GIOI_TINH!$A:$A,MATCH(H289,GIOI_TINH!$B:$B,0)),"")</f>
        <v/>
      </c>
      <c r="H289" s="15"/>
      <c r="I289" s="15"/>
      <c r="J289" s="58" t="str">
        <f>IF(ISNUMBER(MATCH(K289,QUOC_GIA!$B:$B,0)),INDEX(QUOC_GIA!$A:$A,MATCH(K289,QUOC_GIA!$B:$B,0)),"")</f>
        <v/>
      </c>
      <c r="K289" s="50"/>
      <c r="L289" s="15"/>
      <c r="M289" s="58" t="str">
        <f>IF(ISNUMBER(MATCH(N289,LOAI_THUE!$B:$B,0)),INDEX(LOAI_THUE!$A:$A,MATCH(N289,LOAI_THUE!$B:$B,0)),"")</f>
        <v/>
      </c>
      <c r="N289" s="50"/>
      <c r="O289" s="58" t="str">
        <f>IF(ISNUMBER(MATCH(P289,CHI_TIET_LOAI_KH!$B:$B,0)),INDEX(CHI_TIET_LOAI_KH!$A:$A,MATCH(P289,CHI_TIET_LOAI_KH!$B:$B,0)),"")</f>
        <v/>
      </c>
      <c r="P289" s="50"/>
      <c r="Q289" s="58" t="str">
        <f>IF(ISNUMBER(MATCH(R289,NGHE_NGHIEP!$B:$B,0)),INDEX(NGHE_NGHIEP!$A:$A,MATCH(R289,NGHE_NGHIEP!$B:$B,0)),"")</f>
        <v/>
      </c>
      <c r="R289" s="50"/>
      <c r="S289" s="58" t="str">
        <f>IF(ISNUMBER(MATCH(T289,LOAI_ID!$B:$B,0)),INDEX(LOAI_ID!$A:$A,MATCH(T289,LOAI_ID!$B:$B,0)),"")</f>
        <v/>
      </c>
      <c r="T289" s="16"/>
      <c r="U289" s="48"/>
      <c r="V289" s="48"/>
      <c r="W289" s="17"/>
      <c r="X289" s="17"/>
      <c r="Y289" s="15"/>
      <c r="Z289" s="15"/>
      <c r="AA289" s="59" t="str">
        <f>IFERROR(INDEX(NOI_CAP!$B:$B,MATCH(Z289,NOI_CAP!$A:$A,0)),"")</f>
        <v/>
      </c>
      <c r="AB289" s="58" t="str">
        <f>IF(ISNUMBER(MATCH(AC289,LOAI_DIA_CHI!$B:$B,0)),INDEX(LOAI_DIA_CHI!$A:$A,MATCH(AC289,LOAI_DIA_CHI!$B:$B,0)),"")</f>
        <v/>
      </c>
      <c r="AC289" s="16"/>
      <c r="AD289" s="58" t="str">
        <f>IF(ISNUMBER(MATCH(AE289,QUOC_GIA!$B:$B,0)),INDEX(QUOC_GIA!$A:$A,MATCH(AE289,QUOC_GIA!$B:$B,0)),"")</f>
        <v/>
      </c>
      <c r="AE289" s="16"/>
      <c r="AF289" s="48"/>
      <c r="AG289" s="59" t="str">
        <f>IFERROR(INDEX(TINH_TP!$B:$B,MATCH(AF289,TINH_TP!$A:$A,0)),"")</f>
        <v/>
      </c>
      <c r="AH289" s="50"/>
      <c r="AI289" s="59" t="str">
        <f>IF(OR(AF289="",AH289=""),"",IF(COUNTIFS(PHUONG_XA!$A$2:$A$3323,AH289,PHUONG_XA!$C$2:$C$3323,AF289)=0,"",INDEX(PHUONG_XA!$B$2:$B$3323,SUMPRODUCT((PHUONG_XA!$A$2:$A$3323&amp;""=AH289&amp;"")*(PHUONG_XA!$C$2:$C$3323&amp;""=AF289&amp;"")*(ROW(PHUONG_XA!$A$2:$A$3323)-ROW(PHUONG_XA!$A$2)+1)))))</f>
        <v/>
      </c>
      <c r="AJ289" s="14"/>
      <c r="AK289" s="14"/>
      <c r="AL289" s="57" t="str">
        <f t="shared" si="5"/>
        <v/>
      </c>
      <c r="AM289" s="14"/>
      <c r="AN289" s="15"/>
      <c r="AO289" s="15"/>
      <c r="AP289" s="48"/>
      <c r="AQ289" s="15"/>
      <c r="AR289" s="15"/>
      <c r="AS289" s="15"/>
      <c r="AT289" s="60" t="str">
        <f>IF(ISNUMBER(MATCH(AU289,LOAI_THE!$B:$B,0)),INDEX(LOAI_THE!$A:$A,MATCH(AU289,LOAI_THE!$B:$B,0)),"")</f>
        <v/>
      </c>
      <c r="AU289" s="48"/>
      <c r="AV289" s="15"/>
      <c r="AW289" s="15"/>
      <c r="AX289" s="15"/>
      <c r="AY289" s="48"/>
    </row>
    <row r="290" spans="1:51" x14ac:dyDescent="0.3">
      <c r="A290" s="13" t="s">
        <v>630</v>
      </c>
      <c r="B290" s="48"/>
      <c r="C290" s="48"/>
      <c r="D290" s="48"/>
      <c r="E290" s="48"/>
      <c r="F290" s="48"/>
      <c r="G290" s="58" t="str">
        <f>IF(ISNUMBER(MATCH(H290,GIOI_TINH!$B:$B,0)),INDEX(GIOI_TINH!$A:$A,MATCH(H290,GIOI_TINH!$B:$B,0)),"")</f>
        <v/>
      </c>
      <c r="H290" s="15"/>
      <c r="I290" s="15"/>
      <c r="J290" s="58" t="str">
        <f>IF(ISNUMBER(MATCH(K290,QUOC_GIA!$B:$B,0)),INDEX(QUOC_GIA!$A:$A,MATCH(K290,QUOC_GIA!$B:$B,0)),"")</f>
        <v/>
      </c>
      <c r="K290" s="50"/>
      <c r="L290" s="15"/>
      <c r="M290" s="58" t="str">
        <f>IF(ISNUMBER(MATCH(N290,LOAI_THUE!$B:$B,0)),INDEX(LOAI_THUE!$A:$A,MATCH(N290,LOAI_THUE!$B:$B,0)),"")</f>
        <v/>
      </c>
      <c r="N290" s="50"/>
      <c r="O290" s="58" t="str">
        <f>IF(ISNUMBER(MATCH(P290,CHI_TIET_LOAI_KH!$B:$B,0)),INDEX(CHI_TIET_LOAI_KH!$A:$A,MATCH(P290,CHI_TIET_LOAI_KH!$B:$B,0)),"")</f>
        <v/>
      </c>
      <c r="P290" s="50"/>
      <c r="Q290" s="58" t="str">
        <f>IF(ISNUMBER(MATCH(R290,NGHE_NGHIEP!$B:$B,0)),INDEX(NGHE_NGHIEP!$A:$A,MATCH(R290,NGHE_NGHIEP!$B:$B,0)),"")</f>
        <v/>
      </c>
      <c r="R290" s="50"/>
      <c r="S290" s="58" t="str">
        <f>IF(ISNUMBER(MATCH(T290,LOAI_ID!$B:$B,0)),INDEX(LOAI_ID!$A:$A,MATCH(T290,LOAI_ID!$B:$B,0)),"")</f>
        <v/>
      </c>
      <c r="T290" s="16"/>
      <c r="U290" s="48"/>
      <c r="V290" s="48"/>
      <c r="W290" s="17"/>
      <c r="X290" s="17"/>
      <c r="Y290" s="15"/>
      <c r="Z290" s="15"/>
      <c r="AA290" s="59" t="str">
        <f>IFERROR(INDEX(NOI_CAP!$B:$B,MATCH(Z290,NOI_CAP!$A:$A,0)),"")</f>
        <v/>
      </c>
      <c r="AB290" s="58" t="str">
        <f>IF(ISNUMBER(MATCH(AC290,LOAI_DIA_CHI!$B:$B,0)),INDEX(LOAI_DIA_CHI!$A:$A,MATCH(AC290,LOAI_DIA_CHI!$B:$B,0)),"")</f>
        <v/>
      </c>
      <c r="AC290" s="16"/>
      <c r="AD290" s="58" t="str">
        <f>IF(ISNUMBER(MATCH(AE290,QUOC_GIA!$B:$B,0)),INDEX(QUOC_GIA!$A:$A,MATCH(AE290,QUOC_GIA!$B:$B,0)),"")</f>
        <v/>
      </c>
      <c r="AE290" s="16"/>
      <c r="AF290" s="48"/>
      <c r="AG290" s="59" t="str">
        <f>IFERROR(INDEX(TINH_TP!$B:$B,MATCH(AF290,TINH_TP!$A:$A,0)),"")</f>
        <v/>
      </c>
      <c r="AH290" s="50"/>
      <c r="AI290" s="59" t="str">
        <f>IF(OR(AF290="",AH290=""),"",IF(COUNTIFS(PHUONG_XA!$A$2:$A$3323,AH290,PHUONG_XA!$C$2:$C$3323,AF290)=0,"",INDEX(PHUONG_XA!$B$2:$B$3323,SUMPRODUCT((PHUONG_XA!$A$2:$A$3323&amp;""=AH290&amp;"")*(PHUONG_XA!$C$2:$C$3323&amp;""=AF290&amp;"")*(ROW(PHUONG_XA!$A$2:$A$3323)-ROW(PHUONG_XA!$A$2)+1)))))</f>
        <v/>
      </c>
      <c r="AJ290" s="14"/>
      <c r="AK290" s="14"/>
      <c r="AL290" s="57" t="str">
        <f t="shared" si="5"/>
        <v/>
      </c>
      <c r="AM290" s="14"/>
      <c r="AN290" s="15"/>
      <c r="AO290" s="15"/>
      <c r="AP290" s="48"/>
      <c r="AQ290" s="15"/>
      <c r="AR290" s="15"/>
      <c r="AS290" s="15"/>
      <c r="AT290" s="60" t="str">
        <f>IF(ISNUMBER(MATCH(AU290,LOAI_THE!$B:$B,0)),INDEX(LOAI_THE!$A:$A,MATCH(AU290,LOAI_THE!$B:$B,0)),"")</f>
        <v/>
      </c>
      <c r="AU290" s="48"/>
      <c r="AV290" s="15"/>
      <c r="AW290" s="15"/>
      <c r="AX290" s="15"/>
      <c r="AY290" s="48"/>
    </row>
    <row r="291" spans="1:51" x14ac:dyDescent="0.3">
      <c r="A291" s="13" t="s">
        <v>632</v>
      </c>
      <c r="B291" s="48"/>
      <c r="C291" s="48"/>
      <c r="D291" s="48"/>
      <c r="E291" s="48"/>
      <c r="F291" s="48"/>
      <c r="G291" s="58" t="str">
        <f>IF(ISNUMBER(MATCH(H291,GIOI_TINH!$B:$B,0)),INDEX(GIOI_TINH!$A:$A,MATCH(H291,GIOI_TINH!$B:$B,0)),"")</f>
        <v/>
      </c>
      <c r="H291" s="15"/>
      <c r="I291" s="15"/>
      <c r="J291" s="58" t="str">
        <f>IF(ISNUMBER(MATCH(K291,QUOC_GIA!$B:$B,0)),INDEX(QUOC_GIA!$A:$A,MATCH(K291,QUOC_GIA!$B:$B,0)),"")</f>
        <v/>
      </c>
      <c r="K291" s="50"/>
      <c r="L291" s="15"/>
      <c r="M291" s="58" t="str">
        <f>IF(ISNUMBER(MATCH(N291,LOAI_THUE!$B:$B,0)),INDEX(LOAI_THUE!$A:$A,MATCH(N291,LOAI_THUE!$B:$B,0)),"")</f>
        <v/>
      </c>
      <c r="N291" s="50"/>
      <c r="O291" s="58" t="str">
        <f>IF(ISNUMBER(MATCH(P291,CHI_TIET_LOAI_KH!$B:$B,0)),INDEX(CHI_TIET_LOAI_KH!$A:$A,MATCH(P291,CHI_TIET_LOAI_KH!$B:$B,0)),"")</f>
        <v/>
      </c>
      <c r="P291" s="50"/>
      <c r="Q291" s="58" t="str">
        <f>IF(ISNUMBER(MATCH(R291,NGHE_NGHIEP!$B:$B,0)),INDEX(NGHE_NGHIEP!$A:$A,MATCH(R291,NGHE_NGHIEP!$B:$B,0)),"")</f>
        <v/>
      </c>
      <c r="R291" s="50"/>
      <c r="S291" s="58" t="str">
        <f>IF(ISNUMBER(MATCH(T291,LOAI_ID!$B:$B,0)),INDEX(LOAI_ID!$A:$A,MATCH(T291,LOAI_ID!$B:$B,0)),"")</f>
        <v/>
      </c>
      <c r="T291" s="16"/>
      <c r="U291" s="48"/>
      <c r="V291" s="48"/>
      <c r="W291" s="17"/>
      <c r="X291" s="17"/>
      <c r="Y291" s="15"/>
      <c r="Z291" s="15"/>
      <c r="AA291" s="59" t="str">
        <f>IFERROR(INDEX(NOI_CAP!$B:$B,MATCH(Z291,NOI_CAP!$A:$A,0)),"")</f>
        <v/>
      </c>
      <c r="AB291" s="58" t="str">
        <f>IF(ISNUMBER(MATCH(AC291,LOAI_DIA_CHI!$B:$B,0)),INDEX(LOAI_DIA_CHI!$A:$A,MATCH(AC291,LOAI_DIA_CHI!$B:$B,0)),"")</f>
        <v/>
      </c>
      <c r="AC291" s="16"/>
      <c r="AD291" s="58" t="str">
        <f>IF(ISNUMBER(MATCH(AE291,QUOC_GIA!$B:$B,0)),INDEX(QUOC_GIA!$A:$A,MATCH(AE291,QUOC_GIA!$B:$B,0)),"")</f>
        <v/>
      </c>
      <c r="AE291" s="16"/>
      <c r="AF291" s="48"/>
      <c r="AG291" s="59" t="str">
        <f>IFERROR(INDEX(TINH_TP!$B:$B,MATCH(AF291,TINH_TP!$A:$A,0)),"")</f>
        <v/>
      </c>
      <c r="AH291" s="50"/>
      <c r="AI291" s="59" t="str">
        <f>IF(OR(AF291="",AH291=""),"",IF(COUNTIFS(PHUONG_XA!$A$2:$A$3323,AH291,PHUONG_XA!$C$2:$C$3323,AF291)=0,"",INDEX(PHUONG_XA!$B$2:$B$3323,SUMPRODUCT((PHUONG_XA!$A$2:$A$3323&amp;""=AH291&amp;"")*(PHUONG_XA!$C$2:$C$3323&amp;""=AF291&amp;"")*(ROW(PHUONG_XA!$A$2:$A$3323)-ROW(PHUONG_XA!$A$2)+1)))))</f>
        <v/>
      </c>
      <c r="AJ291" s="14"/>
      <c r="AK291" s="14"/>
      <c r="AL291" s="57" t="str">
        <f t="shared" si="5"/>
        <v/>
      </c>
      <c r="AM291" s="14"/>
      <c r="AN291" s="15"/>
      <c r="AO291" s="15"/>
      <c r="AP291" s="48"/>
      <c r="AQ291" s="15"/>
      <c r="AR291" s="15"/>
      <c r="AS291" s="15"/>
      <c r="AT291" s="60" t="str">
        <f>IF(ISNUMBER(MATCH(AU291,LOAI_THE!$B:$B,0)),INDEX(LOAI_THE!$A:$A,MATCH(AU291,LOAI_THE!$B:$B,0)),"")</f>
        <v/>
      </c>
      <c r="AU291" s="48"/>
      <c r="AV291" s="15"/>
      <c r="AW291" s="15"/>
      <c r="AX291" s="15"/>
      <c r="AY291" s="48"/>
    </row>
    <row r="292" spans="1:51" x14ac:dyDescent="0.3">
      <c r="A292" s="13" t="s">
        <v>634</v>
      </c>
      <c r="B292" s="48"/>
      <c r="C292" s="48"/>
      <c r="D292" s="48"/>
      <c r="E292" s="48"/>
      <c r="F292" s="48"/>
      <c r="G292" s="58" t="str">
        <f>IF(ISNUMBER(MATCH(H292,GIOI_TINH!$B:$B,0)),INDEX(GIOI_TINH!$A:$A,MATCH(H292,GIOI_TINH!$B:$B,0)),"")</f>
        <v/>
      </c>
      <c r="H292" s="15"/>
      <c r="I292" s="15"/>
      <c r="J292" s="58" t="str">
        <f>IF(ISNUMBER(MATCH(K292,QUOC_GIA!$B:$B,0)),INDEX(QUOC_GIA!$A:$A,MATCH(K292,QUOC_GIA!$B:$B,0)),"")</f>
        <v/>
      </c>
      <c r="K292" s="50"/>
      <c r="L292" s="15"/>
      <c r="M292" s="58" t="str">
        <f>IF(ISNUMBER(MATCH(N292,LOAI_THUE!$B:$B,0)),INDEX(LOAI_THUE!$A:$A,MATCH(N292,LOAI_THUE!$B:$B,0)),"")</f>
        <v/>
      </c>
      <c r="N292" s="50"/>
      <c r="O292" s="58" t="str">
        <f>IF(ISNUMBER(MATCH(P292,CHI_TIET_LOAI_KH!$B:$B,0)),INDEX(CHI_TIET_LOAI_KH!$A:$A,MATCH(P292,CHI_TIET_LOAI_KH!$B:$B,0)),"")</f>
        <v/>
      </c>
      <c r="P292" s="50"/>
      <c r="Q292" s="58" t="str">
        <f>IF(ISNUMBER(MATCH(R292,NGHE_NGHIEP!$B:$B,0)),INDEX(NGHE_NGHIEP!$A:$A,MATCH(R292,NGHE_NGHIEP!$B:$B,0)),"")</f>
        <v/>
      </c>
      <c r="R292" s="50"/>
      <c r="S292" s="58" t="str">
        <f>IF(ISNUMBER(MATCH(T292,LOAI_ID!$B:$B,0)),INDEX(LOAI_ID!$A:$A,MATCH(T292,LOAI_ID!$B:$B,0)),"")</f>
        <v/>
      </c>
      <c r="T292" s="16"/>
      <c r="U292" s="48"/>
      <c r="V292" s="48"/>
      <c r="W292" s="17"/>
      <c r="X292" s="17"/>
      <c r="Y292" s="15"/>
      <c r="Z292" s="15"/>
      <c r="AA292" s="59" t="str">
        <f>IFERROR(INDEX(NOI_CAP!$B:$B,MATCH(Z292,NOI_CAP!$A:$A,0)),"")</f>
        <v/>
      </c>
      <c r="AB292" s="58" t="str">
        <f>IF(ISNUMBER(MATCH(AC292,LOAI_DIA_CHI!$B:$B,0)),INDEX(LOAI_DIA_CHI!$A:$A,MATCH(AC292,LOAI_DIA_CHI!$B:$B,0)),"")</f>
        <v/>
      </c>
      <c r="AC292" s="16"/>
      <c r="AD292" s="58" t="str">
        <f>IF(ISNUMBER(MATCH(AE292,QUOC_GIA!$B:$B,0)),INDEX(QUOC_GIA!$A:$A,MATCH(AE292,QUOC_GIA!$B:$B,0)),"")</f>
        <v/>
      </c>
      <c r="AE292" s="16"/>
      <c r="AF292" s="48"/>
      <c r="AG292" s="59" t="str">
        <f>IFERROR(INDEX(TINH_TP!$B:$B,MATCH(AF292,TINH_TP!$A:$A,0)),"")</f>
        <v/>
      </c>
      <c r="AH292" s="50"/>
      <c r="AI292" s="59" t="str">
        <f>IF(OR(AF292="",AH292=""),"",IF(COUNTIFS(PHUONG_XA!$A$2:$A$3323,AH292,PHUONG_XA!$C$2:$C$3323,AF292)=0,"",INDEX(PHUONG_XA!$B$2:$B$3323,SUMPRODUCT((PHUONG_XA!$A$2:$A$3323&amp;""=AH292&amp;"")*(PHUONG_XA!$C$2:$C$3323&amp;""=AF292&amp;"")*(ROW(PHUONG_XA!$A$2:$A$3323)-ROW(PHUONG_XA!$A$2)+1)))))</f>
        <v/>
      </c>
      <c r="AJ292" s="14"/>
      <c r="AK292" s="14"/>
      <c r="AL292" s="57" t="str">
        <f t="shared" si="5"/>
        <v/>
      </c>
      <c r="AM292" s="14"/>
      <c r="AN292" s="15"/>
      <c r="AO292" s="15"/>
      <c r="AP292" s="48"/>
      <c r="AQ292" s="15"/>
      <c r="AR292" s="15"/>
      <c r="AS292" s="15"/>
      <c r="AT292" s="60" t="str">
        <f>IF(ISNUMBER(MATCH(AU292,LOAI_THE!$B:$B,0)),INDEX(LOAI_THE!$A:$A,MATCH(AU292,LOAI_THE!$B:$B,0)),"")</f>
        <v/>
      </c>
      <c r="AU292" s="48"/>
      <c r="AV292" s="15"/>
      <c r="AW292" s="15"/>
      <c r="AX292" s="15"/>
      <c r="AY292" s="48"/>
    </row>
    <row r="293" spans="1:51" x14ac:dyDescent="0.3">
      <c r="A293" s="13" t="s">
        <v>636</v>
      </c>
      <c r="B293" s="48"/>
      <c r="C293" s="48"/>
      <c r="D293" s="48"/>
      <c r="E293" s="48"/>
      <c r="F293" s="48"/>
      <c r="G293" s="58" t="str">
        <f>IF(ISNUMBER(MATCH(H293,GIOI_TINH!$B:$B,0)),INDEX(GIOI_TINH!$A:$A,MATCH(H293,GIOI_TINH!$B:$B,0)),"")</f>
        <v/>
      </c>
      <c r="H293" s="15"/>
      <c r="I293" s="15"/>
      <c r="J293" s="58" t="str">
        <f>IF(ISNUMBER(MATCH(K293,QUOC_GIA!$B:$B,0)),INDEX(QUOC_GIA!$A:$A,MATCH(K293,QUOC_GIA!$B:$B,0)),"")</f>
        <v/>
      </c>
      <c r="K293" s="50"/>
      <c r="L293" s="15"/>
      <c r="M293" s="58" t="str">
        <f>IF(ISNUMBER(MATCH(N293,LOAI_THUE!$B:$B,0)),INDEX(LOAI_THUE!$A:$A,MATCH(N293,LOAI_THUE!$B:$B,0)),"")</f>
        <v/>
      </c>
      <c r="N293" s="50"/>
      <c r="O293" s="58" t="str">
        <f>IF(ISNUMBER(MATCH(P293,CHI_TIET_LOAI_KH!$B:$B,0)),INDEX(CHI_TIET_LOAI_KH!$A:$A,MATCH(P293,CHI_TIET_LOAI_KH!$B:$B,0)),"")</f>
        <v/>
      </c>
      <c r="P293" s="50"/>
      <c r="Q293" s="58" t="str">
        <f>IF(ISNUMBER(MATCH(R293,NGHE_NGHIEP!$B:$B,0)),INDEX(NGHE_NGHIEP!$A:$A,MATCH(R293,NGHE_NGHIEP!$B:$B,0)),"")</f>
        <v/>
      </c>
      <c r="R293" s="50"/>
      <c r="S293" s="58" t="str">
        <f>IF(ISNUMBER(MATCH(T293,LOAI_ID!$B:$B,0)),INDEX(LOAI_ID!$A:$A,MATCH(T293,LOAI_ID!$B:$B,0)),"")</f>
        <v/>
      </c>
      <c r="T293" s="16"/>
      <c r="U293" s="48"/>
      <c r="V293" s="48"/>
      <c r="W293" s="17"/>
      <c r="X293" s="17"/>
      <c r="Y293" s="15"/>
      <c r="Z293" s="15"/>
      <c r="AA293" s="59" t="str">
        <f>IFERROR(INDEX(NOI_CAP!$B:$B,MATCH(Z293,NOI_CAP!$A:$A,0)),"")</f>
        <v/>
      </c>
      <c r="AB293" s="58" t="str">
        <f>IF(ISNUMBER(MATCH(AC293,LOAI_DIA_CHI!$B:$B,0)),INDEX(LOAI_DIA_CHI!$A:$A,MATCH(AC293,LOAI_DIA_CHI!$B:$B,0)),"")</f>
        <v/>
      </c>
      <c r="AC293" s="16"/>
      <c r="AD293" s="58" t="str">
        <f>IF(ISNUMBER(MATCH(AE293,QUOC_GIA!$B:$B,0)),INDEX(QUOC_GIA!$A:$A,MATCH(AE293,QUOC_GIA!$B:$B,0)),"")</f>
        <v/>
      </c>
      <c r="AE293" s="16"/>
      <c r="AF293" s="48"/>
      <c r="AG293" s="59" t="str">
        <f>IFERROR(INDEX(TINH_TP!$B:$B,MATCH(AF293,TINH_TP!$A:$A,0)),"")</f>
        <v/>
      </c>
      <c r="AH293" s="50"/>
      <c r="AI293" s="59" t="str">
        <f>IF(OR(AF293="",AH293=""),"",IF(COUNTIFS(PHUONG_XA!$A$2:$A$3323,AH293,PHUONG_XA!$C$2:$C$3323,AF293)=0,"",INDEX(PHUONG_XA!$B$2:$B$3323,SUMPRODUCT((PHUONG_XA!$A$2:$A$3323&amp;""=AH293&amp;"")*(PHUONG_XA!$C$2:$C$3323&amp;""=AF293&amp;"")*(ROW(PHUONG_XA!$A$2:$A$3323)-ROW(PHUONG_XA!$A$2)+1)))))</f>
        <v/>
      </c>
      <c r="AJ293" s="14"/>
      <c r="AK293" s="14"/>
      <c r="AL293" s="57" t="str">
        <f t="shared" si="5"/>
        <v/>
      </c>
      <c r="AM293" s="14"/>
      <c r="AN293" s="15"/>
      <c r="AO293" s="15"/>
      <c r="AP293" s="48"/>
      <c r="AQ293" s="15"/>
      <c r="AR293" s="15"/>
      <c r="AS293" s="15"/>
      <c r="AT293" s="60" t="str">
        <f>IF(ISNUMBER(MATCH(AU293,LOAI_THE!$B:$B,0)),INDEX(LOAI_THE!$A:$A,MATCH(AU293,LOAI_THE!$B:$B,0)),"")</f>
        <v/>
      </c>
      <c r="AU293" s="48"/>
      <c r="AV293" s="15"/>
      <c r="AW293" s="15"/>
      <c r="AX293" s="15"/>
      <c r="AY293" s="48"/>
    </row>
    <row r="294" spans="1:51" x14ac:dyDescent="0.3">
      <c r="A294" s="13" t="s">
        <v>638</v>
      </c>
      <c r="B294" s="48"/>
      <c r="C294" s="48"/>
      <c r="D294" s="48"/>
      <c r="E294" s="48"/>
      <c r="F294" s="48"/>
      <c r="G294" s="58" t="str">
        <f>IF(ISNUMBER(MATCH(H294,GIOI_TINH!$B:$B,0)),INDEX(GIOI_TINH!$A:$A,MATCH(H294,GIOI_TINH!$B:$B,0)),"")</f>
        <v/>
      </c>
      <c r="H294" s="15"/>
      <c r="I294" s="15"/>
      <c r="J294" s="58" t="str">
        <f>IF(ISNUMBER(MATCH(K294,QUOC_GIA!$B:$B,0)),INDEX(QUOC_GIA!$A:$A,MATCH(K294,QUOC_GIA!$B:$B,0)),"")</f>
        <v/>
      </c>
      <c r="K294" s="50"/>
      <c r="L294" s="15"/>
      <c r="M294" s="58" t="str">
        <f>IF(ISNUMBER(MATCH(N294,LOAI_THUE!$B:$B,0)),INDEX(LOAI_THUE!$A:$A,MATCH(N294,LOAI_THUE!$B:$B,0)),"")</f>
        <v/>
      </c>
      <c r="N294" s="50"/>
      <c r="O294" s="58" t="str">
        <f>IF(ISNUMBER(MATCH(P294,CHI_TIET_LOAI_KH!$B:$B,0)),INDEX(CHI_TIET_LOAI_KH!$A:$A,MATCH(P294,CHI_TIET_LOAI_KH!$B:$B,0)),"")</f>
        <v/>
      </c>
      <c r="P294" s="50"/>
      <c r="Q294" s="58" t="str">
        <f>IF(ISNUMBER(MATCH(R294,NGHE_NGHIEP!$B:$B,0)),INDEX(NGHE_NGHIEP!$A:$A,MATCH(R294,NGHE_NGHIEP!$B:$B,0)),"")</f>
        <v/>
      </c>
      <c r="R294" s="50"/>
      <c r="S294" s="58" t="str">
        <f>IF(ISNUMBER(MATCH(T294,LOAI_ID!$B:$B,0)),INDEX(LOAI_ID!$A:$A,MATCH(T294,LOAI_ID!$B:$B,0)),"")</f>
        <v/>
      </c>
      <c r="T294" s="16"/>
      <c r="U294" s="48"/>
      <c r="V294" s="48"/>
      <c r="W294" s="17"/>
      <c r="X294" s="17"/>
      <c r="Y294" s="15"/>
      <c r="Z294" s="15"/>
      <c r="AA294" s="59" t="str">
        <f>IFERROR(INDEX(NOI_CAP!$B:$B,MATCH(Z294,NOI_CAP!$A:$A,0)),"")</f>
        <v/>
      </c>
      <c r="AB294" s="58" t="str">
        <f>IF(ISNUMBER(MATCH(AC294,LOAI_DIA_CHI!$B:$B,0)),INDEX(LOAI_DIA_CHI!$A:$A,MATCH(AC294,LOAI_DIA_CHI!$B:$B,0)),"")</f>
        <v/>
      </c>
      <c r="AC294" s="16"/>
      <c r="AD294" s="58" t="str">
        <f>IF(ISNUMBER(MATCH(AE294,QUOC_GIA!$B:$B,0)),INDEX(QUOC_GIA!$A:$A,MATCH(AE294,QUOC_GIA!$B:$B,0)),"")</f>
        <v/>
      </c>
      <c r="AE294" s="16"/>
      <c r="AF294" s="48"/>
      <c r="AG294" s="59" t="str">
        <f>IFERROR(INDEX(TINH_TP!$B:$B,MATCH(AF294,TINH_TP!$A:$A,0)),"")</f>
        <v/>
      </c>
      <c r="AH294" s="50"/>
      <c r="AI294" s="59" t="str">
        <f>IF(OR(AF294="",AH294=""),"",IF(COUNTIFS(PHUONG_XA!$A$2:$A$3323,AH294,PHUONG_XA!$C$2:$C$3323,AF294)=0,"",INDEX(PHUONG_XA!$B$2:$B$3323,SUMPRODUCT((PHUONG_XA!$A$2:$A$3323&amp;""=AH294&amp;"")*(PHUONG_XA!$C$2:$C$3323&amp;""=AF294&amp;"")*(ROW(PHUONG_XA!$A$2:$A$3323)-ROW(PHUONG_XA!$A$2)+1)))))</f>
        <v/>
      </c>
      <c r="AJ294" s="14"/>
      <c r="AK294" s="14"/>
      <c r="AL294" s="57" t="str">
        <f t="shared" si="5"/>
        <v/>
      </c>
      <c r="AM294" s="14"/>
      <c r="AN294" s="15"/>
      <c r="AO294" s="15"/>
      <c r="AP294" s="48"/>
      <c r="AQ294" s="15"/>
      <c r="AR294" s="15"/>
      <c r="AS294" s="15"/>
      <c r="AT294" s="60" t="str">
        <f>IF(ISNUMBER(MATCH(AU294,LOAI_THE!$B:$B,0)),INDEX(LOAI_THE!$A:$A,MATCH(AU294,LOAI_THE!$B:$B,0)),"")</f>
        <v/>
      </c>
      <c r="AU294" s="48"/>
      <c r="AV294" s="15"/>
      <c r="AW294" s="15"/>
      <c r="AX294" s="15"/>
      <c r="AY294" s="48"/>
    </row>
    <row r="295" spans="1:51" x14ac:dyDescent="0.3">
      <c r="A295" s="13" t="s">
        <v>640</v>
      </c>
      <c r="B295" s="48"/>
      <c r="C295" s="48"/>
      <c r="D295" s="48"/>
      <c r="E295" s="48"/>
      <c r="F295" s="48"/>
      <c r="G295" s="58" t="str">
        <f>IF(ISNUMBER(MATCH(H295,GIOI_TINH!$B:$B,0)),INDEX(GIOI_TINH!$A:$A,MATCH(H295,GIOI_TINH!$B:$B,0)),"")</f>
        <v/>
      </c>
      <c r="H295" s="15"/>
      <c r="I295" s="15"/>
      <c r="J295" s="58" t="str">
        <f>IF(ISNUMBER(MATCH(K295,QUOC_GIA!$B:$B,0)),INDEX(QUOC_GIA!$A:$A,MATCH(K295,QUOC_GIA!$B:$B,0)),"")</f>
        <v/>
      </c>
      <c r="K295" s="50"/>
      <c r="L295" s="15"/>
      <c r="M295" s="58" t="str">
        <f>IF(ISNUMBER(MATCH(N295,LOAI_THUE!$B:$B,0)),INDEX(LOAI_THUE!$A:$A,MATCH(N295,LOAI_THUE!$B:$B,0)),"")</f>
        <v/>
      </c>
      <c r="N295" s="50"/>
      <c r="O295" s="58" t="str">
        <f>IF(ISNUMBER(MATCH(P295,CHI_TIET_LOAI_KH!$B:$B,0)),INDEX(CHI_TIET_LOAI_KH!$A:$A,MATCH(P295,CHI_TIET_LOAI_KH!$B:$B,0)),"")</f>
        <v/>
      </c>
      <c r="P295" s="50"/>
      <c r="Q295" s="58" t="str">
        <f>IF(ISNUMBER(MATCH(R295,NGHE_NGHIEP!$B:$B,0)),INDEX(NGHE_NGHIEP!$A:$A,MATCH(R295,NGHE_NGHIEP!$B:$B,0)),"")</f>
        <v/>
      </c>
      <c r="R295" s="50"/>
      <c r="S295" s="58" t="str">
        <f>IF(ISNUMBER(MATCH(T295,LOAI_ID!$B:$B,0)),INDEX(LOAI_ID!$A:$A,MATCH(T295,LOAI_ID!$B:$B,0)),"")</f>
        <v/>
      </c>
      <c r="T295" s="16"/>
      <c r="U295" s="48"/>
      <c r="V295" s="48"/>
      <c r="W295" s="17"/>
      <c r="X295" s="17"/>
      <c r="Y295" s="15"/>
      <c r="Z295" s="15"/>
      <c r="AA295" s="59" t="str">
        <f>IFERROR(INDEX(NOI_CAP!$B:$B,MATCH(Z295,NOI_CAP!$A:$A,0)),"")</f>
        <v/>
      </c>
      <c r="AB295" s="58" t="str">
        <f>IF(ISNUMBER(MATCH(AC295,LOAI_DIA_CHI!$B:$B,0)),INDEX(LOAI_DIA_CHI!$A:$A,MATCH(AC295,LOAI_DIA_CHI!$B:$B,0)),"")</f>
        <v/>
      </c>
      <c r="AC295" s="16"/>
      <c r="AD295" s="58" t="str">
        <f>IF(ISNUMBER(MATCH(AE295,QUOC_GIA!$B:$B,0)),INDEX(QUOC_GIA!$A:$A,MATCH(AE295,QUOC_GIA!$B:$B,0)),"")</f>
        <v/>
      </c>
      <c r="AE295" s="16"/>
      <c r="AF295" s="48"/>
      <c r="AG295" s="59" t="str">
        <f>IFERROR(INDEX(TINH_TP!$B:$B,MATCH(AF295,TINH_TP!$A:$A,0)),"")</f>
        <v/>
      </c>
      <c r="AH295" s="50"/>
      <c r="AI295" s="59" t="str">
        <f>IF(OR(AF295="",AH295=""),"",IF(COUNTIFS(PHUONG_XA!$A$2:$A$3323,AH295,PHUONG_XA!$C$2:$C$3323,AF295)=0,"",INDEX(PHUONG_XA!$B$2:$B$3323,SUMPRODUCT((PHUONG_XA!$A$2:$A$3323&amp;""=AH295&amp;"")*(PHUONG_XA!$C$2:$C$3323&amp;""=AF295&amp;"")*(ROW(PHUONG_XA!$A$2:$A$3323)-ROW(PHUONG_XA!$A$2)+1)))))</f>
        <v/>
      </c>
      <c r="AJ295" s="14"/>
      <c r="AK295" s="14"/>
      <c r="AL295" s="57" t="str">
        <f t="shared" si="5"/>
        <v/>
      </c>
      <c r="AM295" s="14"/>
      <c r="AN295" s="15"/>
      <c r="AO295" s="15"/>
      <c r="AP295" s="48"/>
      <c r="AQ295" s="15"/>
      <c r="AR295" s="15"/>
      <c r="AS295" s="15"/>
      <c r="AT295" s="60" t="str">
        <f>IF(ISNUMBER(MATCH(AU295,LOAI_THE!$B:$B,0)),INDEX(LOAI_THE!$A:$A,MATCH(AU295,LOAI_THE!$B:$B,0)),"")</f>
        <v/>
      </c>
      <c r="AU295" s="48"/>
      <c r="AV295" s="15"/>
      <c r="AW295" s="15"/>
      <c r="AX295" s="15"/>
      <c r="AY295" s="48"/>
    </row>
    <row r="296" spans="1:51" x14ac:dyDescent="0.3">
      <c r="A296" s="13" t="s">
        <v>642</v>
      </c>
      <c r="B296" s="48"/>
      <c r="C296" s="48"/>
      <c r="D296" s="48"/>
      <c r="E296" s="48"/>
      <c r="F296" s="48"/>
      <c r="G296" s="58" t="str">
        <f>IF(ISNUMBER(MATCH(H296,GIOI_TINH!$B:$B,0)),INDEX(GIOI_TINH!$A:$A,MATCH(H296,GIOI_TINH!$B:$B,0)),"")</f>
        <v/>
      </c>
      <c r="H296" s="15"/>
      <c r="I296" s="15"/>
      <c r="J296" s="58" t="str">
        <f>IF(ISNUMBER(MATCH(K296,QUOC_GIA!$B:$B,0)),INDEX(QUOC_GIA!$A:$A,MATCH(K296,QUOC_GIA!$B:$B,0)),"")</f>
        <v/>
      </c>
      <c r="K296" s="50"/>
      <c r="L296" s="15"/>
      <c r="M296" s="58" t="str">
        <f>IF(ISNUMBER(MATCH(N296,LOAI_THUE!$B:$B,0)),INDEX(LOAI_THUE!$A:$A,MATCH(N296,LOAI_THUE!$B:$B,0)),"")</f>
        <v/>
      </c>
      <c r="N296" s="50"/>
      <c r="O296" s="58" t="str">
        <f>IF(ISNUMBER(MATCH(P296,CHI_TIET_LOAI_KH!$B:$B,0)),INDEX(CHI_TIET_LOAI_KH!$A:$A,MATCH(P296,CHI_TIET_LOAI_KH!$B:$B,0)),"")</f>
        <v/>
      </c>
      <c r="P296" s="50"/>
      <c r="Q296" s="58" t="str">
        <f>IF(ISNUMBER(MATCH(R296,NGHE_NGHIEP!$B:$B,0)),INDEX(NGHE_NGHIEP!$A:$A,MATCH(R296,NGHE_NGHIEP!$B:$B,0)),"")</f>
        <v/>
      </c>
      <c r="R296" s="50"/>
      <c r="S296" s="58" t="str">
        <f>IF(ISNUMBER(MATCH(T296,LOAI_ID!$B:$B,0)),INDEX(LOAI_ID!$A:$A,MATCH(T296,LOAI_ID!$B:$B,0)),"")</f>
        <v/>
      </c>
      <c r="T296" s="16"/>
      <c r="U296" s="48"/>
      <c r="V296" s="48"/>
      <c r="W296" s="17"/>
      <c r="X296" s="17"/>
      <c r="Y296" s="15"/>
      <c r="Z296" s="15"/>
      <c r="AA296" s="59" t="str">
        <f>IFERROR(INDEX(NOI_CAP!$B:$B,MATCH(Z296,NOI_CAP!$A:$A,0)),"")</f>
        <v/>
      </c>
      <c r="AB296" s="58" t="str">
        <f>IF(ISNUMBER(MATCH(AC296,LOAI_DIA_CHI!$B:$B,0)),INDEX(LOAI_DIA_CHI!$A:$A,MATCH(AC296,LOAI_DIA_CHI!$B:$B,0)),"")</f>
        <v/>
      </c>
      <c r="AC296" s="16"/>
      <c r="AD296" s="58" t="str">
        <f>IF(ISNUMBER(MATCH(AE296,QUOC_GIA!$B:$B,0)),INDEX(QUOC_GIA!$A:$A,MATCH(AE296,QUOC_GIA!$B:$B,0)),"")</f>
        <v/>
      </c>
      <c r="AE296" s="16"/>
      <c r="AF296" s="48"/>
      <c r="AG296" s="59" t="str">
        <f>IFERROR(INDEX(TINH_TP!$B:$B,MATCH(AF296,TINH_TP!$A:$A,0)),"")</f>
        <v/>
      </c>
      <c r="AH296" s="50"/>
      <c r="AI296" s="59" t="str">
        <f>IF(OR(AF296="",AH296=""),"",IF(COUNTIFS(PHUONG_XA!$A$2:$A$3323,AH296,PHUONG_XA!$C$2:$C$3323,AF296)=0,"",INDEX(PHUONG_XA!$B$2:$B$3323,SUMPRODUCT((PHUONG_XA!$A$2:$A$3323&amp;""=AH296&amp;"")*(PHUONG_XA!$C$2:$C$3323&amp;""=AF296&amp;"")*(ROW(PHUONG_XA!$A$2:$A$3323)-ROW(PHUONG_XA!$A$2)+1)))))</f>
        <v/>
      </c>
      <c r="AJ296" s="14"/>
      <c r="AK296" s="14"/>
      <c r="AL296" s="57" t="str">
        <f t="shared" si="5"/>
        <v/>
      </c>
      <c r="AM296" s="14"/>
      <c r="AN296" s="15"/>
      <c r="AO296" s="15"/>
      <c r="AP296" s="48"/>
      <c r="AQ296" s="15"/>
      <c r="AR296" s="15"/>
      <c r="AS296" s="15"/>
      <c r="AT296" s="60" t="str">
        <f>IF(ISNUMBER(MATCH(AU296,LOAI_THE!$B:$B,0)),INDEX(LOAI_THE!$A:$A,MATCH(AU296,LOAI_THE!$B:$B,0)),"")</f>
        <v/>
      </c>
      <c r="AU296" s="48"/>
      <c r="AV296" s="15"/>
      <c r="AW296" s="15"/>
      <c r="AX296" s="15"/>
      <c r="AY296" s="48"/>
    </row>
    <row r="297" spans="1:51" x14ac:dyDescent="0.3">
      <c r="A297" s="13" t="s">
        <v>644</v>
      </c>
      <c r="B297" s="48"/>
      <c r="C297" s="48"/>
      <c r="D297" s="48"/>
      <c r="E297" s="48"/>
      <c r="F297" s="48"/>
      <c r="G297" s="58" t="str">
        <f>IF(ISNUMBER(MATCH(H297,GIOI_TINH!$B:$B,0)),INDEX(GIOI_TINH!$A:$A,MATCH(H297,GIOI_TINH!$B:$B,0)),"")</f>
        <v/>
      </c>
      <c r="H297" s="15"/>
      <c r="I297" s="15"/>
      <c r="J297" s="58" t="str">
        <f>IF(ISNUMBER(MATCH(K297,QUOC_GIA!$B:$B,0)),INDEX(QUOC_GIA!$A:$A,MATCH(K297,QUOC_GIA!$B:$B,0)),"")</f>
        <v/>
      </c>
      <c r="K297" s="50"/>
      <c r="L297" s="15"/>
      <c r="M297" s="58" t="str">
        <f>IF(ISNUMBER(MATCH(N297,LOAI_THUE!$B:$B,0)),INDEX(LOAI_THUE!$A:$A,MATCH(N297,LOAI_THUE!$B:$B,0)),"")</f>
        <v/>
      </c>
      <c r="N297" s="50"/>
      <c r="O297" s="58" t="str">
        <f>IF(ISNUMBER(MATCH(P297,CHI_TIET_LOAI_KH!$B:$B,0)),INDEX(CHI_TIET_LOAI_KH!$A:$A,MATCH(P297,CHI_TIET_LOAI_KH!$B:$B,0)),"")</f>
        <v/>
      </c>
      <c r="P297" s="50"/>
      <c r="Q297" s="58" t="str">
        <f>IF(ISNUMBER(MATCH(R297,NGHE_NGHIEP!$B:$B,0)),INDEX(NGHE_NGHIEP!$A:$A,MATCH(R297,NGHE_NGHIEP!$B:$B,0)),"")</f>
        <v/>
      </c>
      <c r="R297" s="50"/>
      <c r="S297" s="58" t="str">
        <f>IF(ISNUMBER(MATCH(T297,LOAI_ID!$B:$B,0)),INDEX(LOAI_ID!$A:$A,MATCH(T297,LOAI_ID!$B:$B,0)),"")</f>
        <v/>
      </c>
      <c r="T297" s="16"/>
      <c r="U297" s="48"/>
      <c r="V297" s="48"/>
      <c r="W297" s="17"/>
      <c r="X297" s="17"/>
      <c r="Y297" s="15"/>
      <c r="Z297" s="15"/>
      <c r="AA297" s="59" t="str">
        <f>IFERROR(INDEX(NOI_CAP!$B:$B,MATCH(Z297,NOI_CAP!$A:$A,0)),"")</f>
        <v/>
      </c>
      <c r="AB297" s="58" t="str">
        <f>IF(ISNUMBER(MATCH(AC297,LOAI_DIA_CHI!$B:$B,0)),INDEX(LOAI_DIA_CHI!$A:$A,MATCH(AC297,LOAI_DIA_CHI!$B:$B,0)),"")</f>
        <v/>
      </c>
      <c r="AC297" s="16"/>
      <c r="AD297" s="58" t="str">
        <f>IF(ISNUMBER(MATCH(AE297,QUOC_GIA!$B:$B,0)),INDEX(QUOC_GIA!$A:$A,MATCH(AE297,QUOC_GIA!$B:$B,0)),"")</f>
        <v/>
      </c>
      <c r="AE297" s="16"/>
      <c r="AF297" s="48"/>
      <c r="AG297" s="59" t="str">
        <f>IFERROR(INDEX(TINH_TP!$B:$B,MATCH(AF297,TINH_TP!$A:$A,0)),"")</f>
        <v/>
      </c>
      <c r="AH297" s="50"/>
      <c r="AI297" s="59" t="str">
        <f>IF(OR(AF297="",AH297=""),"",IF(COUNTIFS(PHUONG_XA!$A$2:$A$3323,AH297,PHUONG_XA!$C$2:$C$3323,AF297)=0,"",INDEX(PHUONG_XA!$B$2:$B$3323,SUMPRODUCT((PHUONG_XA!$A$2:$A$3323&amp;""=AH297&amp;"")*(PHUONG_XA!$C$2:$C$3323&amp;""=AF297&amp;"")*(ROW(PHUONG_XA!$A$2:$A$3323)-ROW(PHUONG_XA!$A$2)+1)))))</f>
        <v/>
      </c>
      <c r="AJ297" s="14"/>
      <c r="AK297" s="14"/>
      <c r="AL297" s="57" t="str">
        <f t="shared" si="5"/>
        <v/>
      </c>
      <c r="AM297" s="14"/>
      <c r="AN297" s="15"/>
      <c r="AO297" s="15"/>
      <c r="AP297" s="48"/>
      <c r="AQ297" s="15"/>
      <c r="AR297" s="15"/>
      <c r="AS297" s="15"/>
      <c r="AT297" s="60" t="str">
        <f>IF(ISNUMBER(MATCH(AU297,LOAI_THE!$B:$B,0)),INDEX(LOAI_THE!$A:$A,MATCH(AU297,LOAI_THE!$B:$B,0)),"")</f>
        <v/>
      </c>
      <c r="AU297" s="48"/>
      <c r="AV297" s="15"/>
      <c r="AW297" s="15"/>
      <c r="AX297" s="15"/>
      <c r="AY297" s="48"/>
    </row>
    <row r="298" spans="1:51" x14ac:dyDescent="0.3">
      <c r="A298" s="13" t="s">
        <v>646</v>
      </c>
      <c r="B298" s="48"/>
      <c r="C298" s="48"/>
      <c r="D298" s="48"/>
      <c r="E298" s="48"/>
      <c r="F298" s="48"/>
      <c r="G298" s="58" t="str">
        <f>IF(ISNUMBER(MATCH(H298,GIOI_TINH!$B:$B,0)),INDEX(GIOI_TINH!$A:$A,MATCH(H298,GIOI_TINH!$B:$B,0)),"")</f>
        <v/>
      </c>
      <c r="H298" s="15"/>
      <c r="I298" s="15"/>
      <c r="J298" s="58" t="str">
        <f>IF(ISNUMBER(MATCH(K298,QUOC_GIA!$B:$B,0)),INDEX(QUOC_GIA!$A:$A,MATCH(K298,QUOC_GIA!$B:$B,0)),"")</f>
        <v/>
      </c>
      <c r="K298" s="50"/>
      <c r="L298" s="15"/>
      <c r="M298" s="58" t="str">
        <f>IF(ISNUMBER(MATCH(N298,LOAI_THUE!$B:$B,0)),INDEX(LOAI_THUE!$A:$A,MATCH(N298,LOAI_THUE!$B:$B,0)),"")</f>
        <v/>
      </c>
      <c r="N298" s="50"/>
      <c r="O298" s="58" t="str">
        <f>IF(ISNUMBER(MATCH(P298,CHI_TIET_LOAI_KH!$B:$B,0)),INDEX(CHI_TIET_LOAI_KH!$A:$A,MATCH(P298,CHI_TIET_LOAI_KH!$B:$B,0)),"")</f>
        <v/>
      </c>
      <c r="P298" s="50"/>
      <c r="Q298" s="58" t="str">
        <f>IF(ISNUMBER(MATCH(R298,NGHE_NGHIEP!$B:$B,0)),INDEX(NGHE_NGHIEP!$A:$A,MATCH(R298,NGHE_NGHIEP!$B:$B,0)),"")</f>
        <v/>
      </c>
      <c r="R298" s="50"/>
      <c r="S298" s="58" t="str">
        <f>IF(ISNUMBER(MATCH(T298,LOAI_ID!$B:$B,0)),INDEX(LOAI_ID!$A:$A,MATCH(T298,LOAI_ID!$B:$B,0)),"")</f>
        <v/>
      </c>
      <c r="T298" s="16"/>
      <c r="U298" s="48"/>
      <c r="V298" s="48"/>
      <c r="W298" s="17"/>
      <c r="X298" s="17"/>
      <c r="Y298" s="15"/>
      <c r="Z298" s="15"/>
      <c r="AA298" s="59" t="str">
        <f>IFERROR(INDEX(NOI_CAP!$B:$B,MATCH(Z298,NOI_CAP!$A:$A,0)),"")</f>
        <v/>
      </c>
      <c r="AB298" s="58" t="str">
        <f>IF(ISNUMBER(MATCH(AC298,LOAI_DIA_CHI!$B:$B,0)),INDEX(LOAI_DIA_CHI!$A:$A,MATCH(AC298,LOAI_DIA_CHI!$B:$B,0)),"")</f>
        <v/>
      </c>
      <c r="AC298" s="16"/>
      <c r="AD298" s="58" t="str">
        <f>IF(ISNUMBER(MATCH(AE298,QUOC_GIA!$B:$B,0)),INDEX(QUOC_GIA!$A:$A,MATCH(AE298,QUOC_GIA!$B:$B,0)),"")</f>
        <v/>
      </c>
      <c r="AE298" s="16"/>
      <c r="AF298" s="48"/>
      <c r="AG298" s="59" t="str">
        <f>IFERROR(INDEX(TINH_TP!$B:$B,MATCH(AF298,TINH_TP!$A:$A,0)),"")</f>
        <v/>
      </c>
      <c r="AH298" s="50"/>
      <c r="AI298" s="59" t="str">
        <f>IF(OR(AF298="",AH298=""),"",IF(COUNTIFS(PHUONG_XA!$A$2:$A$3323,AH298,PHUONG_XA!$C$2:$C$3323,AF298)=0,"",INDEX(PHUONG_XA!$B$2:$B$3323,SUMPRODUCT((PHUONG_XA!$A$2:$A$3323&amp;""=AH298&amp;"")*(PHUONG_XA!$C$2:$C$3323&amp;""=AF298&amp;"")*(ROW(PHUONG_XA!$A$2:$A$3323)-ROW(PHUONG_XA!$A$2)+1)))))</f>
        <v/>
      </c>
      <c r="AJ298" s="14"/>
      <c r="AK298" s="14"/>
      <c r="AL298" s="57" t="str">
        <f t="shared" si="5"/>
        <v/>
      </c>
      <c r="AM298" s="14"/>
      <c r="AN298" s="15"/>
      <c r="AO298" s="15"/>
      <c r="AP298" s="48"/>
      <c r="AQ298" s="15"/>
      <c r="AR298" s="15"/>
      <c r="AS298" s="15"/>
      <c r="AT298" s="60" t="str">
        <f>IF(ISNUMBER(MATCH(AU298,LOAI_THE!$B:$B,0)),INDEX(LOAI_THE!$A:$A,MATCH(AU298,LOAI_THE!$B:$B,0)),"")</f>
        <v/>
      </c>
      <c r="AU298" s="48"/>
      <c r="AV298" s="15"/>
      <c r="AW298" s="15"/>
      <c r="AX298" s="15"/>
      <c r="AY298" s="48"/>
    </row>
    <row r="299" spans="1:51" x14ac:dyDescent="0.3">
      <c r="A299" s="13" t="s">
        <v>648</v>
      </c>
      <c r="B299" s="48"/>
      <c r="C299" s="48"/>
      <c r="D299" s="48"/>
      <c r="E299" s="48"/>
      <c r="F299" s="48"/>
      <c r="G299" s="58" t="str">
        <f>IF(ISNUMBER(MATCH(H299,GIOI_TINH!$B:$B,0)),INDEX(GIOI_TINH!$A:$A,MATCH(H299,GIOI_TINH!$B:$B,0)),"")</f>
        <v/>
      </c>
      <c r="H299" s="15"/>
      <c r="I299" s="15"/>
      <c r="J299" s="58" t="str">
        <f>IF(ISNUMBER(MATCH(K299,QUOC_GIA!$B:$B,0)),INDEX(QUOC_GIA!$A:$A,MATCH(K299,QUOC_GIA!$B:$B,0)),"")</f>
        <v/>
      </c>
      <c r="K299" s="50"/>
      <c r="L299" s="15"/>
      <c r="M299" s="58" t="str">
        <f>IF(ISNUMBER(MATCH(N299,LOAI_THUE!$B:$B,0)),INDEX(LOAI_THUE!$A:$A,MATCH(N299,LOAI_THUE!$B:$B,0)),"")</f>
        <v/>
      </c>
      <c r="N299" s="50"/>
      <c r="O299" s="58" t="str">
        <f>IF(ISNUMBER(MATCH(P299,CHI_TIET_LOAI_KH!$B:$B,0)),INDEX(CHI_TIET_LOAI_KH!$A:$A,MATCH(P299,CHI_TIET_LOAI_KH!$B:$B,0)),"")</f>
        <v/>
      </c>
      <c r="P299" s="50"/>
      <c r="Q299" s="58" t="str">
        <f>IF(ISNUMBER(MATCH(R299,NGHE_NGHIEP!$B:$B,0)),INDEX(NGHE_NGHIEP!$A:$A,MATCH(R299,NGHE_NGHIEP!$B:$B,0)),"")</f>
        <v/>
      </c>
      <c r="R299" s="50"/>
      <c r="S299" s="58" t="str">
        <f>IF(ISNUMBER(MATCH(T299,LOAI_ID!$B:$B,0)),INDEX(LOAI_ID!$A:$A,MATCH(T299,LOAI_ID!$B:$B,0)),"")</f>
        <v/>
      </c>
      <c r="T299" s="16"/>
      <c r="U299" s="48"/>
      <c r="V299" s="48"/>
      <c r="W299" s="17"/>
      <c r="X299" s="17"/>
      <c r="Y299" s="15"/>
      <c r="Z299" s="15"/>
      <c r="AA299" s="59" t="str">
        <f>IFERROR(INDEX(NOI_CAP!$B:$B,MATCH(Z299,NOI_CAP!$A:$A,0)),"")</f>
        <v/>
      </c>
      <c r="AB299" s="58" t="str">
        <f>IF(ISNUMBER(MATCH(AC299,LOAI_DIA_CHI!$B:$B,0)),INDEX(LOAI_DIA_CHI!$A:$A,MATCH(AC299,LOAI_DIA_CHI!$B:$B,0)),"")</f>
        <v/>
      </c>
      <c r="AC299" s="16"/>
      <c r="AD299" s="58" t="str">
        <f>IF(ISNUMBER(MATCH(AE299,QUOC_GIA!$B:$B,0)),INDEX(QUOC_GIA!$A:$A,MATCH(AE299,QUOC_GIA!$B:$B,0)),"")</f>
        <v/>
      </c>
      <c r="AE299" s="16"/>
      <c r="AF299" s="48"/>
      <c r="AG299" s="59" t="str">
        <f>IFERROR(INDEX(TINH_TP!$B:$B,MATCH(AF299,TINH_TP!$A:$A,0)),"")</f>
        <v/>
      </c>
      <c r="AH299" s="50"/>
      <c r="AI299" s="59" t="str">
        <f>IF(OR(AF299="",AH299=""),"",IF(COUNTIFS(PHUONG_XA!$A$2:$A$3323,AH299,PHUONG_XA!$C$2:$C$3323,AF299)=0,"",INDEX(PHUONG_XA!$B$2:$B$3323,SUMPRODUCT((PHUONG_XA!$A$2:$A$3323&amp;""=AH299&amp;"")*(PHUONG_XA!$C$2:$C$3323&amp;""=AF299&amp;"")*(ROW(PHUONG_XA!$A$2:$A$3323)-ROW(PHUONG_XA!$A$2)+1)))))</f>
        <v/>
      </c>
      <c r="AJ299" s="14"/>
      <c r="AK299" s="14"/>
      <c r="AL299" s="57" t="str">
        <f t="shared" si="5"/>
        <v/>
      </c>
      <c r="AM299" s="14"/>
      <c r="AN299" s="15"/>
      <c r="AO299" s="15"/>
      <c r="AP299" s="48"/>
      <c r="AQ299" s="15"/>
      <c r="AR299" s="15"/>
      <c r="AS299" s="15"/>
      <c r="AT299" s="60" t="str">
        <f>IF(ISNUMBER(MATCH(AU299,LOAI_THE!$B:$B,0)),INDEX(LOAI_THE!$A:$A,MATCH(AU299,LOAI_THE!$B:$B,0)),"")</f>
        <v/>
      </c>
      <c r="AU299" s="48"/>
      <c r="AV299" s="15"/>
      <c r="AW299" s="15"/>
      <c r="AX299" s="15"/>
      <c r="AY299" s="48"/>
    </row>
    <row r="300" spans="1:51" x14ac:dyDescent="0.3">
      <c r="A300" s="13" t="s">
        <v>650</v>
      </c>
      <c r="B300" s="48"/>
      <c r="C300" s="48"/>
      <c r="D300" s="48"/>
      <c r="E300" s="48"/>
      <c r="F300" s="48"/>
      <c r="G300" s="58" t="str">
        <f>IF(ISNUMBER(MATCH(H300,GIOI_TINH!$B:$B,0)),INDEX(GIOI_TINH!$A:$A,MATCH(H300,GIOI_TINH!$B:$B,0)),"")</f>
        <v/>
      </c>
      <c r="H300" s="15"/>
      <c r="I300" s="15"/>
      <c r="J300" s="58" t="str">
        <f>IF(ISNUMBER(MATCH(K300,QUOC_GIA!$B:$B,0)),INDEX(QUOC_GIA!$A:$A,MATCH(K300,QUOC_GIA!$B:$B,0)),"")</f>
        <v/>
      </c>
      <c r="K300" s="50"/>
      <c r="L300" s="15"/>
      <c r="M300" s="58" t="str">
        <f>IF(ISNUMBER(MATCH(N300,LOAI_THUE!$B:$B,0)),INDEX(LOAI_THUE!$A:$A,MATCH(N300,LOAI_THUE!$B:$B,0)),"")</f>
        <v/>
      </c>
      <c r="N300" s="50"/>
      <c r="O300" s="58" t="str">
        <f>IF(ISNUMBER(MATCH(P300,CHI_TIET_LOAI_KH!$B:$B,0)),INDEX(CHI_TIET_LOAI_KH!$A:$A,MATCH(P300,CHI_TIET_LOAI_KH!$B:$B,0)),"")</f>
        <v/>
      </c>
      <c r="P300" s="50"/>
      <c r="Q300" s="58" t="str">
        <f>IF(ISNUMBER(MATCH(R300,NGHE_NGHIEP!$B:$B,0)),INDEX(NGHE_NGHIEP!$A:$A,MATCH(R300,NGHE_NGHIEP!$B:$B,0)),"")</f>
        <v/>
      </c>
      <c r="R300" s="50"/>
      <c r="S300" s="58" t="str">
        <f>IF(ISNUMBER(MATCH(T300,LOAI_ID!$B:$B,0)),INDEX(LOAI_ID!$A:$A,MATCH(T300,LOAI_ID!$B:$B,0)),"")</f>
        <v/>
      </c>
      <c r="T300" s="16"/>
      <c r="U300" s="48"/>
      <c r="V300" s="48"/>
      <c r="W300" s="17"/>
      <c r="X300" s="17"/>
      <c r="Y300" s="15"/>
      <c r="Z300" s="15"/>
      <c r="AA300" s="59" t="str">
        <f>IFERROR(INDEX(NOI_CAP!$B:$B,MATCH(Z300,NOI_CAP!$A:$A,0)),"")</f>
        <v/>
      </c>
      <c r="AB300" s="58" t="str">
        <f>IF(ISNUMBER(MATCH(AC300,LOAI_DIA_CHI!$B:$B,0)),INDEX(LOAI_DIA_CHI!$A:$A,MATCH(AC300,LOAI_DIA_CHI!$B:$B,0)),"")</f>
        <v/>
      </c>
      <c r="AC300" s="16"/>
      <c r="AD300" s="58" t="str">
        <f>IF(ISNUMBER(MATCH(AE300,QUOC_GIA!$B:$B,0)),INDEX(QUOC_GIA!$A:$A,MATCH(AE300,QUOC_GIA!$B:$B,0)),"")</f>
        <v/>
      </c>
      <c r="AE300" s="16"/>
      <c r="AF300" s="48"/>
      <c r="AG300" s="59" t="str">
        <f>IFERROR(INDEX(TINH_TP!$B:$B,MATCH(AF300,TINH_TP!$A:$A,0)),"")</f>
        <v/>
      </c>
      <c r="AH300" s="50"/>
      <c r="AI300" s="59" t="str">
        <f>IF(OR(AF300="",AH300=""),"",IF(COUNTIFS(PHUONG_XA!$A$2:$A$3323,AH300,PHUONG_XA!$C$2:$C$3323,AF300)=0,"",INDEX(PHUONG_XA!$B$2:$B$3323,SUMPRODUCT((PHUONG_XA!$A$2:$A$3323&amp;""=AH300&amp;"")*(PHUONG_XA!$C$2:$C$3323&amp;""=AF300&amp;"")*(ROW(PHUONG_XA!$A$2:$A$3323)-ROW(PHUONG_XA!$A$2)+1)))))</f>
        <v/>
      </c>
      <c r="AJ300" s="14"/>
      <c r="AK300" s="14"/>
      <c r="AL300" s="57" t="str">
        <f t="shared" si="5"/>
        <v/>
      </c>
      <c r="AM300" s="14"/>
      <c r="AN300" s="15"/>
      <c r="AO300" s="15"/>
      <c r="AP300" s="48"/>
      <c r="AQ300" s="15"/>
      <c r="AR300" s="15"/>
      <c r="AS300" s="15"/>
      <c r="AT300" s="60" t="str">
        <f>IF(ISNUMBER(MATCH(AU300,LOAI_THE!$B:$B,0)),INDEX(LOAI_THE!$A:$A,MATCH(AU300,LOAI_THE!$B:$B,0)),"")</f>
        <v/>
      </c>
      <c r="AU300" s="48"/>
      <c r="AV300" s="15"/>
      <c r="AW300" s="15"/>
      <c r="AX300" s="15"/>
      <c r="AY300" s="48"/>
    </row>
    <row r="301" spans="1:51" x14ac:dyDescent="0.3">
      <c r="A301" s="13" t="s">
        <v>652</v>
      </c>
      <c r="B301" s="48"/>
      <c r="C301" s="48"/>
      <c r="D301" s="48"/>
      <c r="E301" s="48"/>
      <c r="F301" s="48"/>
      <c r="G301" s="58" t="str">
        <f>IF(ISNUMBER(MATCH(H301,GIOI_TINH!$B:$B,0)),INDEX(GIOI_TINH!$A:$A,MATCH(H301,GIOI_TINH!$B:$B,0)),"")</f>
        <v/>
      </c>
      <c r="H301" s="15"/>
      <c r="I301" s="15"/>
      <c r="J301" s="58" t="str">
        <f>IF(ISNUMBER(MATCH(K301,QUOC_GIA!$B:$B,0)),INDEX(QUOC_GIA!$A:$A,MATCH(K301,QUOC_GIA!$B:$B,0)),"")</f>
        <v/>
      </c>
      <c r="K301" s="50"/>
      <c r="L301" s="15"/>
      <c r="M301" s="58" t="str">
        <f>IF(ISNUMBER(MATCH(N301,LOAI_THUE!$B:$B,0)),INDEX(LOAI_THUE!$A:$A,MATCH(N301,LOAI_THUE!$B:$B,0)),"")</f>
        <v/>
      </c>
      <c r="N301" s="50"/>
      <c r="O301" s="58" t="str">
        <f>IF(ISNUMBER(MATCH(P301,CHI_TIET_LOAI_KH!$B:$B,0)),INDEX(CHI_TIET_LOAI_KH!$A:$A,MATCH(P301,CHI_TIET_LOAI_KH!$B:$B,0)),"")</f>
        <v/>
      </c>
      <c r="P301" s="50"/>
      <c r="Q301" s="58" t="str">
        <f>IF(ISNUMBER(MATCH(R301,NGHE_NGHIEP!$B:$B,0)),INDEX(NGHE_NGHIEP!$A:$A,MATCH(R301,NGHE_NGHIEP!$B:$B,0)),"")</f>
        <v/>
      </c>
      <c r="R301" s="50"/>
      <c r="S301" s="58" t="str">
        <f>IF(ISNUMBER(MATCH(T301,LOAI_ID!$B:$B,0)),INDEX(LOAI_ID!$A:$A,MATCH(T301,LOAI_ID!$B:$B,0)),"")</f>
        <v/>
      </c>
      <c r="T301" s="16"/>
      <c r="U301" s="48"/>
      <c r="V301" s="48"/>
      <c r="W301" s="17"/>
      <c r="X301" s="17"/>
      <c r="Y301" s="15"/>
      <c r="Z301" s="15"/>
      <c r="AA301" s="59" t="str">
        <f>IFERROR(INDEX(NOI_CAP!$B:$B,MATCH(Z301,NOI_CAP!$A:$A,0)),"")</f>
        <v/>
      </c>
      <c r="AB301" s="58" t="str">
        <f>IF(ISNUMBER(MATCH(AC301,LOAI_DIA_CHI!$B:$B,0)),INDEX(LOAI_DIA_CHI!$A:$A,MATCH(AC301,LOAI_DIA_CHI!$B:$B,0)),"")</f>
        <v/>
      </c>
      <c r="AC301" s="16"/>
      <c r="AD301" s="58" t="str">
        <f>IF(ISNUMBER(MATCH(AE301,QUOC_GIA!$B:$B,0)),INDEX(QUOC_GIA!$A:$A,MATCH(AE301,QUOC_GIA!$B:$B,0)),"")</f>
        <v/>
      </c>
      <c r="AE301" s="16"/>
      <c r="AF301" s="48"/>
      <c r="AG301" s="59" t="str">
        <f>IFERROR(INDEX(TINH_TP!$B:$B,MATCH(AF301,TINH_TP!$A:$A,0)),"")</f>
        <v/>
      </c>
      <c r="AH301" s="50"/>
      <c r="AI301" s="59" t="str">
        <f>IF(OR(AF301="",AH301=""),"",IF(COUNTIFS(PHUONG_XA!$A$2:$A$3323,AH301,PHUONG_XA!$C$2:$C$3323,AF301)=0,"",INDEX(PHUONG_XA!$B$2:$B$3323,SUMPRODUCT((PHUONG_XA!$A$2:$A$3323&amp;""=AH301&amp;"")*(PHUONG_XA!$C$2:$C$3323&amp;""=AF301&amp;"")*(ROW(PHUONG_XA!$A$2:$A$3323)-ROW(PHUONG_XA!$A$2)+1)))))</f>
        <v/>
      </c>
      <c r="AJ301" s="14"/>
      <c r="AK301" s="14"/>
      <c r="AL301" s="57" t="str">
        <f t="shared" si="5"/>
        <v/>
      </c>
      <c r="AM301" s="14"/>
      <c r="AN301" s="15"/>
      <c r="AO301" s="15"/>
      <c r="AP301" s="48"/>
      <c r="AQ301" s="15"/>
      <c r="AR301" s="15"/>
      <c r="AS301" s="15"/>
      <c r="AT301" s="60" t="str">
        <f>IF(ISNUMBER(MATCH(AU301,LOAI_THE!$B:$B,0)),INDEX(LOAI_THE!$A:$A,MATCH(AU301,LOAI_THE!$B:$B,0)),"")</f>
        <v/>
      </c>
      <c r="AU301" s="48"/>
      <c r="AV301" s="15"/>
      <c r="AW301" s="15"/>
      <c r="AX301" s="15"/>
      <c r="AY301" s="48"/>
    </row>
    <row r="302" spans="1:51" x14ac:dyDescent="0.3">
      <c r="A302" s="13" t="s">
        <v>654</v>
      </c>
      <c r="B302" s="48"/>
      <c r="C302" s="48"/>
      <c r="D302" s="48"/>
      <c r="E302" s="48"/>
      <c r="F302" s="48"/>
      <c r="G302" s="58" t="str">
        <f>IF(ISNUMBER(MATCH(H302,GIOI_TINH!$B:$B,0)),INDEX(GIOI_TINH!$A:$A,MATCH(H302,GIOI_TINH!$B:$B,0)),"")</f>
        <v/>
      </c>
      <c r="H302" s="15"/>
      <c r="I302" s="15"/>
      <c r="J302" s="58" t="str">
        <f>IF(ISNUMBER(MATCH(K302,QUOC_GIA!$B:$B,0)),INDEX(QUOC_GIA!$A:$A,MATCH(K302,QUOC_GIA!$B:$B,0)),"")</f>
        <v/>
      </c>
      <c r="K302" s="50"/>
      <c r="L302" s="15"/>
      <c r="M302" s="58" t="str">
        <f>IF(ISNUMBER(MATCH(N302,LOAI_THUE!$B:$B,0)),INDEX(LOAI_THUE!$A:$A,MATCH(N302,LOAI_THUE!$B:$B,0)),"")</f>
        <v/>
      </c>
      <c r="N302" s="50"/>
      <c r="O302" s="58" t="str">
        <f>IF(ISNUMBER(MATCH(P302,CHI_TIET_LOAI_KH!$B:$B,0)),INDEX(CHI_TIET_LOAI_KH!$A:$A,MATCH(P302,CHI_TIET_LOAI_KH!$B:$B,0)),"")</f>
        <v/>
      </c>
      <c r="P302" s="50"/>
      <c r="Q302" s="58" t="str">
        <f>IF(ISNUMBER(MATCH(R302,NGHE_NGHIEP!$B:$B,0)),INDEX(NGHE_NGHIEP!$A:$A,MATCH(R302,NGHE_NGHIEP!$B:$B,0)),"")</f>
        <v/>
      </c>
      <c r="R302" s="50"/>
      <c r="S302" s="58" t="str">
        <f>IF(ISNUMBER(MATCH(T302,LOAI_ID!$B:$B,0)),INDEX(LOAI_ID!$A:$A,MATCH(T302,LOAI_ID!$B:$B,0)),"")</f>
        <v/>
      </c>
      <c r="T302" s="16"/>
      <c r="U302" s="48"/>
      <c r="V302" s="48"/>
      <c r="W302" s="17"/>
      <c r="X302" s="17"/>
      <c r="Y302" s="15"/>
      <c r="Z302" s="15"/>
      <c r="AA302" s="59" t="str">
        <f>IFERROR(INDEX(NOI_CAP!$B:$B,MATCH(Z302,NOI_CAP!$A:$A,0)),"")</f>
        <v/>
      </c>
      <c r="AB302" s="58" t="str">
        <f>IF(ISNUMBER(MATCH(AC302,LOAI_DIA_CHI!$B:$B,0)),INDEX(LOAI_DIA_CHI!$A:$A,MATCH(AC302,LOAI_DIA_CHI!$B:$B,0)),"")</f>
        <v/>
      </c>
      <c r="AC302" s="16"/>
      <c r="AD302" s="58" t="str">
        <f>IF(ISNUMBER(MATCH(AE302,QUOC_GIA!$B:$B,0)),INDEX(QUOC_GIA!$A:$A,MATCH(AE302,QUOC_GIA!$B:$B,0)),"")</f>
        <v/>
      </c>
      <c r="AE302" s="16"/>
      <c r="AF302" s="48"/>
      <c r="AG302" s="59" t="str">
        <f>IFERROR(INDEX(TINH_TP!$B:$B,MATCH(AF302,TINH_TP!$A:$A,0)),"")</f>
        <v/>
      </c>
      <c r="AH302" s="50"/>
      <c r="AI302" s="59" t="str">
        <f>IF(OR(AF302="",AH302=""),"",IF(COUNTIFS(PHUONG_XA!$A$2:$A$3323,AH302,PHUONG_XA!$C$2:$C$3323,AF302)=0,"",INDEX(PHUONG_XA!$B$2:$B$3323,SUMPRODUCT((PHUONG_XA!$A$2:$A$3323&amp;""=AH302&amp;"")*(PHUONG_XA!$C$2:$C$3323&amp;""=AF302&amp;"")*(ROW(PHUONG_XA!$A$2:$A$3323)-ROW(PHUONG_XA!$A$2)+1)))))</f>
        <v/>
      </c>
      <c r="AJ302" s="14"/>
      <c r="AK302" s="14"/>
      <c r="AL302" s="57" t="str">
        <f t="shared" si="5"/>
        <v/>
      </c>
      <c r="AM302" s="14"/>
      <c r="AN302" s="15"/>
      <c r="AO302" s="15"/>
      <c r="AP302" s="48"/>
      <c r="AQ302" s="15"/>
      <c r="AR302" s="15"/>
      <c r="AS302" s="15"/>
      <c r="AT302" s="60" t="str">
        <f>IF(ISNUMBER(MATCH(AU302,LOAI_THE!$B:$B,0)),INDEX(LOAI_THE!$A:$A,MATCH(AU302,LOAI_THE!$B:$B,0)),"")</f>
        <v/>
      </c>
      <c r="AU302" s="48"/>
      <c r="AV302" s="15"/>
      <c r="AW302" s="15"/>
      <c r="AX302" s="15"/>
      <c r="AY302" s="48"/>
    </row>
    <row r="303" spans="1:51" x14ac:dyDescent="0.3">
      <c r="A303" s="13" t="s">
        <v>656</v>
      </c>
      <c r="B303" s="48"/>
      <c r="C303" s="48"/>
      <c r="D303" s="48"/>
      <c r="E303" s="48"/>
      <c r="F303" s="48"/>
      <c r="G303" s="58" t="str">
        <f>IF(ISNUMBER(MATCH(H303,GIOI_TINH!$B:$B,0)),INDEX(GIOI_TINH!$A:$A,MATCH(H303,GIOI_TINH!$B:$B,0)),"")</f>
        <v/>
      </c>
      <c r="H303" s="15"/>
      <c r="I303" s="15"/>
      <c r="J303" s="58" t="str">
        <f>IF(ISNUMBER(MATCH(K303,QUOC_GIA!$B:$B,0)),INDEX(QUOC_GIA!$A:$A,MATCH(K303,QUOC_GIA!$B:$B,0)),"")</f>
        <v/>
      </c>
      <c r="K303" s="50"/>
      <c r="L303" s="15"/>
      <c r="M303" s="58" t="str">
        <f>IF(ISNUMBER(MATCH(N303,LOAI_THUE!$B:$B,0)),INDEX(LOAI_THUE!$A:$A,MATCH(N303,LOAI_THUE!$B:$B,0)),"")</f>
        <v/>
      </c>
      <c r="N303" s="50"/>
      <c r="O303" s="58" t="str">
        <f>IF(ISNUMBER(MATCH(P303,CHI_TIET_LOAI_KH!$B:$B,0)),INDEX(CHI_TIET_LOAI_KH!$A:$A,MATCH(P303,CHI_TIET_LOAI_KH!$B:$B,0)),"")</f>
        <v/>
      </c>
      <c r="P303" s="50"/>
      <c r="Q303" s="58" t="str">
        <f>IF(ISNUMBER(MATCH(R303,NGHE_NGHIEP!$B:$B,0)),INDEX(NGHE_NGHIEP!$A:$A,MATCH(R303,NGHE_NGHIEP!$B:$B,0)),"")</f>
        <v/>
      </c>
      <c r="R303" s="50"/>
      <c r="S303" s="58" t="str">
        <f>IF(ISNUMBER(MATCH(T303,LOAI_ID!$B:$B,0)),INDEX(LOAI_ID!$A:$A,MATCH(T303,LOAI_ID!$B:$B,0)),"")</f>
        <v/>
      </c>
      <c r="T303" s="16"/>
      <c r="U303" s="48"/>
      <c r="V303" s="48"/>
      <c r="W303" s="17"/>
      <c r="X303" s="17"/>
      <c r="Y303" s="15"/>
      <c r="Z303" s="15"/>
      <c r="AA303" s="59" t="str">
        <f>IFERROR(INDEX(NOI_CAP!$B:$B,MATCH(Z303,NOI_CAP!$A:$A,0)),"")</f>
        <v/>
      </c>
      <c r="AB303" s="58" t="str">
        <f>IF(ISNUMBER(MATCH(AC303,LOAI_DIA_CHI!$B:$B,0)),INDEX(LOAI_DIA_CHI!$A:$A,MATCH(AC303,LOAI_DIA_CHI!$B:$B,0)),"")</f>
        <v/>
      </c>
      <c r="AC303" s="16"/>
      <c r="AD303" s="58" t="str">
        <f>IF(ISNUMBER(MATCH(AE303,QUOC_GIA!$B:$B,0)),INDEX(QUOC_GIA!$A:$A,MATCH(AE303,QUOC_GIA!$B:$B,0)),"")</f>
        <v/>
      </c>
      <c r="AE303" s="16"/>
      <c r="AF303" s="48"/>
      <c r="AG303" s="59" t="str">
        <f>IFERROR(INDEX(TINH_TP!$B:$B,MATCH(AF303,TINH_TP!$A:$A,0)),"")</f>
        <v/>
      </c>
      <c r="AH303" s="50"/>
      <c r="AI303" s="59" t="str">
        <f>IF(OR(AF303="",AH303=""),"",IF(COUNTIFS(PHUONG_XA!$A$2:$A$3323,AH303,PHUONG_XA!$C$2:$C$3323,AF303)=0,"",INDEX(PHUONG_XA!$B$2:$B$3323,SUMPRODUCT((PHUONG_XA!$A$2:$A$3323&amp;""=AH303&amp;"")*(PHUONG_XA!$C$2:$C$3323&amp;""=AF303&amp;"")*(ROW(PHUONG_XA!$A$2:$A$3323)-ROW(PHUONG_XA!$A$2)+1)))))</f>
        <v/>
      </c>
      <c r="AJ303" s="14"/>
      <c r="AK303" s="14"/>
      <c r="AL303" s="57" t="str">
        <f t="shared" si="5"/>
        <v/>
      </c>
      <c r="AM303" s="14"/>
      <c r="AN303" s="15"/>
      <c r="AO303" s="15"/>
      <c r="AP303" s="48"/>
      <c r="AQ303" s="15"/>
      <c r="AR303" s="15"/>
      <c r="AS303" s="15"/>
      <c r="AT303" s="60" t="str">
        <f>IF(ISNUMBER(MATCH(AU303,LOAI_THE!$B:$B,0)),INDEX(LOAI_THE!$A:$A,MATCH(AU303,LOAI_THE!$B:$B,0)),"")</f>
        <v/>
      </c>
      <c r="AU303" s="48"/>
      <c r="AV303" s="15"/>
      <c r="AW303" s="15"/>
      <c r="AX303" s="15"/>
      <c r="AY303" s="48"/>
    </row>
    <row r="304" spans="1:51" x14ac:dyDescent="0.3">
      <c r="A304" s="13" t="s">
        <v>658</v>
      </c>
      <c r="B304" s="48"/>
      <c r="C304" s="48"/>
      <c r="D304" s="48"/>
      <c r="E304" s="48"/>
      <c r="F304" s="48"/>
      <c r="G304" s="58" t="str">
        <f>IF(ISNUMBER(MATCH(H304,GIOI_TINH!$B:$B,0)),INDEX(GIOI_TINH!$A:$A,MATCH(H304,GIOI_TINH!$B:$B,0)),"")</f>
        <v/>
      </c>
      <c r="H304" s="15"/>
      <c r="I304" s="15"/>
      <c r="J304" s="58" t="str">
        <f>IF(ISNUMBER(MATCH(K304,QUOC_GIA!$B:$B,0)),INDEX(QUOC_GIA!$A:$A,MATCH(K304,QUOC_GIA!$B:$B,0)),"")</f>
        <v/>
      </c>
      <c r="K304" s="50"/>
      <c r="L304" s="15"/>
      <c r="M304" s="58" t="str">
        <f>IF(ISNUMBER(MATCH(N304,LOAI_THUE!$B:$B,0)),INDEX(LOAI_THUE!$A:$A,MATCH(N304,LOAI_THUE!$B:$B,0)),"")</f>
        <v/>
      </c>
      <c r="N304" s="50"/>
      <c r="O304" s="58" t="str">
        <f>IF(ISNUMBER(MATCH(P304,CHI_TIET_LOAI_KH!$B:$B,0)),INDEX(CHI_TIET_LOAI_KH!$A:$A,MATCH(P304,CHI_TIET_LOAI_KH!$B:$B,0)),"")</f>
        <v/>
      </c>
      <c r="P304" s="50"/>
      <c r="Q304" s="58" t="str">
        <f>IF(ISNUMBER(MATCH(R304,NGHE_NGHIEP!$B:$B,0)),INDEX(NGHE_NGHIEP!$A:$A,MATCH(R304,NGHE_NGHIEP!$B:$B,0)),"")</f>
        <v/>
      </c>
      <c r="R304" s="50"/>
      <c r="S304" s="58" t="str">
        <f>IF(ISNUMBER(MATCH(T304,LOAI_ID!$B:$B,0)),INDEX(LOAI_ID!$A:$A,MATCH(T304,LOAI_ID!$B:$B,0)),"")</f>
        <v/>
      </c>
      <c r="T304" s="16"/>
      <c r="U304" s="48"/>
      <c r="V304" s="48"/>
      <c r="W304" s="17"/>
      <c r="X304" s="17"/>
      <c r="Y304" s="15"/>
      <c r="Z304" s="15"/>
      <c r="AA304" s="59" t="str">
        <f>IFERROR(INDEX(NOI_CAP!$B:$B,MATCH(Z304,NOI_CAP!$A:$A,0)),"")</f>
        <v/>
      </c>
      <c r="AB304" s="58" t="str">
        <f>IF(ISNUMBER(MATCH(AC304,LOAI_DIA_CHI!$B:$B,0)),INDEX(LOAI_DIA_CHI!$A:$A,MATCH(AC304,LOAI_DIA_CHI!$B:$B,0)),"")</f>
        <v/>
      </c>
      <c r="AC304" s="16"/>
      <c r="AD304" s="58" t="str">
        <f>IF(ISNUMBER(MATCH(AE304,QUOC_GIA!$B:$B,0)),INDEX(QUOC_GIA!$A:$A,MATCH(AE304,QUOC_GIA!$B:$B,0)),"")</f>
        <v/>
      </c>
      <c r="AE304" s="16"/>
      <c r="AF304" s="48"/>
      <c r="AG304" s="59" t="str">
        <f>IFERROR(INDEX(TINH_TP!$B:$B,MATCH(AF304,TINH_TP!$A:$A,0)),"")</f>
        <v/>
      </c>
      <c r="AH304" s="50"/>
      <c r="AI304" s="59" t="str">
        <f>IF(OR(AF304="",AH304=""),"",IF(COUNTIFS(PHUONG_XA!$A$2:$A$3323,AH304,PHUONG_XA!$C$2:$C$3323,AF304)=0,"",INDEX(PHUONG_XA!$B$2:$B$3323,SUMPRODUCT((PHUONG_XA!$A$2:$A$3323&amp;""=AH304&amp;"")*(PHUONG_XA!$C$2:$C$3323&amp;""=AF304&amp;"")*(ROW(PHUONG_XA!$A$2:$A$3323)-ROW(PHUONG_XA!$A$2)+1)))))</f>
        <v/>
      </c>
      <c r="AJ304" s="14"/>
      <c r="AK304" s="14"/>
      <c r="AL304" s="57" t="str">
        <f t="shared" si="5"/>
        <v/>
      </c>
      <c r="AM304" s="14"/>
      <c r="AN304" s="15"/>
      <c r="AO304" s="15"/>
      <c r="AP304" s="48"/>
      <c r="AQ304" s="15"/>
      <c r="AR304" s="15"/>
      <c r="AS304" s="15"/>
      <c r="AT304" s="60" t="str">
        <f>IF(ISNUMBER(MATCH(AU304,LOAI_THE!$B:$B,0)),INDEX(LOAI_THE!$A:$A,MATCH(AU304,LOAI_THE!$B:$B,0)),"")</f>
        <v/>
      </c>
      <c r="AU304" s="48"/>
      <c r="AV304" s="15"/>
      <c r="AW304" s="15"/>
      <c r="AX304" s="15"/>
      <c r="AY304" s="48"/>
    </row>
    <row r="305" spans="1:51" x14ac:dyDescent="0.3">
      <c r="A305" s="13" t="s">
        <v>660</v>
      </c>
      <c r="B305" s="48"/>
      <c r="C305" s="48"/>
      <c r="D305" s="48"/>
      <c r="E305" s="48"/>
      <c r="F305" s="48"/>
      <c r="G305" s="58" t="str">
        <f>IF(ISNUMBER(MATCH(H305,GIOI_TINH!$B:$B,0)),INDEX(GIOI_TINH!$A:$A,MATCH(H305,GIOI_TINH!$B:$B,0)),"")</f>
        <v/>
      </c>
      <c r="H305" s="15"/>
      <c r="I305" s="15"/>
      <c r="J305" s="58" t="str">
        <f>IF(ISNUMBER(MATCH(K305,QUOC_GIA!$B:$B,0)),INDEX(QUOC_GIA!$A:$A,MATCH(K305,QUOC_GIA!$B:$B,0)),"")</f>
        <v/>
      </c>
      <c r="K305" s="50"/>
      <c r="L305" s="15"/>
      <c r="M305" s="58" t="str">
        <f>IF(ISNUMBER(MATCH(N305,LOAI_THUE!$B:$B,0)),INDEX(LOAI_THUE!$A:$A,MATCH(N305,LOAI_THUE!$B:$B,0)),"")</f>
        <v/>
      </c>
      <c r="N305" s="50"/>
      <c r="O305" s="58" t="str">
        <f>IF(ISNUMBER(MATCH(P305,CHI_TIET_LOAI_KH!$B:$B,0)),INDEX(CHI_TIET_LOAI_KH!$A:$A,MATCH(P305,CHI_TIET_LOAI_KH!$B:$B,0)),"")</f>
        <v/>
      </c>
      <c r="P305" s="50"/>
      <c r="Q305" s="58" t="str">
        <f>IF(ISNUMBER(MATCH(R305,NGHE_NGHIEP!$B:$B,0)),INDEX(NGHE_NGHIEP!$A:$A,MATCH(R305,NGHE_NGHIEP!$B:$B,0)),"")</f>
        <v/>
      </c>
      <c r="R305" s="50"/>
      <c r="S305" s="58" t="str">
        <f>IF(ISNUMBER(MATCH(T305,LOAI_ID!$B:$B,0)),INDEX(LOAI_ID!$A:$A,MATCH(T305,LOAI_ID!$B:$B,0)),"")</f>
        <v/>
      </c>
      <c r="T305" s="16"/>
      <c r="U305" s="48"/>
      <c r="V305" s="48"/>
      <c r="W305" s="17"/>
      <c r="X305" s="17"/>
      <c r="Y305" s="15"/>
      <c r="Z305" s="15"/>
      <c r="AA305" s="59" t="str">
        <f>IFERROR(INDEX(NOI_CAP!$B:$B,MATCH(Z305,NOI_CAP!$A:$A,0)),"")</f>
        <v/>
      </c>
      <c r="AB305" s="58" t="str">
        <f>IF(ISNUMBER(MATCH(AC305,LOAI_DIA_CHI!$B:$B,0)),INDEX(LOAI_DIA_CHI!$A:$A,MATCH(AC305,LOAI_DIA_CHI!$B:$B,0)),"")</f>
        <v/>
      </c>
      <c r="AC305" s="16"/>
      <c r="AD305" s="58" t="str">
        <f>IF(ISNUMBER(MATCH(AE305,QUOC_GIA!$B:$B,0)),INDEX(QUOC_GIA!$A:$A,MATCH(AE305,QUOC_GIA!$B:$B,0)),"")</f>
        <v/>
      </c>
      <c r="AE305" s="16"/>
      <c r="AF305" s="48"/>
      <c r="AG305" s="59" t="str">
        <f>IFERROR(INDEX(TINH_TP!$B:$B,MATCH(AF305,TINH_TP!$A:$A,0)),"")</f>
        <v/>
      </c>
      <c r="AH305" s="50"/>
      <c r="AI305" s="59" t="str">
        <f>IF(OR(AF305="",AH305=""),"",IF(COUNTIFS(PHUONG_XA!$A$2:$A$3323,AH305,PHUONG_XA!$C$2:$C$3323,AF305)=0,"",INDEX(PHUONG_XA!$B$2:$B$3323,SUMPRODUCT((PHUONG_XA!$A$2:$A$3323&amp;""=AH305&amp;"")*(PHUONG_XA!$C$2:$C$3323&amp;""=AF305&amp;"")*(ROW(PHUONG_XA!$A$2:$A$3323)-ROW(PHUONG_XA!$A$2)+1)))))</f>
        <v/>
      </c>
      <c r="AJ305" s="14"/>
      <c r="AK305" s="14"/>
      <c r="AL305" s="57" t="str">
        <f t="shared" si="5"/>
        <v/>
      </c>
      <c r="AM305" s="14"/>
      <c r="AN305" s="15"/>
      <c r="AO305" s="15"/>
      <c r="AP305" s="48"/>
      <c r="AQ305" s="15"/>
      <c r="AR305" s="15"/>
      <c r="AS305" s="15"/>
      <c r="AT305" s="60" t="str">
        <f>IF(ISNUMBER(MATCH(AU305,LOAI_THE!$B:$B,0)),INDEX(LOAI_THE!$A:$A,MATCH(AU305,LOAI_THE!$B:$B,0)),"")</f>
        <v/>
      </c>
      <c r="AU305" s="48"/>
      <c r="AV305" s="15"/>
      <c r="AW305" s="15"/>
      <c r="AX305" s="15"/>
      <c r="AY305" s="48"/>
    </row>
    <row r="306" spans="1:51" x14ac:dyDescent="0.3">
      <c r="A306" s="13" t="s">
        <v>662</v>
      </c>
      <c r="B306" s="48"/>
      <c r="C306" s="48"/>
      <c r="D306" s="48"/>
      <c r="E306" s="48"/>
      <c r="F306" s="48"/>
      <c r="G306" s="58" t="str">
        <f>IF(ISNUMBER(MATCH(H306,GIOI_TINH!$B:$B,0)),INDEX(GIOI_TINH!$A:$A,MATCH(H306,GIOI_TINH!$B:$B,0)),"")</f>
        <v/>
      </c>
      <c r="H306" s="15"/>
      <c r="I306" s="15"/>
      <c r="J306" s="58" t="str">
        <f>IF(ISNUMBER(MATCH(K306,QUOC_GIA!$B:$B,0)),INDEX(QUOC_GIA!$A:$A,MATCH(K306,QUOC_GIA!$B:$B,0)),"")</f>
        <v/>
      </c>
      <c r="K306" s="50"/>
      <c r="L306" s="15"/>
      <c r="M306" s="58" t="str">
        <f>IF(ISNUMBER(MATCH(N306,LOAI_THUE!$B:$B,0)),INDEX(LOAI_THUE!$A:$A,MATCH(N306,LOAI_THUE!$B:$B,0)),"")</f>
        <v/>
      </c>
      <c r="N306" s="50"/>
      <c r="O306" s="58" t="str">
        <f>IF(ISNUMBER(MATCH(P306,CHI_TIET_LOAI_KH!$B:$B,0)),INDEX(CHI_TIET_LOAI_KH!$A:$A,MATCH(P306,CHI_TIET_LOAI_KH!$B:$B,0)),"")</f>
        <v/>
      </c>
      <c r="P306" s="50"/>
      <c r="Q306" s="58" t="str">
        <f>IF(ISNUMBER(MATCH(R306,NGHE_NGHIEP!$B:$B,0)),INDEX(NGHE_NGHIEP!$A:$A,MATCH(R306,NGHE_NGHIEP!$B:$B,0)),"")</f>
        <v/>
      </c>
      <c r="R306" s="50"/>
      <c r="S306" s="58" t="str">
        <f>IF(ISNUMBER(MATCH(T306,LOAI_ID!$B:$B,0)),INDEX(LOAI_ID!$A:$A,MATCH(T306,LOAI_ID!$B:$B,0)),"")</f>
        <v/>
      </c>
      <c r="T306" s="16"/>
      <c r="U306" s="48"/>
      <c r="V306" s="48"/>
      <c r="W306" s="17"/>
      <c r="X306" s="17"/>
      <c r="Y306" s="15"/>
      <c r="Z306" s="15"/>
      <c r="AA306" s="59" t="str">
        <f>IFERROR(INDEX(NOI_CAP!$B:$B,MATCH(Z306,NOI_CAP!$A:$A,0)),"")</f>
        <v/>
      </c>
      <c r="AB306" s="58" t="str">
        <f>IF(ISNUMBER(MATCH(AC306,LOAI_DIA_CHI!$B:$B,0)),INDEX(LOAI_DIA_CHI!$A:$A,MATCH(AC306,LOAI_DIA_CHI!$B:$B,0)),"")</f>
        <v/>
      </c>
      <c r="AC306" s="16"/>
      <c r="AD306" s="58" t="str">
        <f>IF(ISNUMBER(MATCH(AE306,QUOC_GIA!$B:$B,0)),INDEX(QUOC_GIA!$A:$A,MATCH(AE306,QUOC_GIA!$B:$B,0)),"")</f>
        <v/>
      </c>
      <c r="AE306" s="16"/>
      <c r="AF306" s="48"/>
      <c r="AG306" s="59" t="str">
        <f>IFERROR(INDEX(TINH_TP!$B:$B,MATCH(AF306,TINH_TP!$A:$A,0)),"")</f>
        <v/>
      </c>
      <c r="AH306" s="50"/>
      <c r="AI306" s="59" t="str">
        <f>IF(OR(AF306="",AH306=""),"",IF(COUNTIFS(PHUONG_XA!$A$2:$A$3323,AH306,PHUONG_XA!$C$2:$C$3323,AF306)=0,"",INDEX(PHUONG_XA!$B$2:$B$3323,SUMPRODUCT((PHUONG_XA!$A$2:$A$3323&amp;""=AH306&amp;"")*(PHUONG_XA!$C$2:$C$3323&amp;""=AF306&amp;"")*(ROW(PHUONG_XA!$A$2:$A$3323)-ROW(PHUONG_XA!$A$2)+1)))))</f>
        <v/>
      </c>
      <c r="AJ306" s="14"/>
      <c r="AK306" s="14"/>
      <c r="AL306" s="57" t="str">
        <f t="shared" si="5"/>
        <v/>
      </c>
      <c r="AM306" s="14"/>
      <c r="AN306" s="15"/>
      <c r="AO306" s="15"/>
      <c r="AP306" s="48"/>
      <c r="AQ306" s="15"/>
      <c r="AR306" s="15"/>
      <c r="AS306" s="15"/>
      <c r="AT306" s="60" t="str">
        <f>IF(ISNUMBER(MATCH(AU306,LOAI_THE!$B:$B,0)),INDEX(LOAI_THE!$A:$A,MATCH(AU306,LOAI_THE!$B:$B,0)),"")</f>
        <v/>
      </c>
      <c r="AU306" s="48"/>
      <c r="AV306" s="15"/>
      <c r="AW306" s="15"/>
      <c r="AX306" s="15"/>
      <c r="AY306" s="48"/>
    </row>
    <row r="307" spans="1:51" x14ac:dyDescent="0.3">
      <c r="A307" s="13" t="s">
        <v>664</v>
      </c>
      <c r="B307" s="48"/>
      <c r="C307" s="48"/>
      <c r="D307" s="48"/>
      <c r="E307" s="48"/>
      <c r="F307" s="48"/>
      <c r="G307" s="58" t="str">
        <f>IF(ISNUMBER(MATCH(H307,GIOI_TINH!$B:$B,0)),INDEX(GIOI_TINH!$A:$A,MATCH(H307,GIOI_TINH!$B:$B,0)),"")</f>
        <v/>
      </c>
      <c r="H307" s="15"/>
      <c r="I307" s="15"/>
      <c r="J307" s="58" t="str">
        <f>IF(ISNUMBER(MATCH(K307,QUOC_GIA!$B:$B,0)),INDEX(QUOC_GIA!$A:$A,MATCH(K307,QUOC_GIA!$B:$B,0)),"")</f>
        <v/>
      </c>
      <c r="K307" s="50"/>
      <c r="L307" s="15"/>
      <c r="M307" s="58" t="str">
        <f>IF(ISNUMBER(MATCH(N307,LOAI_THUE!$B:$B,0)),INDEX(LOAI_THUE!$A:$A,MATCH(N307,LOAI_THUE!$B:$B,0)),"")</f>
        <v/>
      </c>
      <c r="N307" s="50"/>
      <c r="O307" s="58" t="str">
        <f>IF(ISNUMBER(MATCH(P307,CHI_TIET_LOAI_KH!$B:$B,0)),INDEX(CHI_TIET_LOAI_KH!$A:$A,MATCH(P307,CHI_TIET_LOAI_KH!$B:$B,0)),"")</f>
        <v/>
      </c>
      <c r="P307" s="50"/>
      <c r="Q307" s="58" t="str">
        <f>IF(ISNUMBER(MATCH(R307,NGHE_NGHIEP!$B:$B,0)),INDEX(NGHE_NGHIEP!$A:$A,MATCH(R307,NGHE_NGHIEP!$B:$B,0)),"")</f>
        <v/>
      </c>
      <c r="R307" s="50"/>
      <c r="S307" s="58" t="str">
        <f>IF(ISNUMBER(MATCH(T307,LOAI_ID!$B:$B,0)),INDEX(LOAI_ID!$A:$A,MATCH(T307,LOAI_ID!$B:$B,0)),"")</f>
        <v/>
      </c>
      <c r="T307" s="16"/>
      <c r="U307" s="48"/>
      <c r="V307" s="48"/>
      <c r="W307" s="17"/>
      <c r="X307" s="17"/>
      <c r="Y307" s="15"/>
      <c r="Z307" s="15"/>
      <c r="AA307" s="59" t="str">
        <f>IFERROR(INDEX(NOI_CAP!$B:$B,MATCH(Z307,NOI_CAP!$A:$A,0)),"")</f>
        <v/>
      </c>
      <c r="AB307" s="58" t="str">
        <f>IF(ISNUMBER(MATCH(AC307,LOAI_DIA_CHI!$B:$B,0)),INDEX(LOAI_DIA_CHI!$A:$A,MATCH(AC307,LOAI_DIA_CHI!$B:$B,0)),"")</f>
        <v/>
      </c>
      <c r="AC307" s="16"/>
      <c r="AD307" s="58" t="str">
        <f>IF(ISNUMBER(MATCH(AE307,QUOC_GIA!$B:$B,0)),INDEX(QUOC_GIA!$A:$A,MATCH(AE307,QUOC_GIA!$B:$B,0)),"")</f>
        <v/>
      </c>
      <c r="AE307" s="16"/>
      <c r="AF307" s="48"/>
      <c r="AG307" s="59" t="str">
        <f>IFERROR(INDEX(TINH_TP!$B:$B,MATCH(AF307,TINH_TP!$A:$A,0)),"")</f>
        <v/>
      </c>
      <c r="AH307" s="50"/>
      <c r="AI307" s="59" t="str">
        <f>IF(OR(AF307="",AH307=""),"",IF(COUNTIFS(PHUONG_XA!$A$2:$A$3323,AH307,PHUONG_XA!$C$2:$C$3323,AF307)=0,"",INDEX(PHUONG_XA!$B$2:$B$3323,SUMPRODUCT((PHUONG_XA!$A$2:$A$3323&amp;""=AH307&amp;"")*(PHUONG_XA!$C$2:$C$3323&amp;""=AF307&amp;"")*(ROW(PHUONG_XA!$A$2:$A$3323)-ROW(PHUONG_XA!$A$2)+1)))))</f>
        <v/>
      </c>
      <c r="AJ307" s="14"/>
      <c r="AK307" s="14"/>
      <c r="AL307" s="57" t="str">
        <f t="shared" si="5"/>
        <v/>
      </c>
      <c r="AM307" s="14"/>
      <c r="AN307" s="15"/>
      <c r="AO307" s="15"/>
      <c r="AP307" s="48"/>
      <c r="AQ307" s="15"/>
      <c r="AR307" s="15"/>
      <c r="AS307" s="15"/>
      <c r="AT307" s="60" t="str">
        <f>IF(ISNUMBER(MATCH(AU307,LOAI_THE!$B:$B,0)),INDEX(LOAI_THE!$A:$A,MATCH(AU307,LOAI_THE!$B:$B,0)),"")</f>
        <v/>
      </c>
      <c r="AU307" s="48"/>
      <c r="AV307" s="15"/>
      <c r="AW307" s="15"/>
      <c r="AX307" s="15"/>
      <c r="AY307" s="48"/>
    </row>
    <row r="308" spans="1:51" x14ac:dyDescent="0.3">
      <c r="A308" s="13" t="s">
        <v>666</v>
      </c>
      <c r="B308" s="48"/>
      <c r="C308" s="48"/>
      <c r="D308" s="48"/>
      <c r="E308" s="48"/>
      <c r="F308" s="48"/>
      <c r="G308" s="58" t="str">
        <f>IF(ISNUMBER(MATCH(H308,GIOI_TINH!$B:$B,0)),INDEX(GIOI_TINH!$A:$A,MATCH(H308,GIOI_TINH!$B:$B,0)),"")</f>
        <v/>
      </c>
      <c r="H308" s="15"/>
      <c r="I308" s="15"/>
      <c r="J308" s="58" t="str">
        <f>IF(ISNUMBER(MATCH(K308,QUOC_GIA!$B:$B,0)),INDEX(QUOC_GIA!$A:$A,MATCH(K308,QUOC_GIA!$B:$B,0)),"")</f>
        <v/>
      </c>
      <c r="K308" s="50"/>
      <c r="L308" s="15"/>
      <c r="M308" s="58" t="str">
        <f>IF(ISNUMBER(MATCH(N308,LOAI_THUE!$B:$B,0)),INDEX(LOAI_THUE!$A:$A,MATCH(N308,LOAI_THUE!$B:$B,0)),"")</f>
        <v/>
      </c>
      <c r="N308" s="50"/>
      <c r="O308" s="58" t="str">
        <f>IF(ISNUMBER(MATCH(P308,CHI_TIET_LOAI_KH!$B:$B,0)),INDEX(CHI_TIET_LOAI_KH!$A:$A,MATCH(P308,CHI_TIET_LOAI_KH!$B:$B,0)),"")</f>
        <v/>
      </c>
      <c r="P308" s="50"/>
      <c r="Q308" s="58" t="str">
        <f>IF(ISNUMBER(MATCH(R308,NGHE_NGHIEP!$B:$B,0)),INDEX(NGHE_NGHIEP!$A:$A,MATCH(R308,NGHE_NGHIEP!$B:$B,0)),"")</f>
        <v/>
      </c>
      <c r="R308" s="50"/>
      <c r="S308" s="58" t="str">
        <f>IF(ISNUMBER(MATCH(T308,LOAI_ID!$B:$B,0)),INDEX(LOAI_ID!$A:$A,MATCH(T308,LOAI_ID!$B:$B,0)),"")</f>
        <v/>
      </c>
      <c r="T308" s="16"/>
      <c r="U308" s="48"/>
      <c r="V308" s="48"/>
      <c r="W308" s="17"/>
      <c r="X308" s="17"/>
      <c r="Y308" s="15"/>
      <c r="Z308" s="15"/>
      <c r="AA308" s="59" t="str">
        <f>IFERROR(INDEX(NOI_CAP!$B:$B,MATCH(Z308,NOI_CAP!$A:$A,0)),"")</f>
        <v/>
      </c>
      <c r="AB308" s="58" t="str">
        <f>IF(ISNUMBER(MATCH(AC308,LOAI_DIA_CHI!$B:$B,0)),INDEX(LOAI_DIA_CHI!$A:$A,MATCH(AC308,LOAI_DIA_CHI!$B:$B,0)),"")</f>
        <v/>
      </c>
      <c r="AC308" s="16"/>
      <c r="AD308" s="58" t="str">
        <f>IF(ISNUMBER(MATCH(AE308,QUOC_GIA!$B:$B,0)),INDEX(QUOC_GIA!$A:$A,MATCH(AE308,QUOC_GIA!$B:$B,0)),"")</f>
        <v/>
      </c>
      <c r="AE308" s="16"/>
      <c r="AF308" s="48"/>
      <c r="AG308" s="59" t="str">
        <f>IFERROR(INDEX(TINH_TP!$B:$B,MATCH(AF308,TINH_TP!$A:$A,0)),"")</f>
        <v/>
      </c>
      <c r="AH308" s="50"/>
      <c r="AI308" s="59" t="str">
        <f>IF(OR(AF308="",AH308=""),"",IF(COUNTIFS(PHUONG_XA!$A$2:$A$3323,AH308,PHUONG_XA!$C$2:$C$3323,AF308)=0,"",INDEX(PHUONG_XA!$B$2:$B$3323,SUMPRODUCT((PHUONG_XA!$A$2:$A$3323&amp;""=AH308&amp;"")*(PHUONG_XA!$C$2:$C$3323&amp;""=AF308&amp;"")*(ROW(PHUONG_XA!$A$2:$A$3323)-ROW(PHUONG_XA!$A$2)+1)))))</f>
        <v/>
      </c>
      <c r="AJ308" s="14"/>
      <c r="AK308" s="14"/>
      <c r="AL308" s="57" t="str">
        <f t="shared" si="5"/>
        <v/>
      </c>
      <c r="AM308" s="14"/>
      <c r="AN308" s="15"/>
      <c r="AO308" s="15"/>
      <c r="AP308" s="48"/>
      <c r="AQ308" s="15"/>
      <c r="AR308" s="15"/>
      <c r="AS308" s="15"/>
      <c r="AT308" s="60" t="str">
        <f>IF(ISNUMBER(MATCH(AU308,LOAI_THE!$B:$B,0)),INDEX(LOAI_THE!$A:$A,MATCH(AU308,LOAI_THE!$B:$B,0)),"")</f>
        <v/>
      </c>
      <c r="AU308" s="48"/>
      <c r="AV308" s="15"/>
      <c r="AW308" s="15"/>
      <c r="AX308" s="15"/>
      <c r="AY308" s="48"/>
    </row>
    <row r="309" spans="1:51" x14ac:dyDescent="0.3">
      <c r="A309" s="13" t="s">
        <v>668</v>
      </c>
      <c r="B309" s="48"/>
      <c r="C309" s="48"/>
      <c r="D309" s="48"/>
      <c r="E309" s="48"/>
      <c r="F309" s="48"/>
      <c r="G309" s="58" t="str">
        <f>IF(ISNUMBER(MATCH(H309,GIOI_TINH!$B:$B,0)),INDEX(GIOI_TINH!$A:$A,MATCH(H309,GIOI_TINH!$B:$B,0)),"")</f>
        <v/>
      </c>
      <c r="H309" s="15"/>
      <c r="I309" s="15"/>
      <c r="J309" s="58" t="str">
        <f>IF(ISNUMBER(MATCH(K309,QUOC_GIA!$B:$B,0)),INDEX(QUOC_GIA!$A:$A,MATCH(K309,QUOC_GIA!$B:$B,0)),"")</f>
        <v/>
      </c>
      <c r="K309" s="50"/>
      <c r="L309" s="15"/>
      <c r="M309" s="58" t="str">
        <f>IF(ISNUMBER(MATCH(N309,LOAI_THUE!$B:$B,0)),INDEX(LOAI_THUE!$A:$A,MATCH(N309,LOAI_THUE!$B:$B,0)),"")</f>
        <v/>
      </c>
      <c r="N309" s="50"/>
      <c r="O309" s="58" t="str">
        <f>IF(ISNUMBER(MATCH(P309,CHI_TIET_LOAI_KH!$B:$B,0)),INDEX(CHI_TIET_LOAI_KH!$A:$A,MATCH(P309,CHI_TIET_LOAI_KH!$B:$B,0)),"")</f>
        <v/>
      </c>
      <c r="P309" s="50"/>
      <c r="Q309" s="58" t="str">
        <f>IF(ISNUMBER(MATCH(R309,NGHE_NGHIEP!$B:$B,0)),INDEX(NGHE_NGHIEP!$A:$A,MATCH(R309,NGHE_NGHIEP!$B:$B,0)),"")</f>
        <v/>
      </c>
      <c r="R309" s="50"/>
      <c r="S309" s="58" t="str">
        <f>IF(ISNUMBER(MATCH(T309,LOAI_ID!$B:$B,0)),INDEX(LOAI_ID!$A:$A,MATCH(T309,LOAI_ID!$B:$B,0)),"")</f>
        <v/>
      </c>
      <c r="T309" s="16"/>
      <c r="U309" s="48"/>
      <c r="V309" s="48"/>
      <c r="W309" s="17"/>
      <c r="X309" s="17"/>
      <c r="Y309" s="15"/>
      <c r="Z309" s="15"/>
      <c r="AA309" s="59" t="str">
        <f>IFERROR(INDEX(NOI_CAP!$B:$B,MATCH(Z309,NOI_CAP!$A:$A,0)),"")</f>
        <v/>
      </c>
      <c r="AB309" s="58" t="str">
        <f>IF(ISNUMBER(MATCH(AC309,LOAI_DIA_CHI!$B:$B,0)),INDEX(LOAI_DIA_CHI!$A:$A,MATCH(AC309,LOAI_DIA_CHI!$B:$B,0)),"")</f>
        <v/>
      </c>
      <c r="AC309" s="16"/>
      <c r="AD309" s="58" t="str">
        <f>IF(ISNUMBER(MATCH(AE309,QUOC_GIA!$B:$B,0)),INDEX(QUOC_GIA!$A:$A,MATCH(AE309,QUOC_GIA!$B:$B,0)),"")</f>
        <v/>
      </c>
      <c r="AE309" s="16"/>
      <c r="AF309" s="48"/>
      <c r="AG309" s="59" t="str">
        <f>IFERROR(INDEX(TINH_TP!$B:$B,MATCH(AF309,TINH_TP!$A:$A,0)),"")</f>
        <v/>
      </c>
      <c r="AH309" s="50"/>
      <c r="AI309" s="59" t="str">
        <f>IF(OR(AF309="",AH309=""),"",IF(COUNTIFS(PHUONG_XA!$A$2:$A$3323,AH309,PHUONG_XA!$C$2:$C$3323,AF309)=0,"",INDEX(PHUONG_XA!$B$2:$B$3323,SUMPRODUCT((PHUONG_XA!$A$2:$A$3323&amp;""=AH309&amp;"")*(PHUONG_XA!$C$2:$C$3323&amp;""=AF309&amp;"")*(ROW(PHUONG_XA!$A$2:$A$3323)-ROW(PHUONG_XA!$A$2)+1)))))</f>
        <v/>
      </c>
      <c r="AJ309" s="14"/>
      <c r="AK309" s="14"/>
      <c r="AL309" s="57" t="str">
        <f t="shared" si="5"/>
        <v/>
      </c>
      <c r="AM309" s="14"/>
      <c r="AN309" s="15"/>
      <c r="AO309" s="15"/>
      <c r="AP309" s="48"/>
      <c r="AQ309" s="15"/>
      <c r="AR309" s="15"/>
      <c r="AS309" s="15"/>
      <c r="AT309" s="60" t="str">
        <f>IF(ISNUMBER(MATCH(AU309,LOAI_THE!$B:$B,0)),INDEX(LOAI_THE!$A:$A,MATCH(AU309,LOAI_THE!$B:$B,0)),"")</f>
        <v/>
      </c>
      <c r="AU309" s="48"/>
      <c r="AV309" s="15"/>
      <c r="AW309" s="15"/>
      <c r="AX309" s="15"/>
      <c r="AY309" s="48"/>
    </row>
    <row r="310" spans="1:51" x14ac:dyDescent="0.3">
      <c r="A310" s="13" t="s">
        <v>670</v>
      </c>
      <c r="B310" s="48"/>
      <c r="C310" s="48"/>
      <c r="D310" s="48"/>
      <c r="E310" s="48"/>
      <c r="F310" s="48"/>
      <c r="G310" s="58" t="str">
        <f>IF(ISNUMBER(MATCH(H310,GIOI_TINH!$B:$B,0)),INDEX(GIOI_TINH!$A:$A,MATCH(H310,GIOI_TINH!$B:$B,0)),"")</f>
        <v/>
      </c>
      <c r="H310" s="15"/>
      <c r="I310" s="15"/>
      <c r="J310" s="58" t="str">
        <f>IF(ISNUMBER(MATCH(K310,QUOC_GIA!$B:$B,0)),INDEX(QUOC_GIA!$A:$A,MATCH(K310,QUOC_GIA!$B:$B,0)),"")</f>
        <v/>
      </c>
      <c r="K310" s="50"/>
      <c r="L310" s="15"/>
      <c r="M310" s="58" t="str">
        <f>IF(ISNUMBER(MATCH(N310,LOAI_THUE!$B:$B,0)),INDEX(LOAI_THUE!$A:$A,MATCH(N310,LOAI_THUE!$B:$B,0)),"")</f>
        <v/>
      </c>
      <c r="N310" s="50"/>
      <c r="O310" s="58" t="str">
        <f>IF(ISNUMBER(MATCH(P310,CHI_TIET_LOAI_KH!$B:$B,0)),INDEX(CHI_TIET_LOAI_KH!$A:$A,MATCH(P310,CHI_TIET_LOAI_KH!$B:$B,0)),"")</f>
        <v/>
      </c>
      <c r="P310" s="50"/>
      <c r="Q310" s="58" t="str">
        <f>IF(ISNUMBER(MATCH(R310,NGHE_NGHIEP!$B:$B,0)),INDEX(NGHE_NGHIEP!$A:$A,MATCH(R310,NGHE_NGHIEP!$B:$B,0)),"")</f>
        <v/>
      </c>
      <c r="R310" s="50"/>
      <c r="S310" s="58" t="str">
        <f>IF(ISNUMBER(MATCH(T310,LOAI_ID!$B:$B,0)),INDEX(LOAI_ID!$A:$A,MATCH(T310,LOAI_ID!$B:$B,0)),"")</f>
        <v/>
      </c>
      <c r="T310" s="16"/>
      <c r="U310" s="48"/>
      <c r="V310" s="48"/>
      <c r="W310" s="17"/>
      <c r="X310" s="17"/>
      <c r="Y310" s="15"/>
      <c r="Z310" s="15"/>
      <c r="AA310" s="59" t="str">
        <f>IFERROR(INDEX(NOI_CAP!$B:$B,MATCH(Z310,NOI_CAP!$A:$A,0)),"")</f>
        <v/>
      </c>
      <c r="AB310" s="58" t="str">
        <f>IF(ISNUMBER(MATCH(AC310,LOAI_DIA_CHI!$B:$B,0)),INDEX(LOAI_DIA_CHI!$A:$A,MATCH(AC310,LOAI_DIA_CHI!$B:$B,0)),"")</f>
        <v/>
      </c>
      <c r="AC310" s="16"/>
      <c r="AD310" s="58" t="str">
        <f>IF(ISNUMBER(MATCH(AE310,QUOC_GIA!$B:$B,0)),INDEX(QUOC_GIA!$A:$A,MATCH(AE310,QUOC_GIA!$B:$B,0)),"")</f>
        <v/>
      </c>
      <c r="AE310" s="16"/>
      <c r="AF310" s="48"/>
      <c r="AG310" s="59" t="str">
        <f>IFERROR(INDEX(TINH_TP!$B:$B,MATCH(AF310,TINH_TP!$A:$A,0)),"")</f>
        <v/>
      </c>
      <c r="AH310" s="50"/>
      <c r="AI310" s="59" t="str">
        <f>IF(OR(AF310="",AH310=""),"",IF(COUNTIFS(PHUONG_XA!$A$2:$A$3323,AH310,PHUONG_XA!$C$2:$C$3323,AF310)=0,"",INDEX(PHUONG_XA!$B$2:$B$3323,SUMPRODUCT((PHUONG_XA!$A$2:$A$3323&amp;""=AH310&amp;"")*(PHUONG_XA!$C$2:$C$3323&amp;""=AF310&amp;"")*(ROW(PHUONG_XA!$A$2:$A$3323)-ROW(PHUONG_XA!$A$2)+1)))))</f>
        <v/>
      </c>
      <c r="AJ310" s="14"/>
      <c r="AK310" s="14"/>
      <c r="AL310" s="57" t="str">
        <f t="shared" si="5"/>
        <v/>
      </c>
      <c r="AM310" s="14"/>
      <c r="AN310" s="15"/>
      <c r="AO310" s="15"/>
      <c r="AP310" s="48"/>
      <c r="AQ310" s="15"/>
      <c r="AR310" s="15"/>
      <c r="AS310" s="15"/>
      <c r="AT310" s="60" t="str">
        <f>IF(ISNUMBER(MATCH(AU310,LOAI_THE!$B:$B,0)),INDEX(LOAI_THE!$A:$A,MATCH(AU310,LOAI_THE!$B:$B,0)),"")</f>
        <v/>
      </c>
      <c r="AU310" s="48"/>
      <c r="AV310" s="15"/>
      <c r="AW310" s="15"/>
      <c r="AX310" s="15"/>
      <c r="AY310" s="48"/>
    </row>
    <row r="311" spans="1:51" x14ac:dyDescent="0.3">
      <c r="A311" s="13" t="s">
        <v>672</v>
      </c>
      <c r="B311" s="48"/>
      <c r="C311" s="48"/>
      <c r="D311" s="48"/>
      <c r="E311" s="48"/>
      <c r="F311" s="48"/>
      <c r="G311" s="58" t="str">
        <f>IF(ISNUMBER(MATCH(H311,GIOI_TINH!$B:$B,0)),INDEX(GIOI_TINH!$A:$A,MATCH(H311,GIOI_TINH!$B:$B,0)),"")</f>
        <v/>
      </c>
      <c r="H311" s="15"/>
      <c r="I311" s="15"/>
      <c r="J311" s="58" t="str">
        <f>IF(ISNUMBER(MATCH(K311,QUOC_GIA!$B:$B,0)),INDEX(QUOC_GIA!$A:$A,MATCH(K311,QUOC_GIA!$B:$B,0)),"")</f>
        <v/>
      </c>
      <c r="K311" s="50"/>
      <c r="L311" s="15"/>
      <c r="M311" s="58" t="str">
        <f>IF(ISNUMBER(MATCH(N311,LOAI_THUE!$B:$B,0)),INDEX(LOAI_THUE!$A:$A,MATCH(N311,LOAI_THUE!$B:$B,0)),"")</f>
        <v/>
      </c>
      <c r="N311" s="50"/>
      <c r="O311" s="58" t="str">
        <f>IF(ISNUMBER(MATCH(P311,CHI_TIET_LOAI_KH!$B:$B,0)),INDEX(CHI_TIET_LOAI_KH!$A:$A,MATCH(P311,CHI_TIET_LOAI_KH!$B:$B,0)),"")</f>
        <v/>
      </c>
      <c r="P311" s="50"/>
      <c r="Q311" s="58" t="str">
        <f>IF(ISNUMBER(MATCH(R311,NGHE_NGHIEP!$B:$B,0)),INDEX(NGHE_NGHIEP!$A:$A,MATCH(R311,NGHE_NGHIEP!$B:$B,0)),"")</f>
        <v/>
      </c>
      <c r="R311" s="50"/>
      <c r="S311" s="58" t="str">
        <f>IF(ISNUMBER(MATCH(T311,LOAI_ID!$B:$B,0)),INDEX(LOAI_ID!$A:$A,MATCH(T311,LOAI_ID!$B:$B,0)),"")</f>
        <v/>
      </c>
      <c r="T311" s="16"/>
      <c r="U311" s="48"/>
      <c r="V311" s="48"/>
      <c r="W311" s="17"/>
      <c r="X311" s="17"/>
      <c r="Y311" s="15"/>
      <c r="Z311" s="15"/>
      <c r="AA311" s="59" t="str">
        <f>IFERROR(INDEX(NOI_CAP!$B:$B,MATCH(Z311,NOI_CAP!$A:$A,0)),"")</f>
        <v/>
      </c>
      <c r="AB311" s="58" t="str">
        <f>IF(ISNUMBER(MATCH(AC311,LOAI_DIA_CHI!$B:$B,0)),INDEX(LOAI_DIA_CHI!$A:$A,MATCH(AC311,LOAI_DIA_CHI!$B:$B,0)),"")</f>
        <v/>
      </c>
      <c r="AC311" s="16"/>
      <c r="AD311" s="58" t="str">
        <f>IF(ISNUMBER(MATCH(AE311,QUOC_GIA!$B:$B,0)),INDEX(QUOC_GIA!$A:$A,MATCH(AE311,QUOC_GIA!$B:$B,0)),"")</f>
        <v/>
      </c>
      <c r="AE311" s="16"/>
      <c r="AF311" s="48"/>
      <c r="AG311" s="59" t="str">
        <f>IFERROR(INDEX(TINH_TP!$B:$B,MATCH(AF311,TINH_TP!$A:$A,0)),"")</f>
        <v/>
      </c>
      <c r="AH311" s="50"/>
      <c r="AI311" s="59" t="str">
        <f>IF(OR(AF311="",AH311=""),"",IF(COUNTIFS(PHUONG_XA!$A$2:$A$3323,AH311,PHUONG_XA!$C$2:$C$3323,AF311)=0,"",INDEX(PHUONG_XA!$B$2:$B$3323,SUMPRODUCT((PHUONG_XA!$A$2:$A$3323&amp;""=AH311&amp;"")*(PHUONG_XA!$C$2:$C$3323&amp;""=AF311&amp;"")*(ROW(PHUONG_XA!$A$2:$A$3323)-ROW(PHUONG_XA!$A$2)+1)))))</f>
        <v/>
      </c>
      <c r="AJ311" s="14"/>
      <c r="AK311" s="14"/>
      <c r="AL311" s="57" t="str">
        <f t="shared" si="5"/>
        <v/>
      </c>
      <c r="AM311" s="14"/>
      <c r="AN311" s="15"/>
      <c r="AO311" s="15"/>
      <c r="AP311" s="48"/>
      <c r="AQ311" s="15"/>
      <c r="AR311" s="15"/>
      <c r="AS311" s="15"/>
      <c r="AT311" s="60" t="str">
        <f>IF(ISNUMBER(MATCH(AU311,LOAI_THE!$B:$B,0)),INDEX(LOAI_THE!$A:$A,MATCH(AU311,LOAI_THE!$B:$B,0)),"")</f>
        <v/>
      </c>
      <c r="AU311" s="48"/>
      <c r="AV311" s="15"/>
      <c r="AW311" s="15"/>
      <c r="AX311" s="15"/>
      <c r="AY311" s="48"/>
    </row>
    <row r="312" spans="1:51" x14ac:dyDescent="0.3">
      <c r="A312" s="13" t="s">
        <v>674</v>
      </c>
      <c r="B312" s="48"/>
      <c r="C312" s="48"/>
      <c r="D312" s="48"/>
      <c r="E312" s="48"/>
      <c r="F312" s="48"/>
      <c r="G312" s="58" t="str">
        <f>IF(ISNUMBER(MATCH(H312,GIOI_TINH!$B:$B,0)),INDEX(GIOI_TINH!$A:$A,MATCH(H312,GIOI_TINH!$B:$B,0)),"")</f>
        <v/>
      </c>
      <c r="H312" s="15"/>
      <c r="I312" s="15"/>
      <c r="J312" s="58" t="str">
        <f>IF(ISNUMBER(MATCH(K312,QUOC_GIA!$B:$B,0)),INDEX(QUOC_GIA!$A:$A,MATCH(K312,QUOC_GIA!$B:$B,0)),"")</f>
        <v/>
      </c>
      <c r="K312" s="50"/>
      <c r="L312" s="15"/>
      <c r="M312" s="58" t="str">
        <f>IF(ISNUMBER(MATCH(N312,LOAI_THUE!$B:$B,0)),INDEX(LOAI_THUE!$A:$A,MATCH(N312,LOAI_THUE!$B:$B,0)),"")</f>
        <v/>
      </c>
      <c r="N312" s="50"/>
      <c r="O312" s="58" t="str">
        <f>IF(ISNUMBER(MATCH(P312,CHI_TIET_LOAI_KH!$B:$B,0)),INDEX(CHI_TIET_LOAI_KH!$A:$A,MATCH(P312,CHI_TIET_LOAI_KH!$B:$B,0)),"")</f>
        <v/>
      </c>
      <c r="P312" s="50"/>
      <c r="Q312" s="58" t="str">
        <f>IF(ISNUMBER(MATCH(R312,NGHE_NGHIEP!$B:$B,0)),INDEX(NGHE_NGHIEP!$A:$A,MATCH(R312,NGHE_NGHIEP!$B:$B,0)),"")</f>
        <v/>
      </c>
      <c r="R312" s="50"/>
      <c r="S312" s="58" t="str">
        <f>IF(ISNUMBER(MATCH(T312,LOAI_ID!$B:$B,0)),INDEX(LOAI_ID!$A:$A,MATCH(T312,LOAI_ID!$B:$B,0)),"")</f>
        <v/>
      </c>
      <c r="T312" s="16"/>
      <c r="U312" s="48"/>
      <c r="V312" s="48"/>
      <c r="W312" s="17"/>
      <c r="X312" s="17"/>
      <c r="Y312" s="15"/>
      <c r="Z312" s="15"/>
      <c r="AA312" s="59" t="str">
        <f>IFERROR(INDEX(NOI_CAP!$B:$B,MATCH(Z312,NOI_CAP!$A:$A,0)),"")</f>
        <v/>
      </c>
      <c r="AB312" s="58" t="str">
        <f>IF(ISNUMBER(MATCH(AC312,LOAI_DIA_CHI!$B:$B,0)),INDEX(LOAI_DIA_CHI!$A:$A,MATCH(AC312,LOAI_DIA_CHI!$B:$B,0)),"")</f>
        <v/>
      </c>
      <c r="AC312" s="16"/>
      <c r="AD312" s="58" t="str">
        <f>IF(ISNUMBER(MATCH(AE312,QUOC_GIA!$B:$B,0)),INDEX(QUOC_GIA!$A:$A,MATCH(AE312,QUOC_GIA!$B:$B,0)),"")</f>
        <v/>
      </c>
      <c r="AE312" s="16"/>
      <c r="AF312" s="48"/>
      <c r="AG312" s="59" t="str">
        <f>IFERROR(INDEX(TINH_TP!$B:$B,MATCH(AF312,TINH_TP!$A:$A,0)),"")</f>
        <v/>
      </c>
      <c r="AH312" s="50"/>
      <c r="AI312" s="59" t="str">
        <f>IF(OR(AF312="",AH312=""),"",IF(COUNTIFS(PHUONG_XA!$A$2:$A$3323,AH312,PHUONG_XA!$C$2:$C$3323,AF312)=0,"",INDEX(PHUONG_XA!$B$2:$B$3323,SUMPRODUCT((PHUONG_XA!$A$2:$A$3323&amp;""=AH312&amp;"")*(PHUONG_XA!$C$2:$C$3323&amp;""=AF312&amp;"")*(ROW(PHUONG_XA!$A$2:$A$3323)-ROW(PHUONG_XA!$A$2)+1)))))</f>
        <v/>
      </c>
      <c r="AJ312" s="14"/>
      <c r="AK312" s="14"/>
      <c r="AL312" s="57" t="str">
        <f t="shared" si="5"/>
        <v/>
      </c>
      <c r="AM312" s="14"/>
      <c r="AN312" s="15"/>
      <c r="AO312" s="15"/>
      <c r="AP312" s="48"/>
      <c r="AQ312" s="15"/>
      <c r="AR312" s="15"/>
      <c r="AS312" s="15"/>
      <c r="AT312" s="60" t="str">
        <f>IF(ISNUMBER(MATCH(AU312,LOAI_THE!$B:$B,0)),INDEX(LOAI_THE!$A:$A,MATCH(AU312,LOAI_THE!$B:$B,0)),"")</f>
        <v/>
      </c>
      <c r="AU312" s="48"/>
      <c r="AV312" s="15"/>
      <c r="AW312" s="15"/>
      <c r="AX312" s="15"/>
      <c r="AY312" s="48"/>
    </row>
    <row r="313" spans="1:51" x14ac:dyDescent="0.3">
      <c r="A313" s="13" t="s">
        <v>676</v>
      </c>
      <c r="B313" s="48"/>
      <c r="C313" s="48"/>
      <c r="D313" s="48"/>
      <c r="E313" s="48"/>
      <c r="F313" s="48"/>
      <c r="G313" s="58" t="str">
        <f>IF(ISNUMBER(MATCH(H313,GIOI_TINH!$B:$B,0)),INDEX(GIOI_TINH!$A:$A,MATCH(H313,GIOI_TINH!$B:$B,0)),"")</f>
        <v/>
      </c>
      <c r="H313" s="15"/>
      <c r="I313" s="15"/>
      <c r="J313" s="58" t="str">
        <f>IF(ISNUMBER(MATCH(K313,QUOC_GIA!$B:$B,0)),INDEX(QUOC_GIA!$A:$A,MATCH(K313,QUOC_GIA!$B:$B,0)),"")</f>
        <v/>
      </c>
      <c r="K313" s="50"/>
      <c r="L313" s="15"/>
      <c r="M313" s="58" t="str">
        <f>IF(ISNUMBER(MATCH(N313,LOAI_THUE!$B:$B,0)),INDEX(LOAI_THUE!$A:$A,MATCH(N313,LOAI_THUE!$B:$B,0)),"")</f>
        <v/>
      </c>
      <c r="N313" s="50"/>
      <c r="O313" s="58" t="str">
        <f>IF(ISNUMBER(MATCH(P313,CHI_TIET_LOAI_KH!$B:$B,0)),INDEX(CHI_TIET_LOAI_KH!$A:$A,MATCH(P313,CHI_TIET_LOAI_KH!$B:$B,0)),"")</f>
        <v/>
      </c>
      <c r="P313" s="50"/>
      <c r="Q313" s="58" t="str">
        <f>IF(ISNUMBER(MATCH(R313,NGHE_NGHIEP!$B:$B,0)),INDEX(NGHE_NGHIEP!$A:$A,MATCH(R313,NGHE_NGHIEP!$B:$B,0)),"")</f>
        <v/>
      </c>
      <c r="R313" s="50"/>
      <c r="S313" s="58" t="str">
        <f>IF(ISNUMBER(MATCH(T313,LOAI_ID!$B:$B,0)),INDEX(LOAI_ID!$A:$A,MATCH(T313,LOAI_ID!$B:$B,0)),"")</f>
        <v/>
      </c>
      <c r="T313" s="16"/>
      <c r="U313" s="48"/>
      <c r="V313" s="48"/>
      <c r="W313" s="17"/>
      <c r="X313" s="17"/>
      <c r="Y313" s="15"/>
      <c r="Z313" s="15"/>
      <c r="AA313" s="59" t="str">
        <f>IFERROR(INDEX(NOI_CAP!$B:$B,MATCH(Z313,NOI_CAP!$A:$A,0)),"")</f>
        <v/>
      </c>
      <c r="AB313" s="58" t="str">
        <f>IF(ISNUMBER(MATCH(AC313,LOAI_DIA_CHI!$B:$B,0)),INDEX(LOAI_DIA_CHI!$A:$A,MATCH(AC313,LOAI_DIA_CHI!$B:$B,0)),"")</f>
        <v/>
      </c>
      <c r="AC313" s="16"/>
      <c r="AD313" s="58" t="str">
        <f>IF(ISNUMBER(MATCH(AE313,QUOC_GIA!$B:$B,0)),INDEX(QUOC_GIA!$A:$A,MATCH(AE313,QUOC_GIA!$B:$B,0)),"")</f>
        <v/>
      </c>
      <c r="AE313" s="16"/>
      <c r="AF313" s="48"/>
      <c r="AG313" s="59" t="str">
        <f>IFERROR(INDEX(TINH_TP!$B:$B,MATCH(AF313,TINH_TP!$A:$A,0)),"")</f>
        <v/>
      </c>
      <c r="AH313" s="50"/>
      <c r="AI313" s="59" t="str">
        <f>IF(OR(AF313="",AH313=""),"",IF(COUNTIFS(PHUONG_XA!$A$2:$A$3323,AH313,PHUONG_XA!$C$2:$C$3323,AF313)=0,"",INDEX(PHUONG_XA!$B$2:$B$3323,SUMPRODUCT((PHUONG_XA!$A$2:$A$3323&amp;""=AH313&amp;"")*(PHUONG_XA!$C$2:$C$3323&amp;""=AF313&amp;"")*(ROW(PHUONG_XA!$A$2:$A$3323)-ROW(PHUONG_XA!$A$2)+1)))))</f>
        <v/>
      </c>
      <c r="AJ313" s="14"/>
      <c r="AK313" s="14"/>
      <c r="AL313" s="57" t="str">
        <f t="shared" si="5"/>
        <v/>
      </c>
      <c r="AM313" s="14"/>
      <c r="AN313" s="15"/>
      <c r="AO313" s="15"/>
      <c r="AP313" s="48"/>
      <c r="AQ313" s="15"/>
      <c r="AR313" s="15"/>
      <c r="AS313" s="15"/>
      <c r="AT313" s="60" t="str">
        <f>IF(ISNUMBER(MATCH(AU313,LOAI_THE!$B:$B,0)),INDEX(LOAI_THE!$A:$A,MATCH(AU313,LOAI_THE!$B:$B,0)),"")</f>
        <v/>
      </c>
      <c r="AU313" s="48"/>
      <c r="AV313" s="15"/>
      <c r="AW313" s="15"/>
      <c r="AX313" s="15"/>
      <c r="AY313" s="48"/>
    </row>
    <row r="314" spans="1:51" x14ac:dyDescent="0.3">
      <c r="A314" s="13" t="s">
        <v>678</v>
      </c>
      <c r="B314" s="48"/>
      <c r="C314" s="48"/>
      <c r="D314" s="48"/>
      <c r="E314" s="48"/>
      <c r="F314" s="48"/>
      <c r="G314" s="58" t="str">
        <f>IF(ISNUMBER(MATCH(H314,GIOI_TINH!$B:$B,0)),INDEX(GIOI_TINH!$A:$A,MATCH(H314,GIOI_TINH!$B:$B,0)),"")</f>
        <v/>
      </c>
      <c r="H314" s="15"/>
      <c r="I314" s="15"/>
      <c r="J314" s="58" t="str">
        <f>IF(ISNUMBER(MATCH(K314,QUOC_GIA!$B:$B,0)),INDEX(QUOC_GIA!$A:$A,MATCH(K314,QUOC_GIA!$B:$B,0)),"")</f>
        <v/>
      </c>
      <c r="K314" s="50"/>
      <c r="L314" s="15"/>
      <c r="M314" s="58" t="str">
        <f>IF(ISNUMBER(MATCH(N314,LOAI_THUE!$B:$B,0)),INDEX(LOAI_THUE!$A:$A,MATCH(N314,LOAI_THUE!$B:$B,0)),"")</f>
        <v/>
      </c>
      <c r="N314" s="50"/>
      <c r="O314" s="58" t="str">
        <f>IF(ISNUMBER(MATCH(P314,CHI_TIET_LOAI_KH!$B:$B,0)),INDEX(CHI_TIET_LOAI_KH!$A:$A,MATCH(P314,CHI_TIET_LOAI_KH!$B:$B,0)),"")</f>
        <v/>
      </c>
      <c r="P314" s="50"/>
      <c r="Q314" s="58" t="str">
        <f>IF(ISNUMBER(MATCH(R314,NGHE_NGHIEP!$B:$B,0)),INDEX(NGHE_NGHIEP!$A:$A,MATCH(R314,NGHE_NGHIEP!$B:$B,0)),"")</f>
        <v/>
      </c>
      <c r="R314" s="50"/>
      <c r="S314" s="58" t="str">
        <f>IF(ISNUMBER(MATCH(T314,LOAI_ID!$B:$B,0)),INDEX(LOAI_ID!$A:$A,MATCH(T314,LOAI_ID!$B:$B,0)),"")</f>
        <v/>
      </c>
      <c r="T314" s="16"/>
      <c r="U314" s="48"/>
      <c r="V314" s="48"/>
      <c r="W314" s="17"/>
      <c r="X314" s="17"/>
      <c r="Y314" s="15"/>
      <c r="Z314" s="15"/>
      <c r="AA314" s="59" t="str">
        <f>IFERROR(INDEX(NOI_CAP!$B:$B,MATCH(Z314,NOI_CAP!$A:$A,0)),"")</f>
        <v/>
      </c>
      <c r="AB314" s="58" t="str">
        <f>IF(ISNUMBER(MATCH(AC314,LOAI_DIA_CHI!$B:$B,0)),INDEX(LOAI_DIA_CHI!$A:$A,MATCH(AC314,LOAI_DIA_CHI!$B:$B,0)),"")</f>
        <v/>
      </c>
      <c r="AC314" s="16"/>
      <c r="AD314" s="58" t="str">
        <f>IF(ISNUMBER(MATCH(AE314,QUOC_GIA!$B:$B,0)),INDEX(QUOC_GIA!$A:$A,MATCH(AE314,QUOC_GIA!$B:$B,0)),"")</f>
        <v/>
      </c>
      <c r="AE314" s="16"/>
      <c r="AF314" s="48"/>
      <c r="AG314" s="59" t="str">
        <f>IFERROR(INDEX(TINH_TP!$B:$B,MATCH(AF314,TINH_TP!$A:$A,0)),"")</f>
        <v/>
      </c>
      <c r="AH314" s="50"/>
      <c r="AI314" s="59" t="str">
        <f>IF(OR(AF314="",AH314=""),"",IF(COUNTIFS(PHUONG_XA!$A$2:$A$3323,AH314,PHUONG_XA!$C$2:$C$3323,AF314)=0,"",INDEX(PHUONG_XA!$B$2:$B$3323,SUMPRODUCT((PHUONG_XA!$A$2:$A$3323&amp;""=AH314&amp;"")*(PHUONG_XA!$C$2:$C$3323&amp;""=AF314&amp;"")*(ROW(PHUONG_XA!$A$2:$A$3323)-ROW(PHUONG_XA!$A$2)+1)))))</f>
        <v/>
      </c>
      <c r="AJ314" s="14"/>
      <c r="AK314" s="14"/>
      <c r="AL314" s="57" t="str">
        <f t="shared" si="5"/>
        <v/>
      </c>
      <c r="AM314" s="14"/>
      <c r="AN314" s="15"/>
      <c r="AO314" s="15"/>
      <c r="AP314" s="48"/>
      <c r="AQ314" s="15"/>
      <c r="AR314" s="15"/>
      <c r="AS314" s="15"/>
      <c r="AT314" s="60" t="str">
        <f>IF(ISNUMBER(MATCH(AU314,LOAI_THE!$B:$B,0)),INDEX(LOAI_THE!$A:$A,MATCH(AU314,LOAI_THE!$B:$B,0)),"")</f>
        <v/>
      </c>
      <c r="AU314" s="48"/>
      <c r="AV314" s="15"/>
      <c r="AW314" s="15"/>
      <c r="AX314" s="15"/>
      <c r="AY314" s="48"/>
    </row>
    <row r="315" spans="1:51" x14ac:dyDescent="0.3">
      <c r="A315" s="13" t="s">
        <v>680</v>
      </c>
      <c r="B315" s="48"/>
      <c r="C315" s="48"/>
      <c r="D315" s="48"/>
      <c r="E315" s="48"/>
      <c r="F315" s="48"/>
      <c r="G315" s="58" t="str">
        <f>IF(ISNUMBER(MATCH(H315,GIOI_TINH!$B:$B,0)),INDEX(GIOI_TINH!$A:$A,MATCH(H315,GIOI_TINH!$B:$B,0)),"")</f>
        <v/>
      </c>
      <c r="H315" s="15"/>
      <c r="I315" s="15"/>
      <c r="J315" s="58" t="str">
        <f>IF(ISNUMBER(MATCH(K315,QUOC_GIA!$B:$B,0)),INDEX(QUOC_GIA!$A:$A,MATCH(K315,QUOC_GIA!$B:$B,0)),"")</f>
        <v/>
      </c>
      <c r="K315" s="50"/>
      <c r="L315" s="15"/>
      <c r="M315" s="58" t="str">
        <f>IF(ISNUMBER(MATCH(N315,LOAI_THUE!$B:$B,0)),INDEX(LOAI_THUE!$A:$A,MATCH(N315,LOAI_THUE!$B:$B,0)),"")</f>
        <v/>
      </c>
      <c r="N315" s="50"/>
      <c r="O315" s="58" t="str">
        <f>IF(ISNUMBER(MATCH(P315,CHI_TIET_LOAI_KH!$B:$B,0)),INDEX(CHI_TIET_LOAI_KH!$A:$A,MATCH(P315,CHI_TIET_LOAI_KH!$B:$B,0)),"")</f>
        <v/>
      </c>
      <c r="P315" s="50"/>
      <c r="Q315" s="58" t="str">
        <f>IF(ISNUMBER(MATCH(R315,NGHE_NGHIEP!$B:$B,0)),INDEX(NGHE_NGHIEP!$A:$A,MATCH(R315,NGHE_NGHIEP!$B:$B,0)),"")</f>
        <v/>
      </c>
      <c r="R315" s="50"/>
      <c r="S315" s="58" t="str">
        <f>IF(ISNUMBER(MATCH(T315,LOAI_ID!$B:$B,0)),INDEX(LOAI_ID!$A:$A,MATCH(T315,LOAI_ID!$B:$B,0)),"")</f>
        <v/>
      </c>
      <c r="T315" s="16"/>
      <c r="U315" s="48"/>
      <c r="V315" s="48"/>
      <c r="W315" s="17"/>
      <c r="X315" s="17"/>
      <c r="Y315" s="15"/>
      <c r="Z315" s="15"/>
      <c r="AA315" s="59" t="str">
        <f>IFERROR(INDEX(NOI_CAP!$B:$B,MATCH(Z315,NOI_CAP!$A:$A,0)),"")</f>
        <v/>
      </c>
      <c r="AB315" s="58" t="str">
        <f>IF(ISNUMBER(MATCH(AC315,LOAI_DIA_CHI!$B:$B,0)),INDEX(LOAI_DIA_CHI!$A:$A,MATCH(AC315,LOAI_DIA_CHI!$B:$B,0)),"")</f>
        <v/>
      </c>
      <c r="AC315" s="16"/>
      <c r="AD315" s="58" t="str">
        <f>IF(ISNUMBER(MATCH(AE315,QUOC_GIA!$B:$B,0)),INDEX(QUOC_GIA!$A:$A,MATCH(AE315,QUOC_GIA!$B:$B,0)),"")</f>
        <v/>
      </c>
      <c r="AE315" s="16"/>
      <c r="AF315" s="48"/>
      <c r="AG315" s="59" t="str">
        <f>IFERROR(INDEX(TINH_TP!$B:$B,MATCH(AF315,TINH_TP!$A:$A,0)),"")</f>
        <v/>
      </c>
      <c r="AH315" s="50"/>
      <c r="AI315" s="59" t="str">
        <f>IF(OR(AF315="",AH315=""),"",IF(COUNTIFS(PHUONG_XA!$A$2:$A$3323,AH315,PHUONG_XA!$C$2:$C$3323,AF315)=0,"",INDEX(PHUONG_XA!$B$2:$B$3323,SUMPRODUCT((PHUONG_XA!$A$2:$A$3323&amp;""=AH315&amp;"")*(PHUONG_XA!$C$2:$C$3323&amp;""=AF315&amp;"")*(ROW(PHUONG_XA!$A$2:$A$3323)-ROW(PHUONG_XA!$A$2)+1)))))</f>
        <v/>
      </c>
      <c r="AJ315" s="14"/>
      <c r="AK315" s="14"/>
      <c r="AL315" s="57" t="str">
        <f t="shared" si="5"/>
        <v/>
      </c>
      <c r="AM315" s="14"/>
      <c r="AN315" s="15"/>
      <c r="AO315" s="15"/>
      <c r="AP315" s="48"/>
      <c r="AQ315" s="15"/>
      <c r="AR315" s="15"/>
      <c r="AS315" s="15"/>
      <c r="AT315" s="60" t="str">
        <f>IF(ISNUMBER(MATCH(AU315,LOAI_THE!$B:$B,0)),INDEX(LOAI_THE!$A:$A,MATCH(AU315,LOAI_THE!$B:$B,0)),"")</f>
        <v/>
      </c>
      <c r="AU315" s="48"/>
      <c r="AV315" s="15"/>
      <c r="AW315" s="15"/>
      <c r="AX315" s="15"/>
      <c r="AY315" s="48"/>
    </row>
    <row r="316" spans="1:51" x14ac:dyDescent="0.3">
      <c r="A316" s="13" t="s">
        <v>682</v>
      </c>
      <c r="B316" s="48"/>
      <c r="C316" s="48"/>
      <c r="D316" s="48"/>
      <c r="E316" s="48"/>
      <c r="F316" s="48"/>
      <c r="G316" s="58" t="str">
        <f>IF(ISNUMBER(MATCH(H316,GIOI_TINH!$B:$B,0)),INDEX(GIOI_TINH!$A:$A,MATCH(H316,GIOI_TINH!$B:$B,0)),"")</f>
        <v/>
      </c>
      <c r="H316" s="15"/>
      <c r="I316" s="15"/>
      <c r="J316" s="58" t="str">
        <f>IF(ISNUMBER(MATCH(K316,QUOC_GIA!$B:$B,0)),INDEX(QUOC_GIA!$A:$A,MATCH(K316,QUOC_GIA!$B:$B,0)),"")</f>
        <v/>
      </c>
      <c r="K316" s="50"/>
      <c r="L316" s="15"/>
      <c r="M316" s="58" t="str">
        <f>IF(ISNUMBER(MATCH(N316,LOAI_THUE!$B:$B,0)),INDEX(LOAI_THUE!$A:$A,MATCH(N316,LOAI_THUE!$B:$B,0)),"")</f>
        <v/>
      </c>
      <c r="N316" s="50"/>
      <c r="O316" s="58" t="str">
        <f>IF(ISNUMBER(MATCH(P316,CHI_TIET_LOAI_KH!$B:$B,0)),INDEX(CHI_TIET_LOAI_KH!$A:$A,MATCH(P316,CHI_TIET_LOAI_KH!$B:$B,0)),"")</f>
        <v/>
      </c>
      <c r="P316" s="50"/>
      <c r="Q316" s="58" t="str">
        <f>IF(ISNUMBER(MATCH(R316,NGHE_NGHIEP!$B:$B,0)),INDEX(NGHE_NGHIEP!$A:$A,MATCH(R316,NGHE_NGHIEP!$B:$B,0)),"")</f>
        <v/>
      </c>
      <c r="R316" s="50"/>
      <c r="S316" s="58" t="str">
        <f>IF(ISNUMBER(MATCH(T316,LOAI_ID!$B:$B,0)),INDEX(LOAI_ID!$A:$A,MATCH(T316,LOAI_ID!$B:$B,0)),"")</f>
        <v/>
      </c>
      <c r="T316" s="16"/>
      <c r="U316" s="48"/>
      <c r="V316" s="48"/>
      <c r="W316" s="17"/>
      <c r="X316" s="17"/>
      <c r="Y316" s="15"/>
      <c r="Z316" s="15"/>
      <c r="AA316" s="59" t="str">
        <f>IFERROR(INDEX(NOI_CAP!$B:$B,MATCH(Z316,NOI_CAP!$A:$A,0)),"")</f>
        <v/>
      </c>
      <c r="AB316" s="58" t="str">
        <f>IF(ISNUMBER(MATCH(AC316,LOAI_DIA_CHI!$B:$B,0)),INDEX(LOAI_DIA_CHI!$A:$A,MATCH(AC316,LOAI_DIA_CHI!$B:$B,0)),"")</f>
        <v/>
      </c>
      <c r="AC316" s="16"/>
      <c r="AD316" s="58" t="str">
        <f>IF(ISNUMBER(MATCH(AE316,QUOC_GIA!$B:$B,0)),INDEX(QUOC_GIA!$A:$A,MATCH(AE316,QUOC_GIA!$B:$B,0)),"")</f>
        <v/>
      </c>
      <c r="AE316" s="16"/>
      <c r="AF316" s="48"/>
      <c r="AG316" s="59" t="str">
        <f>IFERROR(INDEX(TINH_TP!$B:$B,MATCH(AF316,TINH_TP!$A:$A,0)),"")</f>
        <v/>
      </c>
      <c r="AH316" s="50"/>
      <c r="AI316" s="59" t="str">
        <f>IF(OR(AF316="",AH316=""),"",IF(COUNTIFS(PHUONG_XA!$A$2:$A$3323,AH316,PHUONG_XA!$C$2:$C$3323,AF316)=0,"",INDEX(PHUONG_XA!$B$2:$B$3323,SUMPRODUCT((PHUONG_XA!$A$2:$A$3323&amp;""=AH316&amp;"")*(PHUONG_XA!$C$2:$C$3323&amp;""=AF316&amp;"")*(ROW(PHUONG_XA!$A$2:$A$3323)-ROW(PHUONG_XA!$A$2)+1)))))</f>
        <v/>
      </c>
      <c r="AJ316" s="14"/>
      <c r="AK316" s="14"/>
      <c r="AL316" s="57" t="str">
        <f t="shared" si="5"/>
        <v/>
      </c>
      <c r="AM316" s="14"/>
      <c r="AN316" s="15"/>
      <c r="AO316" s="15"/>
      <c r="AP316" s="48"/>
      <c r="AQ316" s="15"/>
      <c r="AR316" s="15"/>
      <c r="AS316" s="15"/>
      <c r="AT316" s="60" t="str">
        <f>IF(ISNUMBER(MATCH(AU316,LOAI_THE!$B:$B,0)),INDEX(LOAI_THE!$A:$A,MATCH(AU316,LOAI_THE!$B:$B,0)),"")</f>
        <v/>
      </c>
      <c r="AU316" s="48"/>
      <c r="AV316" s="15"/>
      <c r="AW316" s="15"/>
      <c r="AX316" s="15"/>
      <c r="AY316" s="48"/>
    </row>
    <row r="317" spans="1:51" x14ac:dyDescent="0.3">
      <c r="A317" s="13" t="s">
        <v>684</v>
      </c>
      <c r="B317" s="48"/>
      <c r="C317" s="48"/>
      <c r="D317" s="48"/>
      <c r="E317" s="48"/>
      <c r="F317" s="48"/>
      <c r="G317" s="58" t="str">
        <f>IF(ISNUMBER(MATCH(H317,GIOI_TINH!$B:$B,0)),INDEX(GIOI_TINH!$A:$A,MATCH(H317,GIOI_TINH!$B:$B,0)),"")</f>
        <v/>
      </c>
      <c r="H317" s="15"/>
      <c r="I317" s="15"/>
      <c r="J317" s="58" t="str">
        <f>IF(ISNUMBER(MATCH(K317,QUOC_GIA!$B:$B,0)),INDEX(QUOC_GIA!$A:$A,MATCH(K317,QUOC_GIA!$B:$B,0)),"")</f>
        <v/>
      </c>
      <c r="K317" s="50"/>
      <c r="L317" s="15"/>
      <c r="M317" s="58" t="str">
        <f>IF(ISNUMBER(MATCH(N317,LOAI_THUE!$B:$B,0)),INDEX(LOAI_THUE!$A:$A,MATCH(N317,LOAI_THUE!$B:$B,0)),"")</f>
        <v/>
      </c>
      <c r="N317" s="50"/>
      <c r="O317" s="58" t="str">
        <f>IF(ISNUMBER(MATCH(P317,CHI_TIET_LOAI_KH!$B:$B,0)),INDEX(CHI_TIET_LOAI_KH!$A:$A,MATCH(P317,CHI_TIET_LOAI_KH!$B:$B,0)),"")</f>
        <v/>
      </c>
      <c r="P317" s="50"/>
      <c r="Q317" s="58" t="str">
        <f>IF(ISNUMBER(MATCH(R317,NGHE_NGHIEP!$B:$B,0)),INDEX(NGHE_NGHIEP!$A:$A,MATCH(R317,NGHE_NGHIEP!$B:$B,0)),"")</f>
        <v/>
      </c>
      <c r="R317" s="50"/>
      <c r="S317" s="58" t="str">
        <f>IF(ISNUMBER(MATCH(T317,LOAI_ID!$B:$B,0)),INDEX(LOAI_ID!$A:$A,MATCH(T317,LOAI_ID!$B:$B,0)),"")</f>
        <v/>
      </c>
      <c r="T317" s="16"/>
      <c r="U317" s="48"/>
      <c r="V317" s="48"/>
      <c r="W317" s="17"/>
      <c r="X317" s="17"/>
      <c r="Y317" s="15"/>
      <c r="Z317" s="15"/>
      <c r="AA317" s="59" t="str">
        <f>IFERROR(INDEX(NOI_CAP!$B:$B,MATCH(Z317,NOI_CAP!$A:$A,0)),"")</f>
        <v/>
      </c>
      <c r="AB317" s="58" t="str">
        <f>IF(ISNUMBER(MATCH(AC317,LOAI_DIA_CHI!$B:$B,0)),INDEX(LOAI_DIA_CHI!$A:$A,MATCH(AC317,LOAI_DIA_CHI!$B:$B,0)),"")</f>
        <v/>
      </c>
      <c r="AC317" s="16"/>
      <c r="AD317" s="58" t="str">
        <f>IF(ISNUMBER(MATCH(AE317,QUOC_GIA!$B:$B,0)),INDEX(QUOC_GIA!$A:$A,MATCH(AE317,QUOC_GIA!$B:$B,0)),"")</f>
        <v/>
      </c>
      <c r="AE317" s="16"/>
      <c r="AF317" s="48"/>
      <c r="AG317" s="59" t="str">
        <f>IFERROR(INDEX(TINH_TP!$B:$B,MATCH(AF317,TINH_TP!$A:$A,0)),"")</f>
        <v/>
      </c>
      <c r="AH317" s="50"/>
      <c r="AI317" s="59" t="str">
        <f>IF(OR(AF317="",AH317=""),"",IF(COUNTIFS(PHUONG_XA!$A$2:$A$3323,AH317,PHUONG_XA!$C$2:$C$3323,AF317)=0,"",INDEX(PHUONG_XA!$B$2:$B$3323,SUMPRODUCT((PHUONG_XA!$A$2:$A$3323&amp;""=AH317&amp;"")*(PHUONG_XA!$C$2:$C$3323&amp;""=AF317&amp;"")*(ROW(PHUONG_XA!$A$2:$A$3323)-ROW(PHUONG_XA!$A$2)+1)))))</f>
        <v/>
      </c>
      <c r="AJ317" s="14"/>
      <c r="AK317" s="14"/>
      <c r="AL317" s="57" t="str">
        <f t="shared" si="5"/>
        <v/>
      </c>
      <c r="AM317" s="14"/>
      <c r="AN317" s="15"/>
      <c r="AO317" s="15"/>
      <c r="AP317" s="48"/>
      <c r="AQ317" s="15"/>
      <c r="AR317" s="15"/>
      <c r="AS317" s="15"/>
      <c r="AT317" s="60" t="str">
        <f>IF(ISNUMBER(MATCH(AU317,LOAI_THE!$B:$B,0)),INDEX(LOAI_THE!$A:$A,MATCH(AU317,LOAI_THE!$B:$B,0)),"")</f>
        <v/>
      </c>
      <c r="AU317" s="48"/>
      <c r="AV317" s="15"/>
      <c r="AW317" s="15"/>
      <c r="AX317" s="15"/>
      <c r="AY317" s="48"/>
    </row>
    <row r="318" spans="1:51" x14ac:dyDescent="0.3">
      <c r="A318" s="13" t="s">
        <v>686</v>
      </c>
      <c r="B318" s="48"/>
      <c r="C318" s="48"/>
      <c r="D318" s="48"/>
      <c r="E318" s="48"/>
      <c r="F318" s="48"/>
      <c r="G318" s="58" t="str">
        <f>IF(ISNUMBER(MATCH(H318,GIOI_TINH!$B:$B,0)),INDEX(GIOI_TINH!$A:$A,MATCH(H318,GIOI_TINH!$B:$B,0)),"")</f>
        <v/>
      </c>
      <c r="H318" s="15"/>
      <c r="I318" s="15"/>
      <c r="J318" s="58" t="str">
        <f>IF(ISNUMBER(MATCH(K318,QUOC_GIA!$B:$B,0)),INDEX(QUOC_GIA!$A:$A,MATCH(K318,QUOC_GIA!$B:$B,0)),"")</f>
        <v/>
      </c>
      <c r="K318" s="50"/>
      <c r="L318" s="15"/>
      <c r="M318" s="58" t="str">
        <f>IF(ISNUMBER(MATCH(N318,LOAI_THUE!$B:$B,0)),INDEX(LOAI_THUE!$A:$A,MATCH(N318,LOAI_THUE!$B:$B,0)),"")</f>
        <v/>
      </c>
      <c r="N318" s="50"/>
      <c r="O318" s="58" t="str">
        <f>IF(ISNUMBER(MATCH(P318,CHI_TIET_LOAI_KH!$B:$B,0)),INDEX(CHI_TIET_LOAI_KH!$A:$A,MATCH(P318,CHI_TIET_LOAI_KH!$B:$B,0)),"")</f>
        <v/>
      </c>
      <c r="P318" s="50"/>
      <c r="Q318" s="58" t="str">
        <f>IF(ISNUMBER(MATCH(R318,NGHE_NGHIEP!$B:$B,0)),INDEX(NGHE_NGHIEP!$A:$A,MATCH(R318,NGHE_NGHIEP!$B:$B,0)),"")</f>
        <v/>
      </c>
      <c r="R318" s="50"/>
      <c r="S318" s="58" t="str">
        <f>IF(ISNUMBER(MATCH(T318,LOAI_ID!$B:$B,0)),INDEX(LOAI_ID!$A:$A,MATCH(T318,LOAI_ID!$B:$B,0)),"")</f>
        <v/>
      </c>
      <c r="T318" s="16"/>
      <c r="U318" s="48"/>
      <c r="V318" s="48"/>
      <c r="W318" s="17"/>
      <c r="X318" s="17"/>
      <c r="Y318" s="15"/>
      <c r="Z318" s="15"/>
      <c r="AA318" s="59" t="str">
        <f>IFERROR(INDEX(NOI_CAP!$B:$B,MATCH(Z318,NOI_CAP!$A:$A,0)),"")</f>
        <v/>
      </c>
      <c r="AB318" s="58" t="str">
        <f>IF(ISNUMBER(MATCH(AC318,LOAI_DIA_CHI!$B:$B,0)),INDEX(LOAI_DIA_CHI!$A:$A,MATCH(AC318,LOAI_DIA_CHI!$B:$B,0)),"")</f>
        <v/>
      </c>
      <c r="AC318" s="16"/>
      <c r="AD318" s="58" t="str">
        <f>IF(ISNUMBER(MATCH(AE318,QUOC_GIA!$B:$B,0)),INDEX(QUOC_GIA!$A:$A,MATCH(AE318,QUOC_GIA!$B:$B,0)),"")</f>
        <v/>
      </c>
      <c r="AE318" s="16"/>
      <c r="AF318" s="48"/>
      <c r="AG318" s="59" t="str">
        <f>IFERROR(INDEX(TINH_TP!$B:$B,MATCH(AF318,TINH_TP!$A:$A,0)),"")</f>
        <v/>
      </c>
      <c r="AH318" s="50"/>
      <c r="AI318" s="59" t="str">
        <f>IF(OR(AF318="",AH318=""),"",IF(COUNTIFS(PHUONG_XA!$A$2:$A$3323,AH318,PHUONG_XA!$C$2:$C$3323,AF318)=0,"",INDEX(PHUONG_XA!$B$2:$B$3323,SUMPRODUCT((PHUONG_XA!$A$2:$A$3323&amp;""=AH318&amp;"")*(PHUONG_XA!$C$2:$C$3323&amp;""=AF318&amp;"")*(ROW(PHUONG_XA!$A$2:$A$3323)-ROW(PHUONG_XA!$A$2)+1)))))</f>
        <v/>
      </c>
      <c r="AJ318" s="14"/>
      <c r="AK318" s="14"/>
      <c r="AL318" s="57" t="str">
        <f t="shared" si="5"/>
        <v/>
      </c>
      <c r="AM318" s="14"/>
      <c r="AN318" s="15"/>
      <c r="AO318" s="15"/>
      <c r="AP318" s="48"/>
      <c r="AQ318" s="15"/>
      <c r="AR318" s="15"/>
      <c r="AS318" s="15"/>
      <c r="AT318" s="60" t="str">
        <f>IF(ISNUMBER(MATCH(AU318,LOAI_THE!$B:$B,0)),INDEX(LOAI_THE!$A:$A,MATCH(AU318,LOAI_THE!$B:$B,0)),"")</f>
        <v/>
      </c>
      <c r="AU318" s="48"/>
      <c r="AV318" s="15"/>
      <c r="AW318" s="15"/>
      <c r="AX318" s="15"/>
      <c r="AY318" s="48"/>
    </row>
    <row r="319" spans="1:51" x14ac:dyDescent="0.3">
      <c r="A319" s="13" t="s">
        <v>688</v>
      </c>
      <c r="B319" s="48"/>
      <c r="C319" s="48"/>
      <c r="D319" s="48"/>
      <c r="E319" s="48"/>
      <c r="F319" s="48"/>
      <c r="G319" s="58" t="str">
        <f>IF(ISNUMBER(MATCH(H319,GIOI_TINH!$B:$B,0)),INDEX(GIOI_TINH!$A:$A,MATCH(H319,GIOI_TINH!$B:$B,0)),"")</f>
        <v/>
      </c>
      <c r="H319" s="15"/>
      <c r="I319" s="15"/>
      <c r="J319" s="58" t="str">
        <f>IF(ISNUMBER(MATCH(K319,QUOC_GIA!$B:$B,0)),INDEX(QUOC_GIA!$A:$A,MATCH(K319,QUOC_GIA!$B:$B,0)),"")</f>
        <v/>
      </c>
      <c r="K319" s="50"/>
      <c r="L319" s="15"/>
      <c r="M319" s="58" t="str">
        <f>IF(ISNUMBER(MATCH(N319,LOAI_THUE!$B:$B,0)),INDEX(LOAI_THUE!$A:$A,MATCH(N319,LOAI_THUE!$B:$B,0)),"")</f>
        <v/>
      </c>
      <c r="N319" s="50"/>
      <c r="O319" s="58" t="str">
        <f>IF(ISNUMBER(MATCH(P319,CHI_TIET_LOAI_KH!$B:$B,0)),INDEX(CHI_TIET_LOAI_KH!$A:$A,MATCH(P319,CHI_TIET_LOAI_KH!$B:$B,0)),"")</f>
        <v/>
      </c>
      <c r="P319" s="50"/>
      <c r="Q319" s="58" t="str">
        <f>IF(ISNUMBER(MATCH(R319,NGHE_NGHIEP!$B:$B,0)),INDEX(NGHE_NGHIEP!$A:$A,MATCH(R319,NGHE_NGHIEP!$B:$B,0)),"")</f>
        <v/>
      </c>
      <c r="R319" s="50"/>
      <c r="S319" s="58" t="str">
        <f>IF(ISNUMBER(MATCH(T319,LOAI_ID!$B:$B,0)),INDEX(LOAI_ID!$A:$A,MATCH(T319,LOAI_ID!$B:$B,0)),"")</f>
        <v/>
      </c>
      <c r="T319" s="16"/>
      <c r="U319" s="48"/>
      <c r="V319" s="48"/>
      <c r="W319" s="17"/>
      <c r="X319" s="17"/>
      <c r="Y319" s="15"/>
      <c r="Z319" s="15"/>
      <c r="AA319" s="59" t="str">
        <f>IFERROR(INDEX(NOI_CAP!$B:$B,MATCH(Z319,NOI_CAP!$A:$A,0)),"")</f>
        <v/>
      </c>
      <c r="AB319" s="58" t="str">
        <f>IF(ISNUMBER(MATCH(AC319,LOAI_DIA_CHI!$B:$B,0)),INDEX(LOAI_DIA_CHI!$A:$A,MATCH(AC319,LOAI_DIA_CHI!$B:$B,0)),"")</f>
        <v/>
      </c>
      <c r="AC319" s="16"/>
      <c r="AD319" s="58" t="str">
        <f>IF(ISNUMBER(MATCH(AE319,QUOC_GIA!$B:$B,0)),INDEX(QUOC_GIA!$A:$A,MATCH(AE319,QUOC_GIA!$B:$B,0)),"")</f>
        <v/>
      </c>
      <c r="AE319" s="16"/>
      <c r="AF319" s="48"/>
      <c r="AG319" s="59" t="str">
        <f>IFERROR(INDEX(TINH_TP!$B:$B,MATCH(AF319,TINH_TP!$A:$A,0)),"")</f>
        <v/>
      </c>
      <c r="AH319" s="50"/>
      <c r="AI319" s="59" t="str">
        <f>IF(OR(AF319="",AH319=""),"",IF(COUNTIFS(PHUONG_XA!$A$2:$A$3323,AH319,PHUONG_XA!$C$2:$C$3323,AF319)=0,"",INDEX(PHUONG_XA!$B$2:$B$3323,SUMPRODUCT((PHUONG_XA!$A$2:$A$3323&amp;""=AH319&amp;"")*(PHUONG_XA!$C$2:$C$3323&amp;""=AF319&amp;"")*(ROW(PHUONG_XA!$A$2:$A$3323)-ROW(PHUONG_XA!$A$2)+1)))))</f>
        <v/>
      </c>
      <c r="AJ319" s="14"/>
      <c r="AK319" s="14"/>
      <c r="AL319" s="57" t="str">
        <f t="shared" si="5"/>
        <v/>
      </c>
      <c r="AM319" s="14"/>
      <c r="AN319" s="15"/>
      <c r="AO319" s="15"/>
      <c r="AP319" s="48"/>
      <c r="AQ319" s="15"/>
      <c r="AR319" s="15"/>
      <c r="AS319" s="15"/>
      <c r="AT319" s="60" t="str">
        <f>IF(ISNUMBER(MATCH(AU319,LOAI_THE!$B:$B,0)),INDEX(LOAI_THE!$A:$A,MATCH(AU319,LOAI_THE!$B:$B,0)),"")</f>
        <v/>
      </c>
      <c r="AU319" s="48"/>
      <c r="AV319" s="15"/>
      <c r="AW319" s="15"/>
      <c r="AX319" s="15"/>
      <c r="AY319" s="48"/>
    </row>
    <row r="320" spans="1:51" x14ac:dyDescent="0.3">
      <c r="A320" s="13" t="s">
        <v>690</v>
      </c>
      <c r="B320" s="48"/>
      <c r="C320" s="48"/>
      <c r="D320" s="48"/>
      <c r="E320" s="48"/>
      <c r="F320" s="48"/>
      <c r="G320" s="58" t="str">
        <f>IF(ISNUMBER(MATCH(H320,GIOI_TINH!$B:$B,0)),INDEX(GIOI_TINH!$A:$A,MATCH(H320,GIOI_TINH!$B:$B,0)),"")</f>
        <v/>
      </c>
      <c r="H320" s="15"/>
      <c r="I320" s="15"/>
      <c r="J320" s="58" t="str">
        <f>IF(ISNUMBER(MATCH(K320,QUOC_GIA!$B:$B,0)),INDEX(QUOC_GIA!$A:$A,MATCH(K320,QUOC_GIA!$B:$B,0)),"")</f>
        <v/>
      </c>
      <c r="K320" s="50"/>
      <c r="L320" s="15"/>
      <c r="M320" s="58" t="str">
        <f>IF(ISNUMBER(MATCH(N320,LOAI_THUE!$B:$B,0)),INDEX(LOAI_THUE!$A:$A,MATCH(N320,LOAI_THUE!$B:$B,0)),"")</f>
        <v/>
      </c>
      <c r="N320" s="50"/>
      <c r="O320" s="58" t="str">
        <f>IF(ISNUMBER(MATCH(P320,CHI_TIET_LOAI_KH!$B:$B,0)),INDEX(CHI_TIET_LOAI_KH!$A:$A,MATCH(P320,CHI_TIET_LOAI_KH!$B:$B,0)),"")</f>
        <v/>
      </c>
      <c r="P320" s="50"/>
      <c r="Q320" s="58" t="str">
        <f>IF(ISNUMBER(MATCH(R320,NGHE_NGHIEP!$B:$B,0)),INDEX(NGHE_NGHIEP!$A:$A,MATCH(R320,NGHE_NGHIEP!$B:$B,0)),"")</f>
        <v/>
      </c>
      <c r="R320" s="50"/>
      <c r="S320" s="58" t="str">
        <f>IF(ISNUMBER(MATCH(T320,LOAI_ID!$B:$B,0)),INDEX(LOAI_ID!$A:$A,MATCH(T320,LOAI_ID!$B:$B,0)),"")</f>
        <v/>
      </c>
      <c r="T320" s="16"/>
      <c r="U320" s="48"/>
      <c r="V320" s="48"/>
      <c r="W320" s="17"/>
      <c r="X320" s="17"/>
      <c r="Y320" s="15"/>
      <c r="Z320" s="15"/>
      <c r="AA320" s="59" t="str">
        <f>IFERROR(INDEX(NOI_CAP!$B:$B,MATCH(Z320,NOI_CAP!$A:$A,0)),"")</f>
        <v/>
      </c>
      <c r="AB320" s="58" t="str">
        <f>IF(ISNUMBER(MATCH(AC320,LOAI_DIA_CHI!$B:$B,0)),INDEX(LOAI_DIA_CHI!$A:$A,MATCH(AC320,LOAI_DIA_CHI!$B:$B,0)),"")</f>
        <v/>
      </c>
      <c r="AC320" s="16"/>
      <c r="AD320" s="58" t="str">
        <f>IF(ISNUMBER(MATCH(AE320,QUOC_GIA!$B:$B,0)),INDEX(QUOC_GIA!$A:$A,MATCH(AE320,QUOC_GIA!$B:$B,0)),"")</f>
        <v/>
      </c>
      <c r="AE320" s="16"/>
      <c r="AF320" s="48"/>
      <c r="AG320" s="59" t="str">
        <f>IFERROR(INDEX(TINH_TP!$B:$B,MATCH(AF320,TINH_TP!$A:$A,0)),"")</f>
        <v/>
      </c>
      <c r="AH320" s="50"/>
      <c r="AI320" s="59" t="str">
        <f>IF(OR(AF320="",AH320=""),"",IF(COUNTIFS(PHUONG_XA!$A$2:$A$3323,AH320,PHUONG_XA!$C$2:$C$3323,AF320)=0,"",INDEX(PHUONG_XA!$B$2:$B$3323,SUMPRODUCT((PHUONG_XA!$A$2:$A$3323&amp;""=AH320&amp;"")*(PHUONG_XA!$C$2:$C$3323&amp;""=AF320&amp;"")*(ROW(PHUONG_XA!$A$2:$A$3323)-ROW(PHUONG_XA!$A$2)+1)))))</f>
        <v/>
      </c>
      <c r="AJ320" s="14"/>
      <c r="AK320" s="14"/>
      <c r="AL320" s="57" t="str">
        <f t="shared" si="5"/>
        <v/>
      </c>
      <c r="AM320" s="14"/>
      <c r="AN320" s="15"/>
      <c r="AO320" s="15"/>
      <c r="AP320" s="48"/>
      <c r="AQ320" s="15"/>
      <c r="AR320" s="15"/>
      <c r="AS320" s="15"/>
      <c r="AT320" s="60" t="str">
        <f>IF(ISNUMBER(MATCH(AU320,LOAI_THE!$B:$B,0)),INDEX(LOAI_THE!$A:$A,MATCH(AU320,LOAI_THE!$B:$B,0)),"")</f>
        <v/>
      </c>
      <c r="AU320" s="48"/>
      <c r="AV320" s="15"/>
      <c r="AW320" s="15"/>
      <c r="AX320" s="15"/>
      <c r="AY320" s="48"/>
    </row>
    <row r="321" spans="1:51" x14ac:dyDescent="0.3">
      <c r="A321" s="13" t="s">
        <v>692</v>
      </c>
      <c r="B321" s="48"/>
      <c r="C321" s="48"/>
      <c r="D321" s="48"/>
      <c r="E321" s="48"/>
      <c r="F321" s="48"/>
      <c r="G321" s="58" t="str">
        <f>IF(ISNUMBER(MATCH(H321,GIOI_TINH!$B:$B,0)),INDEX(GIOI_TINH!$A:$A,MATCH(H321,GIOI_TINH!$B:$B,0)),"")</f>
        <v/>
      </c>
      <c r="H321" s="15"/>
      <c r="I321" s="15"/>
      <c r="J321" s="58" t="str">
        <f>IF(ISNUMBER(MATCH(K321,QUOC_GIA!$B:$B,0)),INDEX(QUOC_GIA!$A:$A,MATCH(K321,QUOC_GIA!$B:$B,0)),"")</f>
        <v/>
      </c>
      <c r="K321" s="50"/>
      <c r="L321" s="15"/>
      <c r="M321" s="58" t="str">
        <f>IF(ISNUMBER(MATCH(N321,LOAI_THUE!$B:$B,0)),INDEX(LOAI_THUE!$A:$A,MATCH(N321,LOAI_THUE!$B:$B,0)),"")</f>
        <v/>
      </c>
      <c r="N321" s="50"/>
      <c r="O321" s="58" t="str">
        <f>IF(ISNUMBER(MATCH(P321,CHI_TIET_LOAI_KH!$B:$B,0)),INDEX(CHI_TIET_LOAI_KH!$A:$A,MATCH(P321,CHI_TIET_LOAI_KH!$B:$B,0)),"")</f>
        <v/>
      </c>
      <c r="P321" s="50"/>
      <c r="Q321" s="58" t="str">
        <f>IF(ISNUMBER(MATCH(R321,NGHE_NGHIEP!$B:$B,0)),INDEX(NGHE_NGHIEP!$A:$A,MATCH(R321,NGHE_NGHIEP!$B:$B,0)),"")</f>
        <v/>
      </c>
      <c r="R321" s="50"/>
      <c r="S321" s="58" t="str">
        <f>IF(ISNUMBER(MATCH(T321,LOAI_ID!$B:$B,0)),INDEX(LOAI_ID!$A:$A,MATCH(T321,LOAI_ID!$B:$B,0)),"")</f>
        <v/>
      </c>
      <c r="T321" s="16"/>
      <c r="U321" s="48"/>
      <c r="V321" s="48"/>
      <c r="W321" s="17"/>
      <c r="X321" s="17"/>
      <c r="Y321" s="15"/>
      <c r="Z321" s="15"/>
      <c r="AA321" s="59" t="str">
        <f>IFERROR(INDEX(NOI_CAP!$B:$B,MATCH(Z321,NOI_CAP!$A:$A,0)),"")</f>
        <v/>
      </c>
      <c r="AB321" s="58" t="str">
        <f>IF(ISNUMBER(MATCH(AC321,LOAI_DIA_CHI!$B:$B,0)),INDEX(LOAI_DIA_CHI!$A:$A,MATCH(AC321,LOAI_DIA_CHI!$B:$B,0)),"")</f>
        <v/>
      </c>
      <c r="AC321" s="16"/>
      <c r="AD321" s="58" t="str">
        <f>IF(ISNUMBER(MATCH(AE321,QUOC_GIA!$B:$B,0)),INDEX(QUOC_GIA!$A:$A,MATCH(AE321,QUOC_GIA!$B:$B,0)),"")</f>
        <v/>
      </c>
      <c r="AE321" s="16"/>
      <c r="AF321" s="48"/>
      <c r="AG321" s="59" t="str">
        <f>IFERROR(INDEX(TINH_TP!$B:$B,MATCH(AF321,TINH_TP!$A:$A,0)),"")</f>
        <v/>
      </c>
      <c r="AH321" s="50"/>
      <c r="AI321" s="59" t="str">
        <f>IF(OR(AF321="",AH321=""),"",IF(COUNTIFS(PHUONG_XA!$A$2:$A$3323,AH321,PHUONG_XA!$C$2:$C$3323,AF321)=0,"",INDEX(PHUONG_XA!$B$2:$B$3323,SUMPRODUCT((PHUONG_XA!$A$2:$A$3323&amp;""=AH321&amp;"")*(PHUONG_XA!$C$2:$C$3323&amp;""=AF321&amp;"")*(ROW(PHUONG_XA!$A$2:$A$3323)-ROW(PHUONG_XA!$A$2)+1)))))</f>
        <v/>
      </c>
      <c r="AJ321" s="14"/>
      <c r="AK321" s="14"/>
      <c r="AL321" s="57" t="str">
        <f t="shared" si="5"/>
        <v/>
      </c>
      <c r="AM321" s="14"/>
      <c r="AN321" s="15"/>
      <c r="AO321" s="15"/>
      <c r="AP321" s="48"/>
      <c r="AQ321" s="15"/>
      <c r="AR321" s="15"/>
      <c r="AS321" s="15"/>
      <c r="AT321" s="60" t="str">
        <f>IF(ISNUMBER(MATCH(AU321,LOAI_THE!$B:$B,0)),INDEX(LOAI_THE!$A:$A,MATCH(AU321,LOAI_THE!$B:$B,0)),"")</f>
        <v/>
      </c>
      <c r="AU321" s="48"/>
      <c r="AV321" s="15"/>
      <c r="AW321" s="15"/>
      <c r="AX321" s="15"/>
      <c r="AY321" s="48"/>
    </row>
    <row r="322" spans="1:51" x14ac:dyDescent="0.3">
      <c r="A322" s="13" t="s">
        <v>693</v>
      </c>
      <c r="B322" s="48"/>
      <c r="C322" s="48"/>
      <c r="D322" s="48"/>
      <c r="E322" s="48"/>
      <c r="F322" s="48"/>
      <c r="G322" s="58" t="str">
        <f>IF(ISNUMBER(MATCH(H322,GIOI_TINH!$B:$B,0)),INDEX(GIOI_TINH!$A:$A,MATCH(H322,GIOI_TINH!$B:$B,0)),"")</f>
        <v/>
      </c>
      <c r="H322" s="15"/>
      <c r="I322" s="15"/>
      <c r="J322" s="58" t="str">
        <f>IF(ISNUMBER(MATCH(K322,QUOC_GIA!$B:$B,0)),INDEX(QUOC_GIA!$A:$A,MATCH(K322,QUOC_GIA!$B:$B,0)),"")</f>
        <v/>
      </c>
      <c r="K322" s="50"/>
      <c r="L322" s="15"/>
      <c r="M322" s="58" t="str">
        <f>IF(ISNUMBER(MATCH(N322,LOAI_THUE!$B:$B,0)),INDEX(LOAI_THUE!$A:$A,MATCH(N322,LOAI_THUE!$B:$B,0)),"")</f>
        <v/>
      </c>
      <c r="N322" s="50"/>
      <c r="O322" s="58" t="str">
        <f>IF(ISNUMBER(MATCH(P322,CHI_TIET_LOAI_KH!$B:$B,0)),INDEX(CHI_TIET_LOAI_KH!$A:$A,MATCH(P322,CHI_TIET_LOAI_KH!$B:$B,0)),"")</f>
        <v/>
      </c>
      <c r="P322" s="50"/>
      <c r="Q322" s="58" t="str">
        <f>IF(ISNUMBER(MATCH(R322,NGHE_NGHIEP!$B:$B,0)),INDEX(NGHE_NGHIEP!$A:$A,MATCH(R322,NGHE_NGHIEP!$B:$B,0)),"")</f>
        <v/>
      </c>
      <c r="R322" s="50"/>
      <c r="S322" s="58" t="str">
        <f>IF(ISNUMBER(MATCH(T322,LOAI_ID!$B:$B,0)),INDEX(LOAI_ID!$A:$A,MATCH(T322,LOAI_ID!$B:$B,0)),"")</f>
        <v/>
      </c>
      <c r="T322" s="16"/>
      <c r="U322" s="48"/>
      <c r="V322" s="48"/>
      <c r="W322" s="17"/>
      <c r="X322" s="17"/>
      <c r="Y322" s="15"/>
      <c r="Z322" s="15"/>
      <c r="AA322" s="59" t="str">
        <f>IFERROR(INDEX(NOI_CAP!$B:$B,MATCH(Z322,NOI_CAP!$A:$A,0)),"")</f>
        <v/>
      </c>
      <c r="AB322" s="58" t="str">
        <f>IF(ISNUMBER(MATCH(AC322,LOAI_DIA_CHI!$B:$B,0)),INDEX(LOAI_DIA_CHI!$A:$A,MATCH(AC322,LOAI_DIA_CHI!$B:$B,0)),"")</f>
        <v/>
      </c>
      <c r="AC322" s="16"/>
      <c r="AD322" s="58" t="str">
        <f>IF(ISNUMBER(MATCH(AE322,QUOC_GIA!$B:$B,0)),INDEX(QUOC_GIA!$A:$A,MATCH(AE322,QUOC_GIA!$B:$B,0)),"")</f>
        <v/>
      </c>
      <c r="AE322" s="16"/>
      <c r="AF322" s="48"/>
      <c r="AG322" s="59" t="str">
        <f>IFERROR(INDEX(TINH_TP!$B:$B,MATCH(AF322,TINH_TP!$A:$A,0)),"")</f>
        <v/>
      </c>
      <c r="AH322" s="50"/>
      <c r="AI322" s="59" t="str">
        <f>IF(OR(AF322="",AH322=""),"",IF(COUNTIFS(PHUONG_XA!$A$2:$A$3323,AH322,PHUONG_XA!$C$2:$C$3323,AF322)=0,"",INDEX(PHUONG_XA!$B$2:$B$3323,SUMPRODUCT((PHUONG_XA!$A$2:$A$3323&amp;""=AH322&amp;"")*(PHUONG_XA!$C$2:$C$3323&amp;""=AF322&amp;"")*(ROW(PHUONG_XA!$A$2:$A$3323)-ROW(PHUONG_XA!$A$2)+1)))))</f>
        <v/>
      </c>
      <c r="AJ322" s="14"/>
      <c r="AK322" s="14"/>
      <c r="AL322" s="57" t="str">
        <f t="shared" si="5"/>
        <v/>
      </c>
      <c r="AM322" s="14"/>
      <c r="AN322" s="15"/>
      <c r="AO322" s="15"/>
      <c r="AP322" s="48"/>
      <c r="AQ322" s="15"/>
      <c r="AR322" s="15"/>
      <c r="AS322" s="15"/>
      <c r="AT322" s="60" t="str">
        <f>IF(ISNUMBER(MATCH(AU322,LOAI_THE!$B:$B,0)),INDEX(LOAI_THE!$A:$A,MATCH(AU322,LOAI_THE!$B:$B,0)),"")</f>
        <v/>
      </c>
      <c r="AU322" s="48"/>
      <c r="AV322" s="15"/>
      <c r="AW322" s="15"/>
      <c r="AX322" s="15"/>
      <c r="AY322" s="48"/>
    </row>
    <row r="323" spans="1:51" x14ac:dyDescent="0.3">
      <c r="A323" s="13" t="s">
        <v>694</v>
      </c>
      <c r="B323" s="48"/>
      <c r="C323" s="48"/>
      <c r="D323" s="48"/>
      <c r="E323" s="48"/>
      <c r="F323" s="48"/>
      <c r="G323" s="58" t="str">
        <f>IF(ISNUMBER(MATCH(H323,GIOI_TINH!$B:$B,0)),INDEX(GIOI_TINH!$A:$A,MATCH(H323,GIOI_TINH!$B:$B,0)),"")</f>
        <v/>
      </c>
      <c r="H323" s="15"/>
      <c r="I323" s="15"/>
      <c r="J323" s="58" t="str">
        <f>IF(ISNUMBER(MATCH(K323,QUOC_GIA!$B:$B,0)),INDEX(QUOC_GIA!$A:$A,MATCH(K323,QUOC_GIA!$B:$B,0)),"")</f>
        <v/>
      </c>
      <c r="K323" s="50"/>
      <c r="L323" s="15"/>
      <c r="M323" s="58" t="str">
        <f>IF(ISNUMBER(MATCH(N323,LOAI_THUE!$B:$B,0)),INDEX(LOAI_THUE!$A:$A,MATCH(N323,LOAI_THUE!$B:$B,0)),"")</f>
        <v/>
      </c>
      <c r="N323" s="50"/>
      <c r="O323" s="58" t="str">
        <f>IF(ISNUMBER(MATCH(P323,CHI_TIET_LOAI_KH!$B:$B,0)),INDEX(CHI_TIET_LOAI_KH!$A:$A,MATCH(P323,CHI_TIET_LOAI_KH!$B:$B,0)),"")</f>
        <v/>
      </c>
      <c r="P323" s="50"/>
      <c r="Q323" s="58" t="str">
        <f>IF(ISNUMBER(MATCH(R323,NGHE_NGHIEP!$B:$B,0)),INDEX(NGHE_NGHIEP!$A:$A,MATCH(R323,NGHE_NGHIEP!$B:$B,0)),"")</f>
        <v/>
      </c>
      <c r="R323" s="50"/>
      <c r="S323" s="58" t="str">
        <f>IF(ISNUMBER(MATCH(T323,LOAI_ID!$B:$B,0)),INDEX(LOAI_ID!$A:$A,MATCH(T323,LOAI_ID!$B:$B,0)),"")</f>
        <v/>
      </c>
      <c r="T323" s="16"/>
      <c r="U323" s="48"/>
      <c r="V323" s="48"/>
      <c r="W323" s="17"/>
      <c r="X323" s="17"/>
      <c r="Y323" s="15"/>
      <c r="Z323" s="15"/>
      <c r="AA323" s="59" t="str">
        <f>IFERROR(INDEX(NOI_CAP!$B:$B,MATCH(Z323,NOI_CAP!$A:$A,0)),"")</f>
        <v/>
      </c>
      <c r="AB323" s="58" t="str">
        <f>IF(ISNUMBER(MATCH(AC323,LOAI_DIA_CHI!$B:$B,0)),INDEX(LOAI_DIA_CHI!$A:$A,MATCH(AC323,LOAI_DIA_CHI!$B:$B,0)),"")</f>
        <v/>
      </c>
      <c r="AC323" s="16"/>
      <c r="AD323" s="58" t="str">
        <f>IF(ISNUMBER(MATCH(AE323,QUOC_GIA!$B:$B,0)),INDEX(QUOC_GIA!$A:$A,MATCH(AE323,QUOC_GIA!$B:$B,0)),"")</f>
        <v/>
      </c>
      <c r="AE323" s="16"/>
      <c r="AF323" s="48"/>
      <c r="AG323" s="59" t="str">
        <f>IFERROR(INDEX(TINH_TP!$B:$B,MATCH(AF323,TINH_TP!$A:$A,0)),"")</f>
        <v/>
      </c>
      <c r="AH323" s="50"/>
      <c r="AI323" s="59" t="str">
        <f>IF(OR(AF323="",AH323=""),"",IF(COUNTIFS(PHUONG_XA!$A$2:$A$3323,AH323,PHUONG_XA!$C$2:$C$3323,AF323)=0,"",INDEX(PHUONG_XA!$B$2:$B$3323,SUMPRODUCT((PHUONG_XA!$A$2:$A$3323&amp;""=AH323&amp;"")*(PHUONG_XA!$C$2:$C$3323&amp;""=AF323&amp;"")*(ROW(PHUONG_XA!$A$2:$A$3323)-ROW(PHUONG_XA!$A$2)+1)))))</f>
        <v/>
      </c>
      <c r="AJ323" s="14"/>
      <c r="AK323" s="14"/>
      <c r="AL323" s="57" t="str">
        <f t="shared" si="5"/>
        <v/>
      </c>
      <c r="AM323" s="14"/>
      <c r="AN323" s="15"/>
      <c r="AO323" s="15"/>
      <c r="AP323" s="48"/>
      <c r="AQ323" s="15"/>
      <c r="AR323" s="15"/>
      <c r="AS323" s="15"/>
      <c r="AT323" s="60" t="str">
        <f>IF(ISNUMBER(MATCH(AU323,LOAI_THE!$B:$B,0)),INDEX(LOAI_THE!$A:$A,MATCH(AU323,LOAI_THE!$B:$B,0)),"")</f>
        <v/>
      </c>
      <c r="AU323" s="48"/>
      <c r="AV323" s="15"/>
      <c r="AW323" s="15"/>
      <c r="AX323" s="15"/>
      <c r="AY323" s="48"/>
    </row>
    <row r="324" spans="1:51" x14ac:dyDescent="0.3">
      <c r="A324" s="13" t="s">
        <v>695</v>
      </c>
      <c r="B324" s="48"/>
      <c r="C324" s="48"/>
      <c r="D324" s="48"/>
      <c r="E324" s="48"/>
      <c r="F324" s="48"/>
      <c r="G324" s="58" t="str">
        <f>IF(ISNUMBER(MATCH(H324,GIOI_TINH!$B:$B,0)),INDEX(GIOI_TINH!$A:$A,MATCH(H324,GIOI_TINH!$B:$B,0)),"")</f>
        <v/>
      </c>
      <c r="H324" s="15"/>
      <c r="I324" s="15"/>
      <c r="J324" s="58" t="str">
        <f>IF(ISNUMBER(MATCH(K324,QUOC_GIA!$B:$B,0)),INDEX(QUOC_GIA!$A:$A,MATCH(K324,QUOC_GIA!$B:$B,0)),"")</f>
        <v/>
      </c>
      <c r="K324" s="50"/>
      <c r="L324" s="15"/>
      <c r="M324" s="58" t="str">
        <f>IF(ISNUMBER(MATCH(N324,LOAI_THUE!$B:$B,0)),INDEX(LOAI_THUE!$A:$A,MATCH(N324,LOAI_THUE!$B:$B,0)),"")</f>
        <v/>
      </c>
      <c r="N324" s="50"/>
      <c r="O324" s="58" t="str">
        <f>IF(ISNUMBER(MATCH(P324,CHI_TIET_LOAI_KH!$B:$B,0)),INDEX(CHI_TIET_LOAI_KH!$A:$A,MATCH(P324,CHI_TIET_LOAI_KH!$B:$B,0)),"")</f>
        <v/>
      </c>
      <c r="P324" s="50"/>
      <c r="Q324" s="58" t="str">
        <f>IF(ISNUMBER(MATCH(R324,NGHE_NGHIEP!$B:$B,0)),INDEX(NGHE_NGHIEP!$A:$A,MATCH(R324,NGHE_NGHIEP!$B:$B,0)),"")</f>
        <v/>
      </c>
      <c r="R324" s="50"/>
      <c r="S324" s="58" t="str">
        <f>IF(ISNUMBER(MATCH(T324,LOAI_ID!$B:$B,0)),INDEX(LOAI_ID!$A:$A,MATCH(T324,LOAI_ID!$B:$B,0)),"")</f>
        <v/>
      </c>
      <c r="T324" s="16"/>
      <c r="U324" s="48"/>
      <c r="V324" s="48"/>
      <c r="W324" s="17"/>
      <c r="X324" s="17"/>
      <c r="Y324" s="15"/>
      <c r="Z324" s="15"/>
      <c r="AA324" s="59" t="str">
        <f>IFERROR(INDEX(NOI_CAP!$B:$B,MATCH(Z324,NOI_CAP!$A:$A,0)),"")</f>
        <v/>
      </c>
      <c r="AB324" s="58" t="str">
        <f>IF(ISNUMBER(MATCH(AC324,LOAI_DIA_CHI!$B:$B,0)),INDEX(LOAI_DIA_CHI!$A:$A,MATCH(AC324,LOAI_DIA_CHI!$B:$B,0)),"")</f>
        <v/>
      </c>
      <c r="AC324" s="16"/>
      <c r="AD324" s="58" t="str">
        <f>IF(ISNUMBER(MATCH(AE324,QUOC_GIA!$B:$B,0)),INDEX(QUOC_GIA!$A:$A,MATCH(AE324,QUOC_GIA!$B:$B,0)),"")</f>
        <v/>
      </c>
      <c r="AE324" s="16"/>
      <c r="AF324" s="48"/>
      <c r="AG324" s="59" t="str">
        <f>IFERROR(INDEX(TINH_TP!$B:$B,MATCH(AF324,TINH_TP!$A:$A,0)),"")</f>
        <v/>
      </c>
      <c r="AH324" s="50"/>
      <c r="AI324" s="59" t="str">
        <f>IF(OR(AF324="",AH324=""),"",IF(COUNTIFS(PHUONG_XA!$A$2:$A$3323,AH324,PHUONG_XA!$C$2:$C$3323,AF324)=0,"",INDEX(PHUONG_XA!$B$2:$B$3323,SUMPRODUCT((PHUONG_XA!$A$2:$A$3323&amp;""=AH324&amp;"")*(PHUONG_XA!$C$2:$C$3323&amp;""=AF324&amp;"")*(ROW(PHUONG_XA!$A$2:$A$3323)-ROW(PHUONG_XA!$A$2)+1)))))</f>
        <v/>
      </c>
      <c r="AJ324" s="14"/>
      <c r="AK324" s="14"/>
      <c r="AL324" s="57" t="str">
        <f t="shared" si="5"/>
        <v/>
      </c>
      <c r="AM324" s="14"/>
      <c r="AN324" s="15"/>
      <c r="AO324" s="15"/>
      <c r="AP324" s="48"/>
      <c r="AQ324" s="15"/>
      <c r="AR324" s="15"/>
      <c r="AS324" s="15"/>
      <c r="AT324" s="60" t="str">
        <f>IF(ISNUMBER(MATCH(AU324,LOAI_THE!$B:$B,0)),INDEX(LOAI_THE!$A:$A,MATCH(AU324,LOAI_THE!$B:$B,0)),"")</f>
        <v/>
      </c>
      <c r="AU324" s="48"/>
      <c r="AV324" s="15"/>
      <c r="AW324" s="15"/>
      <c r="AX324" s="15"/>
      <c r="AY324" s="48"/>
    </row>
    <row r="325" spans="1:51" x14ac:dyDescent="0.3">
      <c r="A325" s="13" t="s">
        <v>696</v>
      </c>
      <c r="B325" s="48"/>
      <c r="C325" s="48"/>
      <c r="D325" s="48"/>
      <c r="E325" s="48"/>
      <c r="F325" s="48"/>
      <c r="G325" s="58" t="str">
        <f>IF(ISNUMBER(MATCH(H325,GIOI_TINH!$B:$B,0)),INDEX(GIOI_TINH!$A:$A,MATCH(H325,GIOI_TINH!$B:$B,0)),"")</f>
        <v/>
      </c>
      <c r="H325" s="15"/>
      <c r="I325" s="15"/>
      <c r="J325" s="58" t="str">
        <f>IF(ISNUMBER(MATCH(K325,QUOC_GIA!$B:$B,0)),INDEX(QUOC_GIA!$A:$A,MATCH(K325,QUOC_GIA!$B:$B,0)),"")</f>
        <v/>
      </c>
      <c r="K325" s="50"/>
      <c r="L325" s="15"/>
      <c r="M325" s="58" t="str">
        <f>IF(ISNUMBER(MATCH(N325,LOAI_THUE!$B:$B,0)),INDEX(LOAI_THUE!$A:$A,MATCH(N325,LOAI_THUE!$B:$B,0)),"")</f>
        <v/>
      </c>
      <c r="N325" s="50"/>
      <c r="O325" s="58" t="str">
        <f>IF(ISNUMBER(MATCH(P325,CHI_TIET_LOAI_KH!$B:$B,0)),INDEX(CHI_TIET_LOAI_KH!$A:$A,MATCH(P325,CHI_TIET_LOAI_KH!$B:$B,0)),"")</f>
        <v/>
      </c>
      <c r="P325" s="50"/>
      <c r="Q325" s="58" t="str">
        <f>IF(ISNUMBER(MATCH(R325,NGHE_NGHIEP!$B:$B,0)),INDEX(NGHE_NGHIEP!$A:$A,MATCH(R325,NGHE_NGHIEP!$B:$B,0)),"")</f>
        <v/>
      </c>
      <c r="R325" s="50"/>
      <c r="S325" s="58" t="str">
        <f>IF(ISNUMBER(MATCH(T325,LOAI_ID!$B:$B,0)),INDEX(LOAI_ID!$A:$A,MATCH(T325,LOAI_ID!$B:$B,0)),"")</f>
        <v/>
      </c>
      <c r="T325" s="16"/>
      <c r="U325" s="48"/>
      <c r="V325" s="48"/>
      <c r="W325" s="17"/>
      <c r="X325" s="17"/>
      <c r="Y325" s="15"/>
      <c r="Z325" s="15"/>
      <c r="AA325" s="59" t="str">
        <f>IFERROR(INDEX(NOI_CAP!$B:$B,MATCH(Z325,NOI_CAP!$A:$A,0)),"")</f>
        <v/>
      </c>
      <c r="AB325" s="58" t="str">
        <f>IF(ISNUMBER(MATCH(AC325,LOAI_DIA_CHI!$B:$B,0)),INDEX(LOAI_DIA_CHI!$A:$A,MATCH(AC325,LOAI_DIA_CHI!$B:$B,0)),"")</f>
        <v/>
      </c>
      <c r="AC325" s="16"/>
      <c r="AD325" s="58" t="str">
        <f>IF(ISNUMBER(MATCH(AE325,QUOC_GIA!$B:$B,0)),INDEX(QUOC_GIA!$A:$A,MATCH(AE325,QUOC_GIA!$B:$B,0)),"")</f>
        <v/>
      </c>
      <c r="AE325" s="16"/>
      <c r="AF325" s="48"/>
      <c r="AG325" s="59" t="str">
        <f>IFERROR(INDEX(TINH_TP!$B:$B,MATCH(AF325,TINH_TP!$A:$A,0)),"")</f>
        <v/>
      </c>
      <c r="AH325" s="50"/>
      <c r="AI325" s="59" t="str">
        <f>IF(OR(AF325="",AH325=""),"",IF(COUNTIFS(PHUONG_XA!$A$2:$A$3323,AH325,PHUONG_XA!$C$2:$C$3323,AF325)=0,"",INDEX(PHUONG_XA!$B$2:$B$3323,SUMPRODUCT((PHUONG_XA!$A$2:$A$3323&amp;""=AH325&amp;"")*(PHUONG_XA!$C$2:$C$3323&amp;""=AF325&amp;"")*(ROW(PHUONG_XA!$A$2:$A$3323)-ROW(PHUONG_XA!$A$2)+1)))))</f>
        <v/>
      </c>
      <c r="AJ325" s="14"/>
      <c r="AK325" s="14"/>
      <c r="AL325" s="57" t="str">
        <f t="shared" si="5"/>
        <v/>
      </c>
      <c r="AM325" s="14"/>
      <c r="AN325" s="15"/>
      <c r="AO325" s="15"/>
      <c r="AP325" s="48"/>
      <c r="AQ325" s="15"/>
      <c r="AR325" s="15"/>
      <c r="AS325" s="15"/>
      <c r="AT325" s="60" t="str">
        <f>IF(ISNUMBER(MATCH(AU325,LOAI_THE!$B:$B,0)),INDEX(LOAI_THE!$A:$A,MATCH(AU325,LOAI_THE!$B:$B,0)),"")</f>
        <v/>
      </c>
      <c r="AU325" s="48"/>
      <c r="AV325" s="15"/>
      <c r="AW325" s="15"/>
      <c r="AX325" s="15"/>
      <c r="AY325" s="48"/>
    </row>
    <row r="326" spans="1:51" x14ac:dyDescent="0.3">
      <c r="A326" s="13" t="s">
        <v>697</v>
      </c>
      <c r="B326" s="48"/>
      <c r="C326" s="48"/>
      <c r="D326" s="48"/>
      <c r="E326" s="48"/>
      <c r="F326" s="48"/>
      <c r="G326" s="58" t="str">
        <f>IF(ISNUMBER(MATCH(H326,GIOI_TINH!$B:$B,0)),INDEX(GIOI_TINH!$A:$A,MATCH(H326,GIOI_TINH!$B:$B,0)),"")</f>
        <v/>
      </c>
      <c r="H326" s="15"/>
      <c r="I326" s="15"/>
      <c r="J326" s="58" t="str">
        <f>IF(ISNUMBER(MATCH(K326,QUOC_GIA!$B:$B,0)),INDEX(QUOC_GIA!$A:$A,MATCH(K326,QUOC_GIA!$B:$B,0)),"")</f>
        <v/>
      </c>
      <c r="K326" s="50"/>
      <c r="L326" s="15"/>
      <c r="M326" s="58" t="str">
        <f>IF(ISNUMBER(MATCH(N326,LOAI_THUE!$B:$B,0)),INDEX(LOAI_THUE!$A:$A,MATCH(N326,LOAI_THUE!$B:$B,0)),"")</f>
        <v/>
      </c>
      <c r="N326" s="50"/>
      <c r="O326" s="58" t="str">
        <f>IF(ISNUMBER(MATCH(P326,CHI_TIET_LOAI_KH!$B:$B,0)),INDEX(CHI_TIET_LOAI_KH!$A:$A,MATCH(P326,CHI_TIET_LOAI_KH!$B:$B,0)),"")</f>
        <v/>
      </c>
      <c r="P326" s="50"/>
      <c r="Q326" s="58" t="str">
        <f>IF(ISNUMBER(MATCH(R326,NGHE_NGHIEP!$B:$B,0)),INDEX(NGHE_NGHIEP!$A:$A,MATCH(R326,NGHE_NGHIEP!$B:$B,0)),"")</f>
        <v/>
      </c>
      <c r="R326" s="50"/>
      <c r="S326" s="58" t="str">
        <f>IF(ISNUMBER(MATCH(T326,LOAI_ID!$B:$B,0)),INDEX(LOAI_ID!$A:$A,MATCH(T326,LOAI_ID!$B:$B,0)),"")</f>
        <v/>
      </c>
      <c r="T326" s="16"/>
      <c r="U326" s="48"/>
      <c r="V326" s="48"/>
      <c r="W326" s="17"/>
      <c r="X326" s="17"/>
      <c r="Y326" s="15"/>
      <c r="Z326" s="15"/>
      <c r="AA326" s="59" t="str">
        <f>IFERROR(INDEX(NOI_CAP!$B:$B,MATCH(Z326,NOI_CAP!$A:$A,0)),"")</f>
        <v/>
      </c>
      <c r="AB326" s="58" t="str">
        <f>IF(ISNUMBER(MATCH(AC326,LOAI_DIA_CHI!$B:$B,0)),INDEX(LOAI_DIA_CHI!$A:$A,MATCH(AC326,LOAI_DIA_CHI!$B:$B,0)),"")</f>
        <v/>
      </c>
      <c r="AC326" s="16"/>
      <c r="AD326" s="58" t="str">
        <f>IF(ISNUMBER(MATCH(AE326,QUOC_GIA!$B:$B,0)),INDEX(QUOC_GIA!$A:$A,MATCH(AE326,QUOC_GIA!$B:$B,0)),"")</f>
        <v/>
      </c>
      <c r="AE326" s="16"/>
      <c r="AF326" s="48"/>
      <c r="AG326" s="59" t="str">
        <f>IFERROR(INDEX(TINH_TP!$B:$B,MATCH(AF326,TINH_TP!$A:$A,0)),"")</f>
        <v/>
      </c>
      <c r="AH326" s="50"/>
      <c r="AI326" s="59" t="str">
        <f>IF(OR(AF326="",AH326=""),"",IF(COUNTIFS(PHUONG_XA!$A$2:$A$3323,AH326,PHUONG_XA!$C$2:$C$3323,AF326)=0,"",INDEX(PHUONG_XA!$B$2:$B$3323,SUMPRODUCT((PHUONG_XA!$A$2:$A$3323&amp;""=AH326&amp;"")*(PHUONG_XA!$C$2:$C$3323&amp;""=AF326&amp;"")*(ROW(PHUONG_XA!$A$2:$A$3323)-ROW(PHUONG_XA!$A$2)+1)))))</f>
        <v/>
      </c>
      <c r="AJ326" s="14"/>
      <c r="AK326" s="14"/>
      <c r="AL326" s="57" t="str">
        <f t="shared" si="5"/>
        <v/>
      </c>
      <c r="AM326" s="14"/>
      <c r="AN326" s="15"/>
      <c r="AO326" s="15"/>
      <c r="AP326" s="48"/>
      <c r="AQ326" s="15"/>
      <c r="AR326" s="15"/>
      <c r="AS326" s="15"/>
      <c r="AT326" s="60" t="str">
        <f>IF(ISNUMBER(MATCH(AU326,LOAI_THE!$B:$B,0)),INDEX(LOAI_THE!$A:$A,MATCH(AU326,LOAI_THE!$B:$B,0)),"")</f>
        <v/>
      </c>
      <c r="AU326" s="48"/>
      <c r="AV326" s="15"/>
      <c r="AW326" s="15"/>
      <c r="AX326" s="15"/>
      <c r="AY326" s="48"/>
    </row>
    <row r="327" spans="1:51" x14ac:dyDescent="0.3">
      <c r="A327" s="13" t="s">
        <v>698</v>
      </c>
      <c r="B327" s="48"/>
      <c r="C327" s="48"/>
      <c r="D327" s="48"/>
      <c r="E327" s="48"/>
      <c r="F327" s="48"/>
      <c r="G327" s="58" t="str">
        <f>IF(ISNUMBER(MATCH(H327,GIOI_TINH!$B:$B,0)),INDEX(GIOI_TINH!$A:$A,MATCH(H327,GIOI_TINH!$B:$B,0)),"")</f>
        <v/>
      </c>
      <c r="H327" s="15"/>
      <c r="I327" s="15"/>
      <c r="J327" s="58" t="str">
        <f>IF(ISNUMBER(MATCH(K327,QUOC_GIA!$B:$B,0)),INDEX(QUOC_GIA!$A:$A,MATCH(K327,QUOC_GIA!$B:$B,0)),"")</f>
        <v/>
      </c>
      <c r="K327" s="50"/>
      <c r="L327" s="15"/>
      <c r="M327" s="58" t="str">
        <f>IF(ISNUMBER(MATCH(N327,LOAI_THUE!$B:$B,0)),INDEX(LOAI_THUE!$A:$A,MATCH(N327,LOAI_THUE!$B:$B,0)),"")</f>
        <v/>
      </c>
      <c r="N327" s="50"/>
      <c r="O327" s="58" t="str">
        <f>IF(ISNUMBER(MATCH(P327,CHI_TIET_LOAI_KH!$B:$B,0)),INDEX(CHI_TIET_LOAI_KH!$A:$A,MATCH(P327,CHI_TIET_LOAI_KH!$B:$B,0)),"")</f>
        <v/>
      </c>
      <c r="P327" s="50"/>
      <c r="Q327" s="58" t="str">
        <f>IF(ISNUMBER(MATCH(R327,NGHE_NGHIEP!$B:$B,0)),INDEX(NGHE_NGHIEP!$A:$A,MATCH(R327,NGHE_NGHIEP!$B:$B,0)),"")</f>
        <v/>
      </c>
      <c r="R327" s="50"/>
      <c r="S327" s="58" t="str">
        <f>IF(ISNUMBER(MATCH(T327,LOAI_ID!$B:$B,0)),INDEX(LOAI_ID!$A:$A,MATCH(T327,LOAI_ID!$B:$B,0)),"")</f>
        <v/>
      </c>
      <c r="T327" s="16"/>
      <c r="U327" s="48"/>
      <c r="V327" s="48"/>
      <c r="W327" s="17"/>
      <c r="X327" s="17"/>
      <c r="Y327" s="15"/>
      <c r="Z327" s="15"/>
      <c r="AA327" s="59" t="str">
        <f>IFERROR(INDEX(NOI_CAP!$B:$B,MATCH(Z327,NOI_CAP!$A:$A,0)),"")</f>
        <v/>
      </c>
      <c r="AB327" s="58" t="str">
        <f>IF(ISNUMBER(MATCH(AC327,LOAI_DIA_CHI!$B:$B,0)),INDEX(LOAI_DIA_CHI!$A:$A,MATCH(AC327,LOAI_DIA_CHI!$B:$B,0)),"")</f>
        <v/>
      </c>
      <c r="AC327" s="16"/>
      <c r="AD327" s="58" t="str">
        <f>IF(ISNUMBER(MATCH(AE327,QUOC_GIA!$B:$B,0)),INDEX(QUOC_GIA!$A:$A,MATCH(AE327,QUOC_GIA!$B:$B,0)),"")</f>
        <v/>
      </c>
      <c r="AE327" s="16"/>
      <c r="AF327" s="48"/>
      <c r="AG327" s="59" t="str">
        <f>IFERROR(INDEX(TINH_TP!$B:$B,MATCH(AF327,TINH_TP!$A:$A,0)),"")</f>
        <v/>
      </c>
      <c r="AH327" s="50"/>
      <c r="AI327" s="59" t="str">
        <f>IF(OR(AF327="",AH327=""),"",IF(COUNTIFS(PHUONG_XA!$A$2:$A$3323,AH327,PHUONG_XA!$C$2:$C$3323,AF327)=0,"",INDEX(PHUONG_XA!$B$2:$B$3323,SUMPRODUCT((PHUONG_XA!$A$2:$A$3323&amp;""=AH327&amp;"")*(PHUONG_XA!$C$2:$C$3323&amp;""=AF327&amp;"")*(ROW(PHUONG_XA!$A$2:$A$3323)-ROW(PHUONG_XA!$A$2)+1)))))</f>
        <v/>
      </c>
      <c r="AJ327" s="14"/>
      <c r="AK327" s="14"/>
      <c r="AL327" s="57" t="str">
        <f t="shared" ref="AL327:AL390" si="6">IF(OR(AI327="",AG327=""),"",SUBSTITUTE(SUBSTITUTE(AI327,"Phường","P."),"Xã","X.")&amp;", "&amp;SUBSTITUTE(SUBSTITUTE(AG327,"Thành phố","TP."),"Tỉnh","T."))</f>
        <v/>
      </c>
      <c r="AM327" s="14"/>
      <c r="AN327" s="15"/>
      <c r="AO327" s="15"/>
      <c r="AP327" s="48"/>
      <c r="AQ327" s="15"/>
      <c r="AR327" s="15"/>
      <c r="AS327" s="15"/>
      <c r="AT327" s="60" t="str">
        <f>IF(ISNUMBER(MATCH(AU327,LOAI_THE!$B:$B,0)),INDEX(LOAI_THE!$A:$A,MATCH(AU327,LOAI_THE!$B:$B,0)),"")</f>
        <v/>
      </c>
      <c r="AU327" s="48"/>
      <c r="AV327" s="15"/>
      <c r="AW327" s="15"/>
      <c r="AX327" s="15"/>
      <c r="AY327" s="48"/>
    </row>
    <row r="328" spans="1:51" x14ac:dyDescent="0.3">
      <c r="A328" s="13" t="s">
        <v>699</v>
      </c>
      <c r="B328" s="48"/>
      <c r="C328" s="48"/>
      <c r="D328" s="48"/>
      <c r="E328" s="48"/>
      <c r="F328" s="48"/>
      <c r="G328" s="58" t="str">
        <f>IF(ISNUMBER(MATCH(H328,GIOI_TINH!$B:$B,0)),INDEX(GIOI_TINH!$A:$A,MATCH(H328,GIOI_TINH!$B:$B,0)),"")</f>
        <v/>
      </c>
      <c r="H328" s="15"/>
      <c r="I328" s="15"/>
      <c r="J328" s="58" t="str">
        <f>IF(ISNUMBER(MATCH(K328,QUOC_GIA!$B:$B,0)),INDEX(QUOC_GIA!$A:$A,MATCH(K328,QUOC_GIA!$B:$B,0)),"")</f>
        <v/>
      </c>
      <c r="K328" s="50"/>
      <c r="L328" s="15"/>
      <c r="M328" s="58" t="str">
        <f>IF(ISNUMBER(MATCH(N328,LOAI_THUE!$B:$B,0)),INDEX(LOAI_THUE!$A:$A,MATCH(N328,LOAI_THUE!$B:$B,0)),"")</f>
        <v/>
      </c>
      <c r="N328" s="50"/>
      <c r="O328" s="58" t="str">
        <f>IF(ISNUMBER(MATCH(P328,CHI_TIET_LOAI_KH!$B:$B,0)),INDEX(CHI_TIET_LOAI_KH!$A:$A,MATCH(P328,CHI_TIET_LOAI_KH!$B:$B,0)),"")</f>
        <v/>
      </c>
      <c r="P328" s="50"/>
      <c r="Q328" s="58" t="str">
        <f>IF(ISNUMBER(MATCH(R328,NGHE_NGHIEP!$B:$B,0)),INDEX(NGHE_NGHIEP!$A:$A,MATCH(R328,NGHE_NGHIEP!$B:$B,0)),"")</f>
        <v/>
      </c>
      <c r="R328" s="50"/>
      <c r="S328" s="58" t="str">
        <f>IF(ISNUMBER(MATCH(T328,LOAI_ID!$B:$B,0)),INDEX(LOAI_ID!$A:$A,MATCH(T328,LOAI_ID!$B:$B,0)),"")</f>
        <v/>
      </c>
      <c r="T328" s="16"/>
      <c r="U328" s="48"/>
      <c r="V328" s="48"/>
      <c r="W328" s="17"/>
      <c r="X328" s="17"/>
      <c r="Y328" s="15"/>
      <c r="Z328" s="15"/>
      <c r="AA328" s="59" t="str">
        <f>IFERROR(INDEX(NOI_CAP!$B:$B,MATCH(Z328,NOI_CAP!$A:$A,0)),"")</f>
        <v/>
      </c>
      <c r="AB328" s="58" t="str">
        <f>IF(ISNUMBER(MATCH(AC328,LOAI_DIA_CHI!$B:$B,0)),INDEX(LOAI_DIA_CHI!$A:$A,MATCH(AC328,LOAI_DIA_CHI!$B:$B,0)),"")</f>
        <v/>
      </c>
      <c r="AC328" s="16"/>
      <c r="AD328" s="58" t="str">
        <f>IF(ISNUMBER(MATCH(AE328,QUOC_GIA!$B:$B,0)),INDEX(QUOC_GIA!$A:$A,MATCH(AE328,QUOC_GIA!$B:$B,0)),"")</f>
        <v/>
      </c>
      <c r="AE328" s="16"/>
      <c r="AF328" s="48"/>
      <c r="AG328" s="59" t="str">
        <f>IFERROR(INDEX(TINH_TP!$B:$B,MATCH(AF328,TINH_TP!$A:$A,0)),"")</f>
        <v/>
      </c>
      <c r="AH328" s="50"/>
      <c r="AI328" s="59" t="str">
        <f>IF(OR(AF328="",AH328=""),"",IF(COUNTIFS(PHUONG_XA!$A$2:$A$3323,AH328,PHUONG_XA!$C$2:$C$3323,AF328)=0,"",INDEX(PHUONG_XA!$B$2:$B$3323,SUMPRODUCT((PHUONG_XA!$A$2:$A$3323&amp;""=AH328&amp;"")*(PHUONG_XA!$C$2:$C$3323&amp;""=AF328&amp;"")*(ROW(PHUONG_XA!$A$2:$A$3323)-ROW(PHUONG_XA!$A$2)+1)))))</f>
        <v/>
      </c>
      <c r="AJ328" s="14"/>
      <c r="AK328" s="14"/>
      <c r="AL328" s="57" t="str">
        <f t="shared" si="6"/>
        <v/>
      </c>
      <c r="AM328" s="14"/>
      <c r="AN328" s="15"/>
      <c r="AO328" s="15"/>
      <c r="AP328" s="48"/>
      <c r="AQ328" s="15"/>
      <c r="AR328" s="15"/>
      <c r="AS328" s="15"/>
      <c r="AT328" s="60" t="str">
        <f>IF(ISNUMBER(MATCH(AU328,LOAI_THE!$B:$B,0)),INDEX(LOAI_THE!$A:$A,MATCH(AU328,LOAI_THE!$B:$B,0)),"")</f>
        <v/>
      </c>
      <c r="AU328" s="48"/>
      <c r="AV328" s="15"/>
      <c r="AW328" s="15"/>
      <c r="AX328" s="15"/>
      <c r="AY328" s="48"/>
    </row>
    <row r="329" spans="1:51" x14ac:dyDescent="0.3">
      <c r="A329" s="13" t="s">
        <v>700</v>
      </c>
      <c r="B329" s="48"/>
      <c r="C329" s="48"/>
      <c r="D329" s="48"/>
      <c r="E329" s="48"/>
      <c r="F329" s="48"/>
      <c r="G329" s="58" t="str">
        <f>IF(ISNUMBER(MATCH(H329,GIOI_TINH!$B:$B,0)),INDEX(GIOI_TINH!$A:$A,MATCH(H329,GIOI_TINH!$B:$B,0)),"")</f>
        <v/>
      </c>
      <c r="H329" s="15"/>
      <c r="I329" s="15"/>
      <c r="J329" s="58" t="str">
        <f>IF(ISNUMBER(MATCH(K329,QUOC_GIA!$B:$B,0)),INDEX(QUOC_GIA!$A:$A,MATCH(K329,QUOC_GIA!$B:$B,0)),"")</f>
        <v/>
      </c>
      <c r="K329" s="50"/>
      <c r="L329" s="15"/>
      <c r="M329" s="58" t="str">
        <f>IF(ISNUMBER(MATCH(N329,LOAI_THUE!$B:$B,0)),INDEX(LOAI_THUE!$A:$A,MATCH(N329,LOAI_THUE!$B:$B,0)),"")</f>
        <v/>
      </c>
      <c r="N329" s="50"/>
      <c r="O329" s="58" t="str">
        <f>IF(ISNUMBER(MATCH(P329,CHI_TIET_LOAI_KH!$B:$B,0)),INDEX(CHI_TIET_LOAI_KH!$A:$A,MATCH(P329,CHI_TIET_LOAI_KH!$B:$B,0)),"")</f>
        <v/>
      </c>
      <c r="P329" s="50"/>
      <c r="Q329" s="58" t="str">
        <f>IF(ISNUMBER(MATCH(R329,NGHE_NGHIEP!$B:$B,0)),INDEX(NGHE_NGHIEP!$A:$A,MATCH(R329,NGHE_NGHIEP!$B:$B,0)),"")</f>
        <v/>
      </c>
      <c r="R329" s="50"/>
      <c r="S329" s="58" t="str">
        <f>IF(ISNUMBER(MATCH(T329,LOAI_ID!$B:$B,0)),INDEX(LOAI_ID!$A:$A,MATCH(T329,LOAI_ID!$B:$B,0)),"")</f>
        <v/>
      </c>
      <c r="T329" s="16"/>
      <c r="U329" s="48"/>
      <c r="V329" s="48"/>
      <c r="W329" s="17"/>
      <c r="X329" s="17"/>
      <c r="Y329" s="15"/>
      <c r="Z329" s="15"/>
      <c r="AA329" s="59" t="str">
        <f>IFERROR(INDEX(NOI_CAP!$B:$B,MATCH(Z329,NOI_CAP!$A:$A,0)),"")</f>
        <v/>
      </c>
      <c r="AB329" s="58" t="str">
        <f>IF(ISNUMBER(MATCH(AC329,LOAI_DIA_CHI!$B:$B,0)),INDEX(LOAI_DIA_CHI!$A:$A,MATCH(AC329,LOAI_DIA_CHI!$B:$B,0)),"")</f>
        <v/>
      </c>
      <c r="AC329" s="16"/>
      <c r="AD329" s="58" t="str">
        <f>IF(ISNUMBER(MATCH(AE329,QUOC_GIA!$B:$B,0)),INDEX(QUOC_GIA!$A:$A,MATCH(AE329,QUOC_GIA!$B:$B,0)),"")</f>
        <v/>
      </c>
      <c r="AE329" s="16"/>
      <c r="AF329" s="48"/>
      <c r="AG329" s="59" t="str">
        <f>IFERROR(INDEX(TINH_TP!$B:$B,MATCH(AF329,TINH_TP!$A:$A,0)),"")</f>
        <v/>
      </c>
      <c r="AH329" s="50"/>
      <c r="AI329" s="59" t="str">
        <f>IF(OR(AF329="",AH329=""),"",IF(COUNTIFS(PHUONG_XA!$A$2:$A$3323,AH329,PHUONG_XA!$C$2:$C$3323,AF329)=0,"",INDEX(PHUONG_XA!$B$2:$B$3323,SUMPRODUCT((PHUONG_XA!$A$2:$A$3323&amp;""=AH329&amp;"")*(PHUONG_XA!$C$2:$C$3323&amp;""=AF329&amp;"")*(ROW(PHUONG_XA!$A$2:$A$3323)-ROW(PHUONG_XA!$A$2)+1)))))</f>
        <v/>
      </c>
      <c r="AJ329" s="14"/>
      <c r="AK329" s="14"/>
      <c r="AL329" s="57" t="str">
        <f t="shared" si="6"/>
        <v/>
      </c>
      <c r="AM329" s="14"/>
      <c r="AN329" s="15"/>
      <c r="AO329" s="15"/>
      <c r="AP329" s="48"/>
      <c r="AQ329" s="15"/>
      <c r="AR329" s="15"/>
      <c r="AS329" s="15"/>
      <c r="AT329" s="60" t="str">
        <f>IF(ISNUMBER(MATCH(AU329,LOAI_THE!$B:$B,0)),INDEX(LOAI_THE!$A:$A,MATCH(AU329,LOAI_THE!$B:$B,0)),"")</f>
        <v/>
      </c>
      <c r="AU329" s="48"/>
      <c r="AV329" s="15"/>
      <c r="AW329" s="15"/>
      <c r="AX329" s="15"/>
      <c r="AY329" s="48"/>
    </row>
    <row r="330" spans="1:51" x14ac:dyDescent="0.3">
      <c r="A330" s="13" t="s">
        <v>701</v>
      </c>
      <c r="B330" s="48"/>
      <c r="C330" s="48"/>
      <c r="D330" s="48"/>
      <c r="E330" s="48"/>
      <c r="F330" s="48"/>
      <c r="G330" s="58" t="str">
        <f>IF(ISNUMBER(MATCH(H330,GIOI_TINH!$B:$B,0)),INDEX(GIOI_TINH!$A:$A,MATCH(H330,GIOI_TINH!$B:$B,0)),"")</f>
        <v/>
      </c>
      <c r="H330" s="15"/>
      <c r="I330" s="15"/>
      <c r="J330" s="58" t="str">
        <f>IF(ISNUMBER(MATCH(K330,QUOC_GIA!$B:$B,0)),INDEX(QUOC_GIA!$A:$A,MATCH(K330,QUOC_GIA!$B:$B,0)),"")</f>
        <v/>
      </c>
      <c r="K330" s="50"/>
      <c r="L330" s="15"/>
      <c r="M330" s="58" t="str">
        <f>IF(ISNUMBER(MATCH(N330,LOAI_THUE!$B:$B,0)),INDEX(LOAI_THUE!$A:$A,MATCH(N330,LOAI_THUE!$B:$B,0)),"")</f>
        <v/>
      </c>
      <c r="N330" s="50"/>
      <c r="O330" s="58" t="str">
        <f>IF(ISNUMBER(MATCH(P330,CHI_TIET_LOAI_KH!$B:$B,0)),INDEX(CHI_TIET_LOAI_KH!$A:$A,MATCH(P330,CHI_TIET_LOAI_KH!$B:$B,0)),"")</f>
        <v/>
      </c>
      <c r="P330" s="50"/>
      <c r="Q330" s="58" t="str">
        <f>IF(ISNUMBER(MATCH(R330,NGHE_NGHIEP!$B:$B,0)),INDEX(NGHE_NGHIEP!$A:$A,MATCH(R330,NGHE_NGHIEP!$B:$B,0)),"")</f>
        <v/>
      </c>
      <c r="R330" s="50"/>
      <c r="S330" s="58" t="str">
        <f>IF(ISNUMBER(MATCH(T330,LOAI_ID!$B:$B,0)),INDEX(LOAI_ID!$A:$A,MATCH(T330,LOAI_ID!$B:$B,0)),"")</f>
        <v/>
      </c>
      <c r="T330" s="16"/>
      <c r="U330" s="48"/>
      <c r="V330" s="48"/>
      <c r="W330" s="17"/>
      <c r="X330" s="17"/>
      <c r="Y330" s="15"/>
      <c r="Z330" s="15"/>
      <c r="AA330" s="59" t="str">
        <f>IFERROR(INDEX(NOI_CAP!$B:$B,MATCH(Z330,NOI_CAP!$A:$A,0)),"")</f>
        <v/>
      </c>
      <c r="AB330" s="58" t="str">
        <f>IF(ISNUMBER(MATCH(AC330,LOAI_DIA_CHI!$B:$B,0)),INDEX(LOAI_DIA_CHI!$A:$A,MATCH(AC330,LOAI_DIA_CHI!$B:$B,0)),"")</f>
        <v/>
      </c>
      <c r="AC330" s="16"/>
      <c r="AD330" s="58" t="str">
        <f>IF(ISNUMBER(MATCH(AE330,QUOC_GIA!$B:$B,0)),INDEX(QUOC_GIA!$A:$A,MATCH(AE330,QUOC_GIA!$B:$B,0)),"")</f>
        <v/>
      </c>
      <c r="AE330" s="16"/>
      <c r="AF330" s="48"/>
      <c r="AG330" s="59" t="str">
        <f>IFERROR(INDEX(TINH_TP!$B:$B,MATCH(AF330,TINH_TP!$A:$A,0)),"")</f>
        <v/>
      </c>
      <c r="AH330" s="50"/>
      <c r="AI330" s="59" t="str">
        <f>IF(OR(AF330="",AH330=""),"",IF(COUNTIFS(PHUONG_XA!$A$2:$A$3323,AH330,PHUONG_XA!$C$2:$C$3323,AF330)=0,"",INDEX(PHUONG_XA!$B$2:$B$3323,SUMPRODUCT((PHUONG_XA!$A$2:$A$3323&amp;""=AH330&amp;"")*(PHUONG_XA!$C$2:$C$3323&amp;""=AF330&amp;"")*(ROW(PHUONG_XA!$A$2:$A$3323)-ROW(PHUONG_XA!$A$2)+1)))))</f>
        <v/>
      </c>
      <c r="AJ330" s="14"/>
      <c r="AK330" s="14"/>
      <c r="AL330" s="57" t="str">
        <f t="shared" si="6"/>
        <v/>
      </c>
      <c r="AM330" s="14"/>
      <c r="AN330" s="15"/>
      <c r="AO330" s="15"/>
      <c r="AP330" s="48"/>
      <c r="AQ330" s="15"/>
      <c r="AR330" s="15"/>
      <c r="AS330" s="15"/>
      <c r="AT330" s="60" t="str">
        <f>IF(ISNUMBER(MATCH(AU330,LOAI_THE!$B:$B,0)),INDEX(LOAI_THE!$A:$A,MATCH(AU330,LOAI_THE!$B:$B,0)),"")</f>
        <v/>
      </c>
      <c r="AU330" s="48"/>
      <c r="AV330" s="15"/>
      <c r="AW330" s="15"/>
      <c r="AX330" s="15"/>
      <c r="AY330" s="48"/>
    </row>
    <row r="331" spans="1:51" x14ac:dyDescent="0.3">
      <c r="A331" s="13" t="s">
        <v>702</v>
      </c>
      <c r="B331" s="48"/>
      <c r="C331" s="48"/>
      <c r="D331" s="48"/>
      <c r="E331" s="48"/>
      <c r="F331" s="48"/>
      <c r="G331" s="58" t="str">
        <f>IF(ISNUMBER(MATCH(H331,GIOI_TINH!$B:$B,0)),INDEX(GIOI_TINH!$A:$A,MATCH(H331,GIOI_TINH!$B:$B,0)),"")</f>
        <v/>
      </c>
      <c r="H331" s="15"/>
      <c r="I331" s="15"/>
      <c r="J331" s="58" t="str">
        <f>IF(ISNUMBER(MATCH(K331,QUOC_GIA!$B:$B,0)),INDEX(QUOC_GIA!$A:$A,MATCH(K331,QUOC_GIA!$B:$B,0)),"")</f>
        <v/>
      </c>
      <c r="K331" s="50"/>
      <c r="L331" s="15"/>
      <c r="M331" s="58" t="str">
        <f>IF(ISNUMBER(MATCH(N331,LOAI_THUE!$B:$B,0)),INDEX(LOAI_THUE!$A:$A,MATCH(N331,LOAI_THUE!$B:$B,0)),"")</f>
        <v/>
      </c>
      <c r="N331" s="50"/>
      <c r="O331" s="58" t="str">
        <f>IF(ISNUMBER(MATCH(P331,CHI_TIET_LOAI_KH!$B:$B,0)),INDEX(CHI_TIET_LOAI_KH!$A:$A,MATCH(P331,CHI_TIET_LOAI_KH!$B:$B,0)),"")</f>
        <v/>
      </c>
      <c r="P331" s="50"/>
      <c r="Q331" s="58" t="str">
        <f>IF(ISNUMBER(MATCH(R331,NGHE_NGHIEP!$B:$B,0)),INDEX(NGHE_NGHIEP!$A:$A,MATCH(R331,NGHE_NGHIEP!$B:$B,0)),"")</f>
        <v/>
      </c>
      <c r="R331" s="50"/>
      <c r="S331" s="58" t="str">
        <f>IF(ISNUMBER(MATCH(T331,LOAI_ID!$B:$B,0)),INDEX(LOAI_ID!$A:$A,MATCH(T331,LOAI_ID!$B:$B,0)),"")</f>
        <v/>
      </c>
      <c r="T331" s="16"/>
      <c r="U331" s="48"/>
      <c r="V331" s="48"/>
      <c r="W331" s="17"/>
      <c r="X331" s="17"/>
      <c r="Y331" s="15"/>
      <c r="Z331" s="15"/>
      <c r="AA331" s="59" t="str">
        <f>IFERROR(INDEX(NOI_CAP!$B:$B,MATCH(Z331,NOI_CAP!$A:$A,0)),"")</f>
        <v/>
      </c>
      <c r="AB331" s="58" t="str">
        <f>IF(ISNUMBER(MATCH(AC331,LOAI_DIA_CHI!$B:$B,0)),INDEX(LOAI_DIA_CHI!$A:$A,MATCH(AC331,LOAI_DIA_CHI!$B:$B,0)),"")</f>
        <v/>
      </c>
      <c r="AC331" s="16"/>
      <c r="AD331" s="58" t="str">
        <f>IF(ISNUMBER(MATCH(AE331,QUOC_GIA!$B:$B,0)),INDEX(QUOC_GIA!$A:$A,MATCH(AE331,QUOC_GIA!$B:$B,0)),"")</f>
        <v/>
      </c>
      <c r="AE331" s="16"/>
      <c r="AF331" s="48"/>
      <c r="AG331" s="59" t="str">
        <f>IFERROR(INDEX(TINH_TP!$B:$B,MATCH(AF331,TINH_TP!$A:$A,0)),"")</f>
        <v/>
      </c>
      <c r="AH331" s="50"/>
      <c r="AI331" s="59" t="str">
        <f>IF(OR(AF331="",AH331=""),"",IF(COUNTIFS(PHUONG_XA!$A$2:$A$3323,AH331,PHUONG_XA!$C$2:$C$3323,AF331)=0,"",INDEX(PHUONG_XA!$B$2:$B$3323,SUMPRODUCT((PHUONG_XA!$A$2:$A$3323&amp;""=AH331&amp;"")*(PHUONG_XA!$C$2:$C$3323&amp;""=AF331&amp;"")*(ROW(PHUONG_XA!$A$2:$A$3323)-ROW(PHUONG_XA!$A$2)+1)))))</f>
        <v/>
      </c>
      <c r="AJ331" s="14"/>
      <c r="AK331" s="14"/>
      <c r="AL331" s="57" t="str">
        <f t="shared" si="6"/>
        <v/>
      </c>
      <c r="AM331" s="14"/>
      <c r="AN331" s="15"/>
      <c r="AO331" s="15"/>
      <c r="AP331" s="48"/>
      <c r="AQ331" s="15"/>
      <c r="AR331" s="15"/>
      <c r="AS331" s="15"/>
      <c r="AT331" s="60" t="str">
        <f>IF(ISNUMBER(MATCH(AU331,LOAI_THE!$B:$B,0)),INDEX(LOAI_THE!$A:$A,MATCH(AU331,LOAI_THE!$B:$B,0)),"")</f>
        <v/>
      </c>
      <c r="AU331" s="48"/>
      <c r="AV331" s="15"/>
      <c r="AW331" s="15"/>
      <c r="AX331" s="15"/>
      <c r="AY331" s="48"/>
    </row>
    <row r="332" spans="1:51" x14ac:dyDescent="0.3">
      <c r="A332" s="13" t="s">
        <v>703</v>
      </c>
      <c r="B332" s="48"/>
      <c r="C332" s="48"/>
      <c r="D332" s="48"/>
      <c r="E332" s="48"/>
      <c r="F332" s="48"/>
      <c r="G332" s="58" t="str">
        <f>IF(ISNUMBER(MATCH(H332,GIOI_TINH!$B:$B,0)),INDEX(GIOI_TINH!$A:$A,MATCH(H332,GIOI_TINH!$B:$B,0)),"")</f>
        <v/>
      </c>
      <c r="H332" s="15"/>
      <c r="I332" s="15"/>
      <c r="J332" s="58" t="str">
        <f>IF(ISNUMBER(MATCH(K332,QUOC_GIA!$B:$B,0)),INDEX(QUOC_GIA!$A:$A,MATCH(K332,QUOC_GIA!$B:$B,0)),"")</f>
        <v/>
      </c>
      <c r="K332" s="50"/>
      <c r="L332" s="15"/>
      <c r="M332" s="58" t="str">
        <f>IF(ISNUMBER(MATCH(N332,LOAI_THUE!$B:$B,0)),INDEX(LOAI_THUE!$A:$A,MATCH(N332,LOAI_THUE!$B:$B,0)),"")</f>
        <v/>
      </c>
      <c r="N332" s="50"/>
      <c r="O332" s="58" t="str">
        <f>IF(ISNUMBER(MATCH(P332,CHI_TIET_LOAI_KH!$B:$B,0)),INDEX(CHI_TIET_LOAI_KH!$A:$A,MATCH(P332,CHI_TIET_LOAI_KH!$B:$B,0)),"")</f>
        <v/>
      </c>
      <c r="P332" s="50"/>
      <c r="Q332" s="58" t="str">
        <f>IF(ISNUMBER(MATCH(R332,NGHE_NGHIEP!$B:$B,0)),INDEX(NGHE_NGHIEP!$A:$A,MATCH(R332,NGHE_NGHIEP!$B:$B,0)),"")</f>
        <v/>
      </c>
      <c r="R332" s="50"/>
      <c r="S332" s="58" t="str">
        <f>IF(ISNUMBER(MATCH(T332,LOAI_ID!$B:$B,0)),INDEX(LOAI_ID!$A:$A,MATCH(T332,LOAI_ID!$B:$B,0)),"")</f>
        <v/>
      </c>
      <c r="T332" s="16"/>
      <c r="U332" s="48"/>
      <c r="V332" s="48"/>
      <c r="W332" s="17"/>
      <c r="X332" s="17"/>
      <c r="Y332" s="15"/>
      <c r="Z332" s="15"/>
      <c r="AA332" s="59" t="str">
        <f>IFERROR(INDEX(NOI_CAP!$B:$B,MATCH(Z332,NOI_CAP!$A:$A,0)),"")</f>
        <v/>
      </c>
      <c r="AB332" s="58" t="str">
        <f>IF(ISNUMBER(MATCH(AC332,LOAI_DIA_CHI!$B:$B,0)),INDEX(LOAI_DIA_CHI!$A:$A,MATCH(AC332,LOAI_DIA_CHI!$B:$B,0)),"")</f>
        <v/>
      </c>
      <c r="AC332" s="16"/>
      <c r="AD332" s="58" t="str">
        <f>IF(ISNUMBER(MATCH(AE332,QUOC_GIA!$B:$B,0)),INDEX(QUOC_GIA!$A:$A,MATCH(AE332,QUOC_GIA!$B:$B,0)),"")</f>
        <v/>
      </c>
      <c r="AE332" s="16"/>
      <c r="AF332" s="48"/>
      <c r="AG332" s="59" t="str">
        <f>IFERROR(INDEX(TINH_TP!$B:$B,MATCH(AF332,TINH_TP!$A:$A,0)),"")</f>
        <v/>
      </c>
      <c r="AH332" s="50"/>
      <c r="AI332" s="59" t="str">
        <f>IF(OR(AF332="",AH332=""),"",IF(COUNTIFS(PHUONG_XA!$A$2:$A$3323,AH332,PHUONG_XA!$C$2:$C$3323,AF332)=0,"",INDEX(PHUONG_XA!$B$2:$B$3323,SUMPRODUCT((PHUONG_XA!$A$2:$A$3323&amp;""=AH332&amp;"")*(PHUONG_XA!$C$2:$C$3323&amp;""=AF332&amp;"")*(ROW(PHUONG_XA!$A$2:$A$3323)-ROW(PHUONG_XA!$A$2)+1)))))</f>
        <v/>
      </c>
      <c r="AJ332" s="14"/>
      <c r="AK332" s="14"/>
      <c r="AL332" s="57" t="str">
        <f t="shared" si="6"/>
        <v/>
      </c>
      <c r="AM332" s="14"/>
      <c r="AN332" s="15"/>
      <c r="AO332" s="15"/>
      <c r="AP332" s="48"/>
      <c r="AQ332" s="15"/>
      <c r="AR332" s="15"/>
      <c r="AS332" s="15"/>
      <c r="AT332" s="60" t="str">
        <f>IF(ISNUMBER(MATCH(AU332,LOAI_THE!$B:$B,0)),INDEX(LOAI_THE!$A:$A,MATCH(AU332,LOAI_THE!$B:$B,0)),"")</f>
        <v/>
      </c>
      <c r="AU332" s="48"/>
      <c r="AV332" s="15"/>
      <c r="AW332" s="15"/>
      <c r="AX332" s="15"/>
      <c r="AY332" s="48"/>
    </row>
    <row r="333" spans="1:51" x14ac:dyDescent="0.3">
      <c r="A333" s="13" t="s">
        <v>704</v>
      </c>
      <c r="B333" s="48"/>
      <c r="C333" s="48"/>
      <c r="D333" s="48"/>
      <c r="E333" s="48"/>
      <c r="F333" s="48"/>
      <c r="G333" s="58" t="str">
        <f>IF(ISNUMBER(MATCH(H333,GIOI_TINH!$B:$B,0)),INDEX(GIOI_TINH!$A:$A,MATCH(H333,GIOI_TINH!$B:$B,0)),"")</f>
        <v/>
      </c>
      <c r="H333" s="15"/>
      <c r="I333" s="15"/>
      <c r="J333" s="58" t="str">
        <f>IF(ISNUMBER(MATCH(K333,QUOC_GIA!$B:$B,0)),INDEX(QUOC_GIA!$A:$A,MATCH(K333,QUOC_GIA!$B:$B,0)),"")</f>
        <v/>
      </c>
      <c r="K333" s="50"/>
      <c r="L333" s="15"/>
      <c r="M333" s="58" t="str">
        <f>IF(ISNUMBER(MATCH(N333,LOAI_THUE!$B:$B,0)),INDEX(LOAI_THUE!$A:$A,MATCH(N333,LOAI_THUE!$B:$B,0)),"")</f>
        <v/>
      </c>
      <c r="N333" s="50"/>
      <c r="O333" s="58" t="str">
        <f>IF(ISNUMBER(MATCH(P333,CHI_TIET_LOAI_KH!$B:$B,0)),INDEX(CHI_TIET_LOAI_KH!$A:$A,MATCH(P333,CHI_TIET_LOAI_KH!$B:$B,0)),"")</f>
        <v/>
      </c>
      <c r="P333" s="50"/>
      <c r="Q333" s="58" t="str">
        <f>IF(ISNUMBER(MATCH(R333,NGHE_NGHIEP!$B:$B,0)),INDEX(NGHE_NGHIEP!$A:$A,MATCH(R333,NGHE_NGHIEP!$B:$B,0)),"")</f>
        <v/>
      </c>
      <c r="R333" s="50"/>
      <c r="S333" s="58" t="str">
        <f>IF(ISNUMBER(MATCH(T333,LOAI_ID!$B:$B,0)),INDEX(LOAI_ID!$A:$A,MATCH(T333,LOAI_ID!$B:$B,0)),"")</f>
        <v/>
      </c>
      <c r="T333" s="16"/>
      <c r="U333" s="48"/>
      <c r="V333" s="48"/>
      <c r="W333" s="17"/>
      <c r="X333" s="17"/>
      <c r="Y333" s="15"/>
      <c r="Z333" s="15"/>
      <c r="AA333" s="59" t="str">
        <f>IFERROR(INDEX(NOI_CAP!$B:$B,MATCH(Z333,NOI_CAP!$A:$A,0)),"")</f>
        <v/>
      </c>
      <c r="AB333" s="58" t="str">
        <f>IF(ISNUMBER(MATCH(AC333,LOAI_DIA_CHI!$B:$B,0)),INDEX(LOAI_DIA_CHI!$A:$A,MATCH(AC333,LOAI_DIA_CHI!$B:$B,0)),"")</f>
        <v/>
      </c>
      <c r="AC333" s="16"/>
      <c r="AD333" s="58" t="str">
        <f>IF(ISNUMBER(MATCH(AE333,QUOC_GIA!$B:$B,0)),INDEX(QUOC_GIA!$A:$A,MATCH(AE333,QUOC_GIA!$B:$B,0)),"")</f>
        <v/>
      </c>
      <c r="AE333" s="16"/>
      <c r="AF333" s="48"/>
      <c r="AG333" s="59" t="str">
        <f>IFERROR(INDEX(TINH_TP!$B:$B,MATCH(AF333,TINH_TP!$A:$A,0)),"")</f>
        <v/>
      </c>
      <c r="AH333" s="50"/>
      <c r="AI333" s="59" t="str">
        <f>IF(OR(AF333="",AH333=""),"",IF(COUNTIFS(PHUONG_XA!$A$2:$A$3323,AH333,PHUONG_XA!$C$2:$C$3323,AF333)=0,"",INDEX(PHUONG_XA!$B$2:$B$3323,SUMPRODUCT((PHUONG_XA!$A$2:$A$3323&amp;""=AH333&amp;"")*(PHUONG_XA!$C$2:$C$3323&amp;""=AF333&amp;"")*(ROW(PHUONG_XA!$A$2:$A$3323)-ROW(PHUONG_XA!$A$2)+1)))))</f>
        <v/>
      </c>
      <c r="AJ333" s="14"/>
      <c r="AK333" s="14"/>
      <c r="AL333" s="57" t="str">
        <f t="shared" si="6"/>
        <v/>
      </c>
      <c r="AM333" s="14"/>
      <c r="AN333" s="15"/>
      <c r="AO333" s="15"/>
      <c r="AP333" s="48"/>
      <c r="AQ333" s="15"/>
      <c r="AR333" s="15"/>
      <c r="AS333" s="15"/>
      <c r="AT333" s="60" t="str">
        <f>IF(ISNUMBER(MATCH(AU333,LOAI_THE!$B:$B,0)),INDEX(LOAI_THE!$A:$A,MATCH(AU333,LOAI_THE!$B:$B,0)),"")</f>
        <v/>
      </c>
      <c r="AU333" s="48"/>
      <c r="AV333" s="15"/>
      <c r="AW333" s="15"/>
      <c r="AX333" s="15"/>
      <c r="AY333" s="48"/>
    </row>
    <row r="334" spans="1:51" x14ac:dyDescent="0.3">
      <c r="A334" s="13" t="s">
        <v>705</v>
      </c>
      <c r="B334" s="48"/>
      <c r="C334" s="48"/>
      <c r="D334" s="48"/>
      <c r="E334" s="48"/>
      <c r="F334" s="48"/>
      <c r="G334" s="58" t="str">
        <f>IF(ISNUMBER(MATCH(H334,GIOI_TINH!$B:$B,0)),INDEX(GIOI_TINH!$A:$A,MATCH(H334,GIOI_TINH!$B:$B,0)),"")</f>
        <v/>
      </c>
      <c r="H334" s="15"/>
      <c r="I334" s="15"/>
      <c r="J334" s="58" t="str">
        <f>IF(ISNUMBER(MATCH(K334,QUOC_GIA!$B:$B,0)),INDEX(QUOC_GIA!$A:$A,MATCH(K334,QUOC_GIA!$B:$B,0)),"")</f>
        <v/>
      </c>
      <c r="K334" s="50"/>
      <c r="L334" s="15"/>
      <c r="M334" s="58" t="str">
        <f>IF(ISNUMBER(MATCH(N334,LOAI_THUE!$B:$B,0)),INDEX(LOAI_THUE!$A:$A,MATCH(N334,LOAI_THUE!$B:$B,0)),"")</f>
        <v/>
      </c>
      <c r="N334" s="50"/>
      <c r="O334" s="58" t="str">
        <f>IF(ISNUMBER(MATCH(P334,CHI_TIET_LOAI_KH!$B:$B,0)),INDEX(CHI_TIET_LOAI_KH!$A:$A,MATCH(P334,CHI_TIET_LOAI_KH!$B:$B,0)),"")</f>
        <v/>
      </c>
      <c r="P334" s="50"/>
      <c r="Q334" s="58" t="str">
        <f>IF(ISNUMBER(MATCH(R334,NGHE_NGHIEP!$B:$B,0)),INDEX(NGHE_NGHIEP!$A:$A,MATCH(R334,NGHE_NGHIEP!$B:$B,0)),"")</f>
        <v/>
      </c>
      <c r="R334" s="50"/>
      <c r="S334" s="58" t="str">
        <f>IF(ISNUMBER(MATCH(T334,LOAI_ID!$B:$B,0)),INDEX(LOAI_ID!$A:$A,MATCH(T334,LOAI_ID!$B:$B,0)),"")</f>
        <v/>
      </c>
      <c r="T334" s="16"/>
      <c r="U334" s="48"/>
      <c r="V334" s="48"/>
      <c r="W334" s="17"/>
      <c r="X334" s="17"/>
      <c r="Y334" s="15"/>
      <c r="Z334" s="15"/>
      <c r="AA334" s="59" t="str">
        <f>IFERROR(INDEX(NOI_CAP!$B:$B,MATCH(Z334,NOI_CAP!$A:$A,0)),"")</f>
        <v/>
      </c>
      <c r="AB334" s="58" t="str">
        <f>IF(ISNUMBER(MATCH(AC334,LOAI_DIA_CHI!$B:$B,0)),INDEX(LOAI_DIA_CHI!$A:$A,MATCH(AC334,LOAI_DIA_CHI!$B:$B,0)),"")</f>
        <v/>
      </c>
      <c r="AC334" s="16"/>
      <c r="AD334" s="58" t="str">
        <f>IF(ISNUMBER(MATCH(AE334,QUOC_GIA!$B:$B,0)),INDEX(QUOC_GIA!$A:$A,MATCH(AE334,QUOC_GIA!$B:$B,0)),"")</f>
        <v/>
      </c>
      <c r="AE334" s="16"/>
      <c r="AF334" s="48"/>
      <c r="AG334" s="59" t="str">
        <f>IFERROR(INDEX(TINH_TP!$B:$B,MATCH(AF334,TINH_TP!$A:$A,0)),"")</f>
        <v/>
      </c>
      <c r="AH334" s="50"/>
      <c r="AI334" s="59" t="str">
        <f>IF(OR(AF334="",AH334=""),"",IF(COUNTIFS(PHUONG_XA!$A$2:$A$3323,AH334,PHUONG_XA!$C$2:$C$3323,AF334)=0,"",INDEX(PHUONG_XA!$B$2:$B$3323,SUMPRODUCT((PHUONG_XA!$A$2:$A$3323&amp;""=AH334&amp;"")*(PHUONG_XA!$C$2:$C$3323&amp;""=AF334&amp;"")*(ROW(PHUONG_XA!$A$2:$A$3323)-ROW(PHUONG_XA!$A$2)+1)))))</f>
        <v/>
      </c>
      <c r="AJ334" s="14"/>
      <c r="AK334" s="14"/>
      <c r="AL334" s="57" t="str">
        <f t="shared" si="6"/>
        <v/>
      </c>
      <c r="AM334" s="14"/>
      <c r="AN334" s="15"/>
      <c r="AO334" s="15"/>
      <c r="AP334" s="48"/>
      <c r="AQ334" s="15"/>
      <c r="AR334" s="15"/>
      <c r="AS334" s="15"/>
      <c r="AT334" s="60" t="str">
        <f>IF(ISNUMBER(MATCH(AU334,LOAI_THE!$B:$B,0)),INDEX(LOAI_THE!$A:$A,MATCH(AU334,LOAI_THE!$B:$B,0)),"")</f>
        <v/>
      </c>
      <c r="AU334" s="48"/>
      <c r="AV334" s="15"/>
      <c r="AW334" s="15"/>
      <c r="AX334" s="15"/>
      <c r="AY334" s="48"/>
    </row>
    <row r="335" spans="1:51" x14ac:dyDescent="0.3">
      <c r="A335" s="13" t="s">
        <v>706</v>
      </c>
      <c r="B335" s="48"/>
      <c r="C335" s="48"/>
      <c r="D335" s="48"/>
      <c r="E335" s="48"/>
      <c r="F335" s="48"/>
      <c r="G335" s="58" t="str">
        <f>IF(ISNUMBER(MATCH(H335,GIOI_TINH!$B:$B,0)),INDEX(GIOI_TINH!$A:$A,MATCH(H335,GIOI_TINH!$B:$B,0)),"")</f>
        <v/>
      </c>
      <c r="H335" s="15"/>
      <c r="I335" s="15"/>
      <c r="J335" s="58" t="str">
        <f>IF(ISNUMBER(MATCH(K335,QUOC_GIA!$B:$B,0)),INDEX(QUOC_GIA!$A:$A,MATCH(K335,QUOC_GIA!$B:$B,0)),"")</f>
        <v/>
      </c>
      <c r="K335" s="50"/>
      <c r="L335" s="15"/>
      <c r="M335" s="58" t="str">
        <f>IF(ISNUMBER(MATCH(N335,LOAI_THUE!$B:$B,0)),INDEX(LOAI_THUE!$A:$A,MATCH(N335,LOAI_THUE!$B:$B,0)),"")</f>
        <v/>
      </c>
      <c r="N335" s="50"/>
      <c r="O335" s="58" t="str">
        <f>IF(ISNUMBER(MATCH(P335,CHI_TIET_LOAI_KH!$B:$B,0)),INDEX(CHI_TIET_LOAI_KH!$A:$A,MATCH(P335,CHI_TIET_LOAI_KH!$B:$B,0)),"")</f>
        <v/>
      </c>
      <c r="P335" s="50"/>
      <c r="Q335" s="58" t="str">
        <f>IF(ISNUMBER(MATCH(R335,NGHE_NGHIEP!$B:$B,0)),INDEX(NGHE_NGHIEP!$A:$A,MATCH(R335,NGHE_NGHIEP!$B:$B,0)),"")</f>
        <v/>
      </c>
      <c r="R335" s="50"/>
      <c r="S335" s="58" t="str">
        <f>IF(ISNUMBER(MATCH(T335,LOAI_ID!$B:$B,0)),INDEX(LOAI_ID!$A:$A,MATCH(T335,LOAI_ID!$B:$B,0)),"")</f>
        <v/>
      </c>
      <c r="T335" s="16"/>
      <c r="U335" s="48"/>
      <c r="V335" s="48"/>
      <c r="W335" s="17"/>
      <c r="X335" s="17"/>
      <c r="Y335" s="15"/>
      <c r="Z335" s="15"/>
      <c r="AA335" s="59" t="str">
        <f>IFERROR(INDEX(NOI_CAP!$B:$B,MATCH(Z335,NOI_CAP!$A:$A,0)),"")</f>
        <v/>
      </c>
      <c r="AB335" s="58" t="str">
        <f>IF(ISNUMBER(MATCH(AC335,LOAI_DIA_CHI!$B:$B,0)),INDEX(LOAI_DIA_CHI!$A:$A,MATCH(AC335,LOAI_DIA_CHI!$B:$B,0)),"")</f>
        <v/>
      </c>
      <c r="AC335" s="16"/>
      <c r="AD335" s="58" t="str">
        <f>IF(ISNUMBER(MATCH(AE335,QUOC_GIA!$B:$B,0)),INDEX(QUOC_GIA!$A:$A,MATCH(AE335,QUOC_GIA!$B:$B,0)),"")</f>
        <v/>
      </c>
      <c r="AE335" s="16"/>
      <c r="AF335" s="48"/>
      <c r="AG335" s="59" t="str">
        <f>IFERROR(INDEX(TINH_TP!$B:$B,MATCH(AF335,TINH_TP!$A:$A,0)),"")</f>
        <v/>
      </c>
      <c r="AH335" s="50"/>
      <c r="AI335" s="59" t="str">
        <f>IF(OR(AF335="",AH335=""),"",IF(COUNTIFS(PHUONG_XA!$A$2:$A$3323,AH335,PHUONG_XA!$C$2:$C$3323,AF335)=0,"",INDEX(PHUONG_XA!$B$2:$B$3323,SUMPRODUCT((PHUONG_XA!$A$2:$A$3323&amp;""=AH335&amp;"")*(PHUONG_XA!$C$2:$C$3323&amp;""=AF335&amp;"")*(ROW(PHUONG_XA!$A$2:$A$3323)-ROW(PHUONG_XA!$A$2)+1)))))</f>
        <v/>
      </c>
      <c r="AJ335" s="14"/>
      <c r="AK335" s="14"/>
      <c r="AL335" s="57" t="str">
        <f t="shared" si="6"/>
        <v/>
      </c>
      <c r="AM335" s="14"/>
      <c r="AN335" s="15"/>
      <c r="AO335" s="15"/>
      <c r="AP335" s="48"/>
      <c r="AQ335" s="15"/>
      <c r="AR335" s="15"/>
      <c r="AS335" s="15"/>
      <c r="AT335" s="60" t="str">
        <f>IF(ISNUMBER(MATCH(AU335,LOAI_THE!$B:$B,0)),INDEX(LOAI_THE!$A:$A,MATCH(AU335,LOAI_THE!$B:$B,0)),"")</f>
        <v/>
      </c>
      <c r="AU335" s="48"/>
      <c r="AV335" s="15"/>
      <c r="AW335" s="15"/>
      <c r="AX335" s="15"/>
      <c r="AY335" s="48"/>
    </row>
    <row r="336" spans="1:51" x14ac:dyDescent="0.3">
      <c r="A336" s="13" t="s">
        <v>707</v>
      </c>
      <c r="B336" s="48"/>
      <c r="C336" s="48"/>
      <c r="D336" s="48"/>
      <c r="E336" s="48"/>
      <c r="F336" s="48"/>
      <c r="G336" s="58" t="str">
        <f>IF(ISNUMBER(MATCH(H336,GIOI_TINH!$B:$B,0)),INDEX(GIOI_TINH!$A:$A,MATCH(H336,GIOI_TINH!$B:$B,0)),"")</f>
        <v/>
      </c>
      <c r="H336" s="15"/>
      <c r="I336" s="15"/>
      <c r="J336" s="58" t="str">
        <f>IF(ISNUMBER(MATCH(K336,QUOC_GIA!$B:$B,0)),INDEX(QUOC_GIA!$A:$A,MATCH(K336,QUOC_GIA!$B:$B,0)),"")</f>
        <v/>
      </c>
      <c r="K336" s="50"/>
      <c r="L336" s="15"/>
      <c r="M336" s="58" t="str">
        <f>IF(ISNUMBER(MATCH(N336,LOAI_THUE!$B:$B,0)),INDEX(LOAI_THUE!$A:$A,MATCH(N336,LOAI_THUE!$B:$B,0)),"")</f>
        <v/>
      </c>
      <c r="N336" s="50"/>
      <c r="O336" s="58" t="str">
        <f>IF(ISNUMBER(MATCH(P336,CHI_TIET_LOAI_KH!$B:$B,0)),INDEX(CHI_TIET_LOAI_KH!$A:$A,MATCH(P336,CHI_TIET_LOAI_KH!$B:$B,0)),"")</f>
        <v/>
      </c>
      <c r="P336" s="50"/>
      <c r="Q336" s="58" t="str">
        <f>IF(ISNUMBER(MATCH(R336,NGHE_NGHIEP!$B:$B,0)),INDEX(NGHE_NGHIEP!$A:$A,MATCH(R336,NGHE_NGHIEP!$B:$B,0)),"")</f>
        <v/>
      </c>
      <c r="R336" s="50"/>
      <c r="S336" s="58" t="str">
        <f>IF(ISNUMBER(MATCH(T336,LOAI_ID!$B:$B,0)),INDEX(LOAI_ID!$A:$A,MATCH(T336,LOAI_ID!$B:$B,0)),"")</f>
        <v/>
      </c>
      <c r="T336" s="16"/>
      <c r="U336" s="48"/>
      <c r="V336" s="48"/>
      <c r="W336" s="17"/>
      <c r="X336" s="17"/>
      <c r="Y336" s="15"/>
      <c r="Z336" s="15"/>
      <c r="AA336" s="59" t="str">
        <f>IFERROR(INDEX(NOI_CAP!$B:$B,MATCH(Z336,NOI_CAP!$A:$A,0)),"")</f>
        <v/>
      </c>
      <c r="AB336" s="58" t="str">
        <f>IF(ISNUMBER(MATCH(AC336,LOAI_DIA_CHI!$B:$B,0)),INDEX(LOAI_DIA_CHI!$A:$A,MATCH(AC336,LOAI_DIA_CHI!$B:$B,0)),"")</f>
        <v/>
      </c>
      <c r="AC336" s="16"/>
      <c r="AD336" s="58" t="str">
        <f>IF(ISNUMBER(MATCH(AE336,QUOC_GIA!$B:$B,0)),INDEX(QUOC_GIA!$A:$A,MATCH(AE336,QUOC_GIA!$B:$B,0)),"")</f>
        <v/>
      </c>
      <c r="AE336" s="16"/>
      <c r="AF336" s="48"/>
      <c r="AG336" s="59" t="str">
        <f>IFERROR(INDEX(TINH_TP!$B:$B,MATCH(AF336,TINH_TP!$A:$A,0)),"")</f>
        <v/>
      </c>
      <c r="AH336" s="50"/>
      <c r="AI336" s="59" t="str">
        <f>IF(OR(AF336="",AH336=""),"",IF(COUNTIFS(PHUONG_XA!$A$2:$A$3323,AH336,PHUONG_XA!$C$2:$C$3323,AF336)=0,"",INDEX(PHUONG_XA!$B$2:$B$3323,SUMPRODUCT((PHUONG_XA!$A$2:$A$3323&amp;""=AH336&amp;"")*(PHUONG_XA!$C$2:$C$3323&amp;""=AF336&amp;"")*(ROW(PHUONG_XA!$A$2:$A$3323)-ROW(PHUONG_XA!$A$2)+1)))))</f>
        <v/>
      </c>
      <c r="AJ336" s="14"/>
      <c r="AK336" s="14"/>
      <c r="AL336" s="57" t="str">
        <f t="shared" si="6"/>
        <v/>
      </c>
      <c r="AM336" s="14"/>
      <c r="AN336" s="15"/>
      <c r="AO336" s="15"/>
      <c r="AP336" s="48"/>
      <c r="AQ336" s="15"/>
      <c r="AR336" s="15"/>
      <c r="AS336" s="15"/>
      <c r="AT336" s="60" t="str">
        <f>IF(ISNUMBER(MATCH(AU336,LOAI_THE!$B:$B,0)),INDEX(LOAI_THE!$A:$A,MATCH(AU336,LOAI_THE!$B:$B,0)),"")</f>
        <v/>
      </c>
      <c r="AU336" s="48"/>
      <c r="AV336" s="15"/>
      <c r="AW336" s="15"/>
      <c r="AX336" s="15"/>
      <c r="AY336" s="48"/>
    </row>
    <row r="337" spans="1:51" x14ac:dyDescent="0.3">
      <c r="A337" s="13" t="s">
        <v>708</v>
      </c>
      <c r="B337" s="48"/>
      <c r="C337" s="48"/>
      <c r="D337" s="48"/>
      <c r="E337" s="48"/>
      <c r="F337" s="48"/>
      <c r="G337" s="58" t="str">
        <f>IF(ISNUMBER(MATCH(H337,GIOI_TINH!$B:$B,0)),INDEX(GIOI_TINH!$A:$A,MATCH(H337,GIOI_TINH!$B:$B,0)),"")</f>
        <v/>
      </c>
      <c r="H337" s="15"/>
      <c r="I337" s="15"/>
      <c r="J337" s="58" t="str">
        <f>IF(ISNUMBER(MATCH(K337,QUOC_GIA!$B:$B,0)),INDEX(QUOC_GIA!$A:$A,MATCH(K337,QUOC_GIA!$B:$B,0)),"")</f>
        <v/>
      </c>
      <c r="K337" s="50"/>
      <c r="L337" s="15"/>
      <c r="M337" s="58" t="str">
        <f>IF(ISNUMBER(MATCH(N337,LOAI_THUE!$B:$B,0)),INDEX(LOAI_THUE!$A:$A,MATCH(N337,LOAI_THUE!$B:$B,0)),"")</f>
        <v/>
      </c>
      <c r="N337" s="50"/>
      <c r="O337" s="58" t="str">
        <f>IF(ISNUMBER(MATCH(P337,CHI_TIET_LOAI_KH!$B:$B,0)),INDEX(CHI_TIET_LOAI_KH!$A:$A,MATCH(P337,CHI_TIET_LOAI_KH!$B:$B,0)),"")</f>
        <v/>
      </c>
      <c r="P337" s="50"/>
      <c r="Q337" s="58" t="str">
        <f>IF(ISNUMBER(MATCH(R337,NGHE_NGHIEP!$B:$B,0)),INDEX(NGHE_NGHIEP!$A:$A,MATCH(R337,NGHE_NGHIEP!$B:$B,0)),"")</f>
        <v/>
      </c>
      <c r="R337" s="50"/>
      <c r="S337" s="58" t="str">
        <f>IF(ISNUMBER(MATCH(T337,LOAI_ID!$B:$B,0)),INDEX(LOAI_ID!$A:$A,MATCH(T337,LOAI_ID!$B:$B,0)),"")</f>
        <v/>
      </c>
      <c r="T337" s="16"/>
      <c r="U337" s="48"/>
      <c r="V337" s="48"/>
      <c r="W337" s="17"/>
      <c r="X337" s="17"/>
      <c r="Y337" s="15"/>
      <c r="Z337" s="15"/>
      <c r="AA337" s="59" t="str">
        <f>IFERROR(INDEX(NOI_CAP!$B:$B,MATCH(Z337,NOI_CAP!$A:$A,0)),"")</f>
        <v/>
      </c>
      <c r="AB337" s="58" t="str">
        <f>IF(ISNUMBER(MATCH(AC337,LOAI_DIA_CHI!$B:$B,0)),INDEX(LOAI_DIA_CHI!$A:$A,MATCH(AC337,LOAI_DIA_CHI!$B:$B,0)),"")</f>
        <v/>
      </c>
      <c r="AC337" s="16"/>
      <c r="AD337" s="58" t="str">
        <f>IF(ISNUMBER(MATCH(AE337,QUOC_GIA!$B:$B,0)),INDEX(QUOC_GIA!$A:$A,MATCH(AE337,QUOC_GIA!$B:$B,0)),"")</f>
        <v/>
      </c>
      <c r="AE337" s="16"/>
      <c r="AF337" s="48"/>
      <c r="AG337" s="59" t="str">
        <f>IFERROR(INDEX(TINH_TP!$B:$B,MATCH(AF337,TINH_TP!$A:$A,0)),"")</f>
        <v/>
      </c>
      <c r="AH337" s="50"/>
      <c r="AI337" s="59" t="str">
        <f>IF(OR(AF337="",AH337=""),"",IF(COUNTIFS(PHUONG_XA!$A$2:$A$3323,AH337,PHUONG_XA!$C$2:$C$3323,AF337)=0,"",INDEX(PHUONG_XA!$B$2:$B$3323,SUMPRODUCT((PHUONG_XA!$A$2:$A$3323&amp;""=AH337&amp;"")*(PHUONG_XA!$C$2:$C$3323&amp;""=AF337&amp;"")*(ROW(PHUONG_XA!$A$2:$A$3323)-ROW(PHUONG_XA!$A$2)+1)))))</f>
        <v/>
      </c>
      <c r="AJ337" s="14"/>
      <c r="AK337" s="14"/>
      <c r="AL337" s="57" t="str">
        <f t="shared" si="6"/>
        <v/>
      </c>
      <c r="AM337" s="14"/>
      <c r="AN337" s="15"/>
      <c r="AO337" s="15"/>
      <c r="AP337" s="48"/>
      <c r="AQ337" s="15"/>
      <c r="AR337" s="15"/>
      <c r="AS337" s="15"/>
      <c r="AT337" s="60" t="str">
        <f>IF(ISNUMBER(MATCH(AU337,LOAI_THE!$B:$B,0)),INDEX(LOAI_THE!$A:$A,MATCH(AU337,LOAI_THE!$B:$B,0)),"")</f>
        <v/>
      </c>
      <c r="AU337" s="48"/>
      <c r="AV337" s="15"/>
      <c r="AW337" s="15"/>
      <c r="AX337" s="15"/>
      <c r="AY337" s="48"/>
    </row>
    <row r="338" spans="1:51" x14ac:dyDescent="0.3">
      <c r="A338" s="13" t="s">
        <v>709</v>
      </c>
      <c r="B338" s="48"/>
      <c r="C338" s="48"/>
      <c r="D338" s="48"/>
      <c r="E338" s="48"/>
      <c r="F338" s="48"/>
      <c r="G338" s="58" t="str">
        <f>IF(ISNUMBER(MATCH(H338,GIOI_TINH!$B:$B,0)),INDEX(GIOI_TINH!$A:$A,MATCH(H338,GIOI_TINH!$B:$B,0)),"")</f>
        <v/>
      </c>
      <c r="H338" s="15"/>
      <c r="I338" s="15"/>
      <c r="J338" s="58" t="str">
        <f>IF(ISNUMBER(MATCH(K338,QUOC_GIA!$B:$B,0)),INDEX(QUOC_GIA!$A:$A,MATCH(K338,QUOC_GIA!$B:$B,0)),"")</f>
        <v/>
      </c>
      <c r="K338" s="50"/>
      <c r="L338" s="15"/>
      <c r="M338" s="58" t="str">
        <f>IF(ISNUMBER(MATCH(N338,LOAI_THUE!$B:$B,0)),INDEX(LOAI_THUE!$A:$A,MATCH(N338,LOAI_THUE!$B:$B,0)),"")</f>
        <v/>
      </c>
      <c r="N338" s="50"/>
      <c r="O338" s="58" t="str">
        <f>IF(ISNUMBER(MATCH(P338,CHI_TIET_LOAI_KH!$B:$B,0)),INDEX(CHI_TIET_LOAI_KH!$A:$A,MATCH(P338,CHI_TIET_LOAI_KH!$B:$B,0)),"")</f>
        <v/>
      </c>
      <c r="P338" s="50"/>
      <c r="Q338" s="58" t="str">
        <f>IF(ISNUMBER(MATCH(R338,NGHE_NGHIEP!$B:$B,0)),INDEX(NGHE_NGHIEP!$A:$A,MATCH(R338,NGHE_NGHIEP!$B:$B,0)),"")</f>
        <v/>
      </c>
      <c r="R338" s="50"/>
      <c r="S338" s="58" t="str">
        <f>IF(ISNUMBER(MATCH(T338,LOAI_ID!$B:$B,0)),INDEX(LOAI_ID!$A:$A,MATCH(T338,LOAI_ID!$B:$B,0)),"")</f>
        <v/>
      </c>
      <c r="T338" s="16"/>
      <c r="U338" s="48"/>
      <c r="V338" s="48"/>
      <c r="W338" s="17"/>
      <c r="X338" s="17"/>
      <c r="Y338" s="15"/>
      <c r="Z338" s="15"/>
      <c r="AA338" s="59" t="str">
        <f>IFERROR(INDEX(NOI_CAP!$B:$B,MATCH(Z338,NOI_CAP!$A:$A,0)),"")</f>
        <v/>
      </c>
      <c r="AB338" s="58" t="str">
        <f>IF(ISNUMBER(MATCH(AC338,LOAI_DIA_CHI!$B:$B,0)),INDEX(LOAI_DIA_CHI!$A:$A,MATCH(AC338,LOAI_DIA_CHI!$B:$B,0)),"")</f>
        <v/>
      </c>
      <c r="AC338" s="16"/>
      <c r="AD338" s="58" t="str">
        <f>IF(ISNUMBER(MATCH(AE338,QUOC_GIA!$B:$B,0)),INDEX(QUOC_GIA!$A:$A,MATCH(AE338,QUOC_GIA!$B:$B,0)),"")</f>
        <v/>
      </c>
      <c r="AE338" s="16"/>
      <c r="AF338" s="48"/>
      <c r="AG338" s="59" t="str">
        <f>IFERROR(INDEX(TINH_TP!$B:$B,MATCH(AF338,TINH_TP!$A:$A,0)),"")</f>
        <v/>
      </c>
      <c r="AH338" s="50"/>
      <c r="AI338" s="59" t="str">
        <f>IF(OR(AF338="",AH338=""),"",IF(COUNTIFS(PHUONG_XA!$A$2:$A$3323,AH338,PHUONG_XA!$C$2:$C$3323,AF338)=0,"",INDEX(PHUONG_XA!$B$2:$B$3323,SUMPRODUCT((PHUONG_XA!$A$2:$A$3323&amp;""=AH338&amp;"")*(PHUONG_XA!$C$2:$C$3323&amp;""=AF338&amp;"")*(ROW(PHUONG_XA!$A$2:$A$3323)-ROW(PHUONG_XA!$A$2)+1)))))</f>
        <v/>
      </c>
      <c r="AJ338" s="14"/>
      <c r="AK338" s="14"/>
      <c r="AL338" s="57" t="str">
        <f t="shared" si="6"/>
        <v/>
      </c>
      <c r="AM338" s="14"/>
      <c r="AN338" s="15"/>
      <c r="AO338" s="15"/>
      <c r="AP338" s="48"/>
      <c r="AQ338" s="15"/>
      <c r="AR338" s="15"/>
      <c r="AS338" s="15"/>
      <c r="AT338" s="60" t="str">
        <f>IF(ISNUMBER(MATCH(AU338,LOAI_THE!$B:$B,0)),INDEX(LOAI_THE!$A:$A,MATCH(AU338,LOAI_THE!$B:$B,0)),"")</f>
        <v/>
      </c>
      <c r="AU338" s="48"/>
      <c r="AV338" s="15"/>
      <c r="AW338" s="15"/>
      <c r="AX338" s="15"/>
      <c r="AY338" s="48"/>
    </row>
    <row r="339" spans="1:51" x14ac:dyDescent="0.3">
      <c r="A339" s="13" t="s">
        <v>710</v>
      </c>
      <c r="B339" s="48"/>
      <c r="C339" s="48"/>
      <c r="D339" s="48"/>
      <c r="E339" s="48"/>
      <c r="F339" s="48"/>
      <c r="G339" s="58" t="str">
        <f>IF(ISNUMBER(MATCH(H339,GIOI_TINH!$B:$B,0)),INDEX(GIOI_TINH!$A:$A,MATCH(H339,GIOI_TINH!$B:$B,0)),"")</f>
        <v/>
      </c>
      <c r="H339" s="15"/>
      <c r="I339" s="15"/>
      <c r="J339" s="58" t="str">
        <f>IF(ISNUMBER(MATCH(K339,QUOC_GIA!$B:$B,0)),INDEX(QUOC_GIA!$A:$A,MATCH(K339,QUOC_GIA!$B:$B,0)),"")</f>
        <v/>
      </c>
      <c r="K339" s="50"/>
      <c r="L339" s="15"/>
      <c r="M339" s="58" t="str">
        <f>IF(ISNUMBER(MATCH(N339,LOAI_THUE!$B:$B,0)),INDEX(LOAI_THUE!$A:$A,MATCH(N339,LOAI_THUE!$B:$B,0)),"")</f>
        <v/>
      </c>
      <c r="N339" s="50"/>
      <c r="O339" s="58" t="str">
        <f>IF(ISNUMBER(MATCH(P339,CHI_TIET_LOAI_KH!$B:$B,0)),INDEX(CHI_TIET_LOAI_KH!$A:$A,MATCH(P339,CHI_TIET_LOAI_KH!$B:$B,0)),"")</f>
        <v/>
      </c>
      <c r="P339" s="50"/>
      <c r="Q339" s="58" t="str">
        <f>IF(ISNUMBER(MATCH(R339,NGHE_NGHIEP!$B:$B,0)),INDEX(NGHE_NGHIEP!$A:$A,MATCH(R339,NGHE_NGHIEP!$B:$B,0)),"")</f>
        <v/>
      </c>
      <c r="R339" s="50"/>
      <c r="S339" s="58" t="str">
        <f>IF(ISNUMBER(MATCH(T339,LOAI_ID!$B:$B,0)),INDEX(LOAI_ID!$A:$A,MATCH(T339,LOAI_ID!$B:$B,0)),"")</f>
        <v/>
      </c>
      <c r="T339" s="16"/>
      <c r="U339" s="48"/>
      <c r="V339" s="48"/>
      <c r="W339" s="17"/>
      <c r="X339" s="17"/>
      <c r="Y339" s="15"/>
      <c r="Z339" s="15"/>
      <c r="AA339" s="59" t="str">
        <f>IFERROR(INDEX(NOI_CAP!$B:$B,MATCH(Z339,NOI_CAP!$A:$A,0)),"")</f>
        <v/>
      </c>
      <c r="AB339" s="58" t="str">
        <f>IF(ISNUMBER(MATCH(AC339,LOAI_DIA_CHI!$B:$B,0)),INDEX(LOAI_DIA_CHI!$A:$A,MATCH(AC339,LOAI_DIA_CHI!$B:$B,0)),"")</f>
        <v/>
      </c>
      <c r="AC339" s="16"/>
      <c r="AD339" s="58" t="str">
        <f>IF(ISNUMBER(MATCH(AE339,QUOC_GIA!$B:$B,0)),INDEX(QUOC_GIA!$A:$A,MATCH(AE339,QUOC_GIA!$B:$B,0)),"")</f>
        <v/>
      </c>
      <c r="AE339" s="16"/>
      <c r="AF339" s="48"/>
      <c r="AG339" s="59" t="str">
        <f>IFERROR(INDEX(TINH_TP!$B:$B,MATCH(AF339,TINH_TP!$A:$A,0)),"")</f>
        <v/>
      </c>
      <c r="AH339" s="50"/>
      <c r="AI339" s="59" t="str">
        <f>IF(OR(AF339="",AH339=""),"",IF(COUNTIFS(PHUONG_XA!$A$2:$A$3323,AH339,PHUONG_XA!$C$2:$C$3323,AF339)=0,"",INDEX(PHUONG_XA!$B$2:$B$3323,SUMPRODUCT((PHUONG_XA!$A$2:$A$3323&amp;""=AH339&amp;"")*(PHUONG_XA!$C$2:$C$3323&amp;""=AF339&amp;"")*(ROW(PHUONG_XA!$A$2:$A$3323)-ROW(PHUONG_XA!$A$2)+1)))))</f>
        <v/>
      </c>
      <c r="AJ339" s="14"/>
      <c r="AK339" s="14"/>
      <c r="AL339" s="57" t="str">
        <f t="shared" si="6"/>
        <v/>
      </c>
      <c r="AM339" s="14"/>
      <c r="AN339" s="15"/>
      <c r="AO339" s="15"/>
      <c r="AP339" s="48"/>
      <c r="AQ339" s="15"/>
      <c r="AR339" s="15"/>
      <c r="AS339" s="15"/>
      <c r="AT339" s="60" t="str">
        <f>IF(ISNUMBER(MATCH(AU339,LOAI_THE!$B:$B,0)),INDEX(LOAI_THE!$A:$A,MATCH(AU339,LOAI_THE!$B:$B,0)),"")</f>
        <v/>
      </c>
      <c r="AU339" s="48"/>
      <c r="AV339" s="15"/>
      <c r="AW339" s="15"/>
      <c r="AX339" s="15"/>
      <c r="AY339" s="48"/>
    </row>
    <row r="340" spans="1:51" x14ac:dyDescent="0.3">
      <c r="A340" s="13" t="s">
        <v>711</v>
      </c>
      <c r="B340" s="48"/>
      <c r="C340" s="48"/>
      <c r="D340" s="48"/>
      <c r="E340" s="48"/>
      <c r="F340" s="48"/>
      <c r="G340" s="58" t="str">
        <f>IF(ISNUMBER(MATCH(H340,GIOI_TINH!$B:$B,0)),INDEX(GIOI_TINH!$A:$A,MATCH(H340,GIOI_TINH!$B:$B,0)),"")</f>
        <v/>
      </c>
      <c r="H340" s="15"/>
      <c r="I340" s="15"/>
      <c r="J340" s="58" t="str">
        <f>IF(ISNUMBER(MATCH(K340,QUOC_GIA!$B:$B,0)),INDEX(QUOC_GIA!$A:$A,MATCH(K340,QUOC_GIA!$B:$B,0)),"")</f>
        <v/>
      </c>
      <c r="K340" s="50"/>
      <c r="L340" s="15"/>
      <c r="M340" s="58" t="str">
        <f>IF(ISNUMBER(MATCH(N340,LOAI_THUE!$B:$B,0)),INDEX(LOAI_THUE!$A:$A,MATCH(N340,LOAI_THUE!$B:$B,0)),"")</f>
        <v/>
      </c>
      <c r="N340" s="50"/>
      <c r="O340" s="58" t="str">
        <f>IF(ISNUMBER(MATCH(P340,CHI_TIET_LOAI_KH!$B:$B,0)),INDEX(CHI_TIET_LOAI_KH!$A:$A,MATCH(P340,CHI_TIET_LOAI_KH!$B:$B,0)),"")</f>
        <v/>
      </c>
      <c r="P340" s="50"/>
      <c r="Q340" s="58" t="str">
        <f>IF(ISNUMBER(MATCH(R340,NGHE_NGHIEP!$B:$B,0)),INDEX(NGHE_NGHIEP!$A:$A,MATCH(R340,NGHE_NGHIEP!$B:$B,0)),"")</f>
        <v/>
      </c>
      <c r="R340" s="50"/>
      <c r="S340" s="58" t="str">
        <f>IF(ISNUMBER(MATCH(T340,LOAI_ID!$B:$B,0)),INDEX(LOAI_ID!$A:$A,MATCH(T340,LOAI_ID!$B:$B,0)),"")</f>
        <v/>
      </c>
      <c r="T340" s="16"/>
      <c r="U340" s="48"/>
      <c r="V340" s="48"/>
      <c r="W340" s="17"/>
      <c r="X340" s="17"/>
      <c r="Y340" s="15"/>
      <c r="Z340" s="15"/>
      <c r="AA340" s="59" t="str">
        <f>IFERROR(INDEX(NOI_CAP!$B:$B,MATCH(Z340,NOI_CAP!$A:$A,0)),"")</f>
        <v/>
      </c>
      <c r="AB340" s="58" t="str">
        <f>IF(ISNUMBER(MATCH(AC340,LOAI_DIA_CHI!$B:$B,0)),INDEX(LOAI_DIA_CHI!$A:$A,MATCH(AC340,LOAI_DIA_CHI!$B:$B,0)),"")</f>
        <v/>
      </c>
      <c r="AC340" s="16"/>
      <c r="AD340" s="58" t="str">
        <f>IF(ISNUMBER(MATCH(AE340,QUOC_GIA!$B:$B,0)),INDEX(QUOC_GIA!$A:$A,MATCH(AE340,QUOC_GIA!$B:$B,0)),"")</f>
        <v/>
      </c>
      <c r="AE340" s="16"/>
      <c r="AF340" s="48"/>
      <c r="AG340" s="59" t="str">
        <f>IFERROR(INDEX(TINH_TP!$B:$B,MATCH(AF340,TINH_TP!$A:$A,0)),"")</f>
        <v/>
      </c>
      <c r="AH340" s="50"/>
      <c r="AI340" s="59" t="str">
        <f>IF(OR(AF340="",AH340=""),"",IF(COUNTIFS(PHUONG_XA!$A$2:$A$3323,AH340,PHUONG_XA!$C$2:$C$3323,AF340)=0,"",INDEX(PHUONG_XA!$B$2:$B$3323,SUMPRODUCT((PHUONG_XA!$A$2:$A$3323&amp;""=AH340&amp;"")*(PHUONG_XA!$C$2:$C$3323&amp;""=AF340&amp;"")*(ROW(PHUONG_XA!$A$2:$A$3323)-ROW(PHUONG_XA!$A$2)+1)))))</f>
        <v/>
      </c>
      <c r="AJ340" s="14"/>
      <c r="AK340" s="14"/>
      <c r="AL340" s="57" t="str">
        <f t="shared" si="6"/>
        <v/>
      </c>
      <c r="AM340" s="14"/>
      <c r="AN340" s="15"/>
      <c r="AO340" s="15"/>
      <c r="AP340" s="48"/>
      <c r="AQ340" s="15"/>
      <c r="AR340" s="15"/>
      <c r="AS340" s="15"/>
      <c r="AT340" s="60" t="str">
        <f>IF(ISNUMBER(MATCH(AU340,LOAI_THE!$B:$B,0)),INDEX(LOAI_THE!$A:$A,MATCH(AU340,LOAI_THE!$B:$B,0)),"")</f>
        <v/>
      </c>
      <c r="AU340" s="48"/>
      <c r="AV340" s="15"/>
      <c r="AW340" s="15"/>
      <c r="AX340" s="15"/>
      <c r="AY340" s="48"/>
    </row>
    <row r="341" spans="1:51" x14ac:dyDescent="0.3">
      <c r="A341" s="13" t="s">
        <v>712</v>
      </c>
      <c r="B341" s="48"/>
      <c r="C341" s="48"/>
      <c r="D341" s="48"/>
      <c r="E341" s="48"/>
      <c r="F341" s="48"/>
      <c r="G341" s="58" t="str">
        <f>IF(ISNUMBER(MATCH(H341,GIOI_TINH!$B:$B,0)),INDEX(GIOI_TINH!$A:$A,MATCH(H341,GIOI_TINH!$B:$B,0)),"")</f>
        <v/>
      </c>
      <c r="H341" s="15"/>
      <c r="I341" s="15"/>
      <c r="J341" s="58" t="str">
        <f>IF(ISNUMBER(MATCH(K341,QUOC_GIA!$B:$B,0)),INDEX(QUOC_GIA!$A:$A,MATCH(K341,QUOC_GIA!$B:$B,0)),"")</f>
        <v/>
      </c>
      <c r="K341" s="50"/>
      <c r="L341" s="15"/>
      <c r="M341" s="58" t="str">
        <f>IF(ISNUMBER(MATCH(N341,LOAI_THUE!$B:$B,0)),INDEX(LOAI_THUE!$A:$A,MATCH(N341,LOAI_THUE!$B:$B,0)),"")</f>
        <v/>
      </c>
      <c r="N341" s="50"/>
      <c r="O341" s="58" t="str">
        <f>IF(ISNUMBER(MATCH(P341,CHI_TIET_LOAI_KH!$B:$B,0)),INDEX(CHI_TIET_LOAI_KH!$A:$A,MATCH(P341,CHI_TIET_LOAI_KH!$B:$B,0)),"")</f>
        <v/>
      </c>
      <c r="P341" s="50"/>
      <c r="Q341" s="58" t="str">
        <f>IF(ISNUMBER(MATCH(R341,NGHE_NGHIEP!$B:$B,0)),INDEX(NGHE_NGHIEP!$A:$A,MATCH(R341,NGHE_NGHIEP!$B:$B,0)),"")</f>
        <v/>
      </c>
      <c r="R341" s="50"/>
      <c r="S341" s="58" t="str">
        <f>IF(ISNUMBER(MATCH(T341,LOAI_ID!$B:$B,0)),INDEX(LOAI_ID!$A:$A,MATCH(T341,LOAI_ID!$B:$B,0)),"")</f>
        <v/>
      </c>
      <c r="T341" s="16"/>
      <c r="U341" s="48"/>
      <c r="V341" s="48"/>
      <c r="W341" s="17"/>
      <c r="X341" s="17"/>
      <c r="Y341" s="15"/>
      <c r="Z341" s="15"/>
      <c r="AA341" s="59" t="str">
        <f>IFERROR(INDEX(NOI_CAP!$B:$B,MATCH(Z341,NOI_CAP!$A:$A,0)),"")</f>
        <v/>
      </c>
      <c r="AB341" s="58" t="str">
        <f>IF(ISNUMBER(MATCH(AC341,LOAI_DIA_CHI!$B:$B,0)),INDEX(LOAI_DIA_CHI!$A:$A,MATCH(AC341,LOAI_DIA_CHI!$B:$B,0)),"")</f>
        <v/>
      </c>
      <c r="AC341" s="16"/>
      <c r="AD341" s="58" t="str">
        <f>IF(ISNUMBER(MATCH(AE341,QUOC_GIA!$B:$B,0)),INDEX(QUOC_GIA!$A:$A,MATCH(AE341,QUOC_GIA!$B:$B,0)),"")</f>
        <v/>
      </c>
      <c r="AE341" s="16"/>
      <c r="AF341" s="48"/>
      <c r="AG341" s="59" t="str">
        <f>IFERROR(INDEX(TINH_TP!$B:$B,MATCH(AF341,TINH_TP!$A:$A,0)),"")</f>
        <v/>
      </c>
      <c r="AH341" s="50"/>
      <c r="AI341" s="59" t="str">
        <f>IF(OR(AF341="",AH341=""),"",IF(COUNTIFS(PHUONG_XA!$A$2:$A$3323,AH341,PHUONG_XA!$C$2:$C$3323,AF341)=0,"",INDEX(PHUONG_XA!$B$2:$B$3323,SUMPRODUCT((PHUONG_XA!$A$2:$A$3323&amp;""=AH341&amp;"")*(PHUONG_XA!$C$2:$C$3323&amp;""=AF341&amp;"")*(ROW(PHUONG_XA!$A$2:$A$3323)-ROW(PHUONG_XA!$A$2)+1)))))</f>
        <v/>
      </c>
      <c r="AJ341" s="14"/>
      <c r="AK341" s="14"/>
      <c r="AL341" s="57" t="str">
        <f t="shared" si="6"/>
        <v/>
      </c>
      <c r="AM341" s="14"/>
      <c r="AN341" s="15"/>
      <c r="AO341" s="15"/>
      <c r="AP341" s="48"/>
      <c r="AQ341" s="15"/>
      <c r="AR341" s="15"/>
      <c r="AS341" s="15"/>
      <c r="AT341" s="60" t="str">
        <f>IF(ISNUMBER(MATCH(AU341,LOAI_THE!$B:$B,0)),INDEX(LOAI_THE!$A:$A,MATCH(AU341,LOAI_THE!$B:$B,0)),"")</f>
        <v/>
      </c>
      <c r="AU341" s="48"/>
      <c r="AV341" s="15"/>
      <c r="AW341" s="15"/>
      <c r="AX341" s="15"/>
      <c r="AY341" s="48"/>
    </row>
    <row r="342" spans="1:51" x14ac:dyDescent="0.3">
      <c r="A342" s="13" t="s">
        <v>713</v>
      </c>
      <c r="B342" s="48"/>
      <c r="C342" s="48"/>
      <c r="D342" s="48"/>
      <c r="E342" s="48"/>
      <c r="F342" s="48"/>
      <c r="G342" s="58" t="str">
        <f>IF(ISNUMBER(MATCH(H342,GIOI_TINH!$B:$B,0)),INDEX(GIOI_TINH!$A:$A,MATCH(H342,GIOI_TINH!$B:$B,0)),"")</f>
        <v/>
      </c>
      <c r="H342" s="15"/>
      <c r="I342" s="15"/>
      <c r="J342" s="58" t="str">
        <f>IF(ISNUMBER(MATCH(K342,QUOC_GIA!$B:$B,0)),INDEX(QUOC_GIA!$A:$A,MATCH(K342,QUOC_GIA!$B:$B,0)),"")</f>
        <v/>
      </c>
      <c r="K342" s="50"/>
      <c r="L342" s="15"/>
      <c r="M342" s="58" t="str">
        <f>IF(ISNUMBER(MATCH(N342,LOAI_THUE!$B:$B,0)),INDEX(LOAI_THUE!$A:$A,MATCH(N342,LOAI_THUE!$B:$B,0)),"")</f>
        <v/>
      </c>
      <c r="N342" s="50"/>
      <c r="O342" s="58" t="str">
        <f>IF(ISNUMBER(MATCH(P342,CHI_TIET_LOAI_KH!$B:$B,0)),INDEX(CHI_TIET_LOAI_KH!$A:$A,MATCH(P342,CHI_TIET_LOAI_KH!$B:$B,0)),"")</f>
        <v/>
      </c>
      <c r="P342" s="50"/>
      <c r="Q342" s="58" t="str">
        <f>IF(ISNUMBER(MATCH(R342,NGHE_NGHIEP!$B:$B,0)),INDEX(NGHE_NGHIEP!$A:$A,MATCH(R342,NGHE_NGHIEP!$B:$B,0)),"")</f>
        <v/>
      </c>
      <c r="R342" s="50"/>
      <c r="S342" s="58" t="str">
        <f>IF(ISNUMBER(MATCH(T342,LOAI_ID!$B:$B,0)),INDEX(LOAI_ID!$A:$A,MATCH(T342,LOAI_ID!$B:$B,0)),"")</f>
        <v/>
      </c>
      <c r="T342" s="16"/>
      <c r="U342" s="48"/>
      <c r="V342" s="48"/>
      <c r="W342" s="17"/>
      <c r="X342" s="17"/>
      <c r="Y342" s="15"/>
      <c r="Z342" s="15"/>
      <c r="AA342" s="59" t="str">
        <f>IFERROR(INDEX(NOI_CAP!$B:$B,MATCH(Z342,NOI_CAP!$A:$A,0)),"")</f>
        <v/>
      </c>
      <c r="AB342" s="58" t="str">
        <f>IF(ISNUMBER(MATCH(AC342,LOAI_DIA_CHI!$B:$B,0)),INDEX(LOAI_DIA_CHI!$A:$A,MATCH(AC342,LOAI_DIA_CHI!$B:$B,0)),"")</f>
        <v/>
      </c>
      <c r="AC342" s="16"/>
      <c r="AD342" s="58" t="str">
        <f>IF(ISNUMBER(MATCH(AE342,QUOC_GIA!$B:$B,0)),INDEX(QUOC_GIA!$A:$A,MATCH(AE342,QUOC_GIA!$B:$B,0)),"")</f>
        <v/>
      </c>
      <c r="AE342" s="16"/>
      <c r="AF342" s="48"/>
      <c r="AG342" s="59" t="str">
        <f>IFERROR(INDEX(TINH_TP!$B:$B,MATCH(AF342,TINH_TP!$A:$A,0)),"")</f>
        <v/>
      </c>
      <c r="AH342" s="50"/>
      <c r="AI342" s="59" t="str">
        <f>IF(OR(AF342="",AH342=""),"",IF(COUNTIFS(PHUONG_XA!$A$2:$A$3323,AH342,PHUONG_XA!$C$2:$C$3323,AF342)=0,"",INDEX(PHUONG_XA!$B$2:$B$3323,SUMPRODUCT((PHUONG_XA!$A$2:$A$3323&amp;""=AH342&amp;"")*(PHUONG_XA!$C$2:$C$3323&amp;""=AF342&amp;"")*(ROW(PHUONG_XA!$A$2:$A$3323)-ROW(PHUONG_XA!$A$2)+1)))))</f>
        <v/>
      </c>
      <c r="AJ342" s="14"/>
      <c r="AK342" s="14"/>
      <c r="AL342" s="57" t="str">
        <f t="shared" si="6"/>
        <v/>
      </c>
      <c r="AM342" s="14"/>
      <c r="AN342" s="15"/>
      <c r="AO342" s="15"/>
      <c r="AP342" s="48"/>
      <c r="AQ342" s="15"/>
      <c r="AR342" s="15"/>
      <c r="AS342" s="15"/>
      <c r="AT342" s="60" t="str">
        <f>IF(ISNUMBER(MATCH(AU342,LOAI_THE!$B:$B,0)),INDEX(LOAI_THE!$A:$A,MATCH(AU342,LOAI_THE!$B:$B,0)),"")</f>
        <v/>
      </c>
      <c r="AU342" s="48"/>
      <c r="AV342" s="15"/>
      <c r="AW342" s="15"/>
      <c r="AX342" s="15"/>
      <c r="AY342" s="48"/>
    </row>
    <row r="343" spans="1:51" x14ac:dyDescent="0.3">
      <c r="A343" s="13" t="s">
        <v>714</v>
      </c>
      <c r="B343" s="48"/>
      <c r="C343" s="48"/>
      <c r="D343" s="48"/>
      <c r="E343" s="48"/>
      <c r="F343" s="48"/>
      <c r="G343" s="58" t="str">
        <f>IF(ISNUMBER(MATCH(H343,GIOI_TINH!$B:$B,0)),INDEX(GIOI_TINH!$A:$A,MATCH(H343,GIOI_TINH!$B:$B,0)),"")</f>
        <v/>
      </c>
      <c r="H343" s="15"/>
      <c r="I343" s="15"/>
      <c r="J343" s="58" t="str">
        <f>IF(ISNUMBER(MATCH(K343,QUOC_GIA!$B:$B,0)),INDEX(QUOC_GIA!$A:$A,MATCH(K343,QUOC_GIA!$B:$B,0)),"")</f>
        <v/>
      </c>
      <c r="K343" s="50"/>
      <c r="L343" s="15"/>
      <c r="M343" s="58" t="str">
        <f>IF(ISNUMBER(MATCH(N343,LOAI_THUE!$B:$B,0)),INDEX(LOAI_THUE!$A:$A,MATCH(N343,LOAI_THUE!$B:$B,0)),"")</f>
        <v/>
      </c>
      <c r="N343" s="50"/>
      <c r="O343" s="58" t="str">
        <f>IF(ISNUMBER(MATCH(P343,CHI_TIET_LOAI_KH!$B:$B,0)),INDEX(CHI_TIET_LOAI_KH!$A:$A,MATCH(P343,CHI_TIET_LOAI_KH!$B:$B,0)),"")</f>
        <v/>
      </c>
      <c r="P343" s="50"/>
      <c r="Q343" s="58" t="str">
        <f>IF(ISNUMBER(MATCH(R343,NGHE_NGHIEP!$B:$B,0)),INDEX(NGHE_NGHIEP!$A:$A,MATCH(R343,NGHE_NGHIEP!$B:$B,0)),"")</f>
        <v/>
      </c>
      <c r="R343" s="50"/>
      <c r="S343" s="58" t="str">
        <f>IF(ISNUMBER(MATCH(T343,LOAI_ID!$B:$B,0)),INDEX(LOAI_ID!$A:$A,MATCH(T343,LOAI_ID!$B:$B,0)),"")</f>
        <v/>
      </c>
      <c r="T343" s="16"/>
      <c r="U343" s="48"/>
      <c r="V343" s="48"/>
      <c r="W343" s="17"/>
      <c r="X343" s="17"/>
      <c r="Y343" s="15"/>
      <c r="Z343" s="15"/>
      <c r="AA343" s="59" t="str">
        <f>IFERROR(INDEX(NOI_CAP!$B:$B,MATCH(Z343,NOI_CAP!$A:$A,0)),"")</f>
        <v/>
      </c>
      <c r="AB343" s="58" t="str">
        <f>IF(ISNUMBER(MATCH(AC343,LOAI_DIA_CHI!$B:$B,0)),INDEX(LOAI_DIA_CHI!$A:$A,MATCH(AC343,LOAI_DIA_CHI!$B:$B,0)),"")</f>
        <v/>
      </c>
      <c r="AC343" s="16"/>
      <c r="AD343" s="58" t="str">
        <f>IF(ISNUMBER(MATCH(AE343,QUOC_GIA!$B:$B,0)),INDEX(QUOC_GIA!$A:$A,MATCH(AE343,QUOC_GIA!$B:$B,0)),"")</f>
        <v/>
      </c>
      <c r="AE343" s="16"/>
      <c r="AF343" s="48"/>
      <c r="AG343" s="59" t="str">
        <f>IFERROR(INDEX(TINH_TP!$B:$B,MATCH(AF343,TINH_TP!$A:$A,0)),"")</f>
        <v/>
      </c>
      <c r="AH343" s="50"/>
      <c r="AI343" s="59" t="str">
        <f>IF(OR(AF343="",AH343=""),"",IF(COUNTIFS(PHUONG_XA!$A$2:$A$3323,AH343,PHUONG_XA!$C$2:$C$3323,AF343)=0,"",INDEX(PHUONG_XA!$B$2:$B$3323,SUMPRODUCT((PHUONG_XA!$A$2:$A$3323&amp;""=AH343&amp;"")*(PHUONG_XA!$C$2:$C$3323&amp;""=AF343&amp;"")*(ROW(PHUONG_XA!$A$2:$A$3323)-ROW(PHUONG_XA!$A$2)+1)))))</f>
        <v/>
      </c>
      <c r="AJ343" s="14"/>
      <c r="AK343" s="14"/>
      <c r="AL343" s="57" t="str">
        <f t="shared" si="6"/>
        <v/>
      </c>
      <c r="AM343" s="14"/>
      <c r="AN343" s="15"/>
      <c r="AO343" s="15"/>
      <c r="AP343" s="48"/>
      <c r="AQ343" s="15"/>
      <c r="AR343" s="15"/>
      <c r="AS343" s="15"/>
      <c r="AT343" s="60" t="str">
        <f>IF(ISNUMBER(MATCH(AU343,LOAI_THE!$B:$B,0)),INDEX(LOAI_THE!$A:$A,MATCH(AU343,LOAI_THE!$B:$B,0)),"")</f>
        <v/>
      </c>
      <c r="AU343" s="48"/>
      <c r="AV343" s="15"/>
      <c r="AW343" s="15"/>
      <c r="AX343" s="15"/>
      <c r="AY343" s="48"/>
    </row>
    <row r="344" spans="1:51" x14ac:dyDescent="0.3">
      <c r="A344" s="13" t="s">
        <v>715</v>
      </c>
      <c r="B344" s="48"/>
      <c r="C344" s="48"/>
      <c r="D344" s="48"/>
      <c r="E344" s="48"/>
      <c r="F344" s="48"/>
      <c r="G344" s="58" t="str">
        <f>IF(ISNUMBER(MATCH(H344,GIOI_TINH!$B:$B,0)),INDEX(GIOI_TINH!$A:$A,MATCH(H344,GIOI_TINH!$B:$B,0)),"")</f>
        <v/>
      </c>
      <c r="H344" s="15"/>
      <c r="I344" s="15"/>
      <c r="J344" s="58" t="str">
        <f>IF(ISNUMBER(MATCH(K344,QUOC_GIA!$B:$B,0)),INDEX(QUOC_GIA!$A:$A,MATCH(K344,QUOC_GIA!$B:$B,0)),"")</f>
        <v/>
      </c>
      <c r="K344" s="50"/>
      <c r="L344" s="15"/>
      <c r="M344" s="58" t="str">
        <f>IF(ISNUMBER(MATCH(N344,LOAI_THUE!$B:$B,0)),INDEX(LOAI_THUE!$A:$A,MATCH(N344,LOAI_THUE!$B:$B,0)),"")</f>
        <v/>
      </c>
      <c r="N344" s="50"/>
      <c r="O344" s="58" t="str">
        <f>IF(ISNUMBER(MATCH(P344,CHI_TIET_LOAI_KH!$B:$B,0)),INDEX(CHI_TIET_LOAI_KH!$A:$A,MATCH(P344,CHI_TIET_LOAI_KH!$B:$B,0)),"")</f>
        <v/>
      </c>
      <c r="P344" s="50"/>
      <c r="Q344" s="58" t="str">
        <f>IF(ISNUMBER(MATCH(R344,NGHE_NGHIEP!$B:$B,0)),INDEX(NGHE_NGHIEP!$A:$A,MATCH(R344,NGHE_NGHIEP!$B:$B,0)),"")</f>
        <v/>
      </c>
      <c r="R344" s="50"/>
      <c r="S344" s="58" t="str">
        <f>IF(ISNUMBER(MATCH(T344,LOAI_ID!$B:$B,0)),INDEX(LOAI_ID!$A:$A,MATCH(T344,LOAI_ID!$B:$B,0)),"")</f>
        <v/>
      </c>
      <c r="T344" s="16"/>
      <c r="U344" s="48"/>
      <c r="V344" s="48"/>
      <c r="W344" s="17"/>
      <c r="X344" s="17"/>
      <c r="Y344" s="15"/>
      <c r="Z344" s="15"/>
      <c r="AA344" s="59" t="str">
        <f>IFERROR(INDEX(NOI_CAP!$B:$B,MATCH(Z344,NOI_CAP!$A:$A,0)),"")</f>
        <v/>
      </c>
      <c r="AB344" s="58" t="str">
        <f>IF(ISNUMBER(MATCH(AC344,LOAI_DIA_CHI!$B:$B,0)),INDEX(LOAI_DIA_CHI!$A:$A,MATCH(AC344,LOAI_DIA_CHI!$B:$B,0)),"")</f>
        <v/>
      </c>
      <c r="AC344" s="16"/>
      <c r="AD344" s="58" t="str">
        <f>IF(ISNUMBER(MATCH(AE344,QUOC_GIA!$B:$B,0)),INDEX(QUOC_GIA!$A:$A,MATCH(AE344,QUOC_GIA!$B:$B,0)),"")</f>
        <v/>
      </c>
      <c r="AE344" s="16"/>
      <c r="AF344" s="48"/>
      <c r="AG344" s="59" t="str">
        <f>IFERROR(INDEX(TINH_TP!$B:$B,MATCH(AF344,TINH_TP!$A:$A,0)),"")</f>
        <v/>
      </c>
      <c r="AH344" s="50"/>
      <c r="AI344" s="59" t="str">
        <f>IF(OR(AF344="",AH344=""),"",IF(COUNTIFS(PHUONG_XA!$A$2:$A$3323,AH344,PHUONG_XA!$C$2:$C$3323,AF344)=0,"",INDEX(PHUONG_XA!$B$2:$B$3323,SUMPRODUCT((PHUONG_XA!$A$2:$A$3323&amp;""=AH344&amp;"")*(PHUONG_XA!$C$2:$C$3323&amp;""=AF344&amp;"")*(ROW(PHUONG_XA!$A$2:$A$3323)-ROW(PHUONG_XA!$A$2)+1)))))</f>
        <v/>
      </c>
      <c r="AJ344" s="14"/>
      <c r="AK344" s="14"/>
      <c r="AL344" s="57" t="str">
        <f t="shared" si="6"/>
        <v/>
      </c>
      <c r="AM344" s="14"/>
      <c r="AN344" s="15"/>
      <c r="AO344" s="15"/>
      <c r="AP344" s="48"/>
      <c r="AQ344" s="15"/>
      <c r="AR344" s="15"/>
      <c r="AS344" s="15"/>
      <c r="AT344" s="60" t="str">
        <f>IF(ISNUMBER(MATCH(AU344,LOAI_THE!$B:$B,0)),INDEX(LOAI_THE!$A:$A,MATCH(AU344,LOAI_THE!$B:$B,0)),"")</f>
        <v/>
      </c>
      <c r="AU344" s="48"/>
      <c r="AV344" s="15"/>
      <c r="AW344" s="15"/>
      <c r="AX344" s="15"/>
      <c r="AY344" s="48"/>
    </row>
    <row r="345" spans="1:51" x14ac:dyDescent="0.3">
      <c r="A345" s="13" t="s">
        <v>716</v>
      </c>
      <c r="B345" s="48"/>
      <c r="C345" s="48"/>
      <c r="D345" s="48"/>
      <c r="E345" s="48"/>
      <c r="F345" s="48"/>
      <c r="G345" s="58" t="str">
        <f>IF(ISNUMBER(MATCH(H345,GIOI_TINH!$B:$B,0)),INDEX(GIOI_TINH!$A:$A,MATCH(H345,GIOI_TINH!$B:$B,0)),"")</f>
        <v/>
      </c>
      <c r="H345" s="15"/>
      <c r="I345" s="15"/>
      <c r="J345" s="58" t="str">
        <f>IF(ISNUMBER(MATCH(K345,QUOC_GIA!$B:$B,0)),INDEX(QUOC_GIA!$A:$A,MATCH(K345,QUOC_GIA!$B:$B,0)),"")</f>
        <v/>
      </c>
      <c r="K345" s="50"/>
      <c r="L345" s="15"/>
      <c r="M345" s="58" t="str">
        <f>IF(ISNUMBER(MATCH(N345,LOAI_THUE!$B:$B,0)),INDEX(LOAI_THUE!$A:$A,MATCH(N345,LOAI_THUE!$B:$B,0)),"")</f>
        <v/>
      </c>
      <c r="N345" s="50"/>
      <c r="O345" s="58" t="str">
        <f>IF(ISNUMBER(MATCH(P345,CHI_TIET_LOAI_KH!$B:$B,0)),INDEX(CHI_TIET_LOAI_KH!$A:$A,MATCH(P345,CHI_TIET_LOAI_KH!$B:$B,0)),"")</f>
        <v/>
      </c>
      <c r="P345" s="50"/>
      <c r="Q345" s="58" t="str">
        <f>IF(ISNUMBER(MATCH(R345,NGHE_NGHIEP!$B:$B,0)),INDEX(NGHE_NGHIEP!$A:$A,MATCH(R345,NGHE_NGHIEP!$B:$B,0)),"")</f>
        <v/>
      </c>
      <c r="R345" s="50"/>
      <c r="S345" s="58" t="str">
        <f>IF(ISNUMBER(MATCH(T345,LOAI_ID!$B:$B,0)),INDEX(LOAI_ID!$A:$A,MATCH(T345,LOAI_ID!$B:$B,0)),"")</f>
        <v/>
      </c>
      <c r="T345" s="16"/>
      <c r="U345" s="48"/>
      <c r="V345" s="48"/>
      <c r="W345" s="17"/>
      <c r="X345" s="17"/>
      <c r="Y345" s="15"/>
      <c r="Z345" s="15"/>
      <c r="AA345" s="59" t="str">
        <f>IFERROR(INDEX(NOI_CAP!$B:$B,MATCH(Z345,NOI_CAP!$A:$A,0)),"")</f>
        <v/>
      </c>
      <c r="AB345" s="58" t="str">
        <f>IF(ISNUMBER(MATCH(AC345,LOAI_DIA_CHI!$B:$B,0)),INDEX(LOAI_DIA_CHI!$A:$A,MATCH(AC345,LOAI_DIA_CHI!$B:$B,0)),"")</f>
        <v/>
      </c>
      <c r="AC345" s="16"/>
      <c r="AD345" s="58" t="str">
        <f>IF(ISNUMBER(MATCH(AE345,QUOC_GIA!$B:$B,0)),INDEX(QUOC_GIA!$A:$A,MATCH(AE345,QUOC_GIA!$B:$B,0)),"")</f>
        <v/>
      </c>
      <c r="AE345" s="16"/>
      <c r="AF345" s="48"/>
      <c r="AG345" s="59" t="str">
        <f>IFERROR(INDEX(TINH_TP!$B:$B,MATCH(AF345,TINH_TP!$A:$A,0)),"")</f>
        <v/>
      </c>
      <c r="AH345" s="50"/>
      <c r="AI345" s="59" t="str">
        <f>IF(OR(AF345="",AH345=""),"",IF(COUNTIFS(PHUONG_XA!$A$2:$A$3323,AH345,PHUONG_XA!$C$2:$C$3323,AF345)=0,"",INDEX(PHUONG_XA!$B$2:$B$3323,SUMPRODUCT((PHUONG_XA!$A$2:$A$3323&amp;""=AH345&amp;"")*(PHUONG_XA!$C$2:$C$3323&amp;""=AF345&amp;"")*(ROW(PHUONG_XA!$A$2:$A$3323)-ROW(PHUONG_XA!$A$2)+1)))))</f>
        <v/>
      </c>
      <c r="AJ345" s="14"/>
      <c r="AK345" s="14"/>
      <c r="AL345" s="57" t="str">
        <f t="shared" si="6"/>
        <v/>
      </c>
      <c r="AM345" s="14"/>
      <c r="AN345" s="15"/>
      <c r="AO345" s="15"/>
      <c r="AP345" s="48"/>
      <c r="AQ345" s="15"/>
      <c r="AR345" s="15"/>
      <c r="AS345" s="15"/>
      <c r="AT345" s="60" t="str">
        <f>IF(ISNUMBER(MATCH(AU345,LOAI_THE!$B:$B,0)),INDEX(LOAI_THE!$A:$A,MATCH(AU345,LOAI_THE!$B:$B,0)),"")</f>
        <v/>
      </c>
      <c r="AU345" s="48"/>
      <c r="AV345" s="15"/>
      <c r="AW345" s="15"/>
      <c r="AX345" s="15"/>
      <c r="AY345" s="48"/>
    </row>
    <row r="346" spans="1:51" x14ac:dyDescent="0.3">
      <c r="A346" s="13" t="s">
        <v>717</v>
      </c>
      <c r="B346" s="48"/>
      <c r="C346" s="48"/>
      <c r="D346" s="48"/>
      <c r="E346" s="48"/>
      <c r="F346" s="48"/>
      <c r="G346" s="58" t="str">
        <f>IF(ISNUMBER(MATCH(H346,GIOI_TINH!$B:$B,0)),INDEX(GIOI_TINH!$A:$A,MATCH(H346,GIOI_TINH!$B:$B,0)),"")</f>
        <v/>
      </c>
      <c r="H346" s="15"/>
      <c r="I346" s="15"/>
      <c r="J346" s="58" t="str">
        <f>IF(ISNUMBER(MATCH(K346,QUOC_GIA!$B:$B,0)),INDEX(QUOC_GIA!$A:$A,MATCH(K346,QUOC_GIA!$B:$B,0)),"")</f>
        <v/>
      </c>
      <c r="K346" s="50"/>
      <c r="L346" s="15"/>
      <c r="M346" s="58" t="str">
        <f>IF(ISNUMBER(MATCH(N346,LOAI_THUE!$B:$B,0)),INDEX(LOAI_THUE!$A:$A,MATCH(N346,LOAI_THUE!$B:$B,0)),"")</f>
        <v/>
      </c>
      <c r="N346" s="50"/>
      <c r="O346" s="58" t="str">
        <f>IF(ISNUMBER(MATCH(P346,CHI_TIET_LOAI_KH!$B:$B,0)),INDEX(CHI_TIET_LOAI_KH!$A:$A,MATCH(P346,CHI_TIET_LOAI_KH!$B:$B,0)),"")</f>
        <v/>
      </c>
      <c r="P346" s="50"/>
      <c r="Q346" s="58" t="str">
        <f>IF(ISNUMBER(MATCH(R346,NGHE_NGHIEP!$B:$B,0)),INDEX(NGHE_NGHIEP!$A:$A,MATCH(R346,NGHE_NGHIEP!$B:$B,0)),"")</f>
        <v/>
      </c>
      <c r="R346" s="50"/>
      <c r="S346" s="58" t="str">
        <f>IF(ISNUMBER(MATCH(T346,LOAI_ID!$B:$B,0)),INDEX(LOAI_ID!$A:$A,MATCH(T346,LOAI_ID!$B:$B,0)),"")</f>
        <v/>
      </c>
      <c r="T346" s="16"/>
      <c r="U346" s="48"/>
      <c r="V346" s="48"/>
      <c r="W346" s="17"/>
      <c r="X346" s="17"/>
      <c r="Y346" s="15"/>
      <c r="Z346" s="15"/>
      <c r="AA346" s="59" t="str">
        <f>IFERROR(INDEX(NOI_CAP!$B:$B,MATCH(Z346,NOI_CAP!$A:$A,0)),"")</f>
        <v/>
      </c>
      <c r="AB346" s="58" t="str">
        <f>IF(ISNUMBER(MATCH(AC346,LOAI_DIA_CHI!$B:$B,0)),INDEX(LOAI_DIA_CHI!$A:$A,MATCH(AC346,LOAI_DIA_CHI!$B:$B,0)),"")</f>
        <v/>
      </c>
      <c r="AC346" s="16"/>
      <c r="AD346" s="58" t="str">
        <f>IF(ISNUMBER(MATCH(AE346,QUOC_GIA!$B:$B,0)),INDEX(QUOC_GIA!$A:$A,MATCH(AE346,QUOC_GIA!$B:$B,0)),"")</f>
        <v/>
      </c>
      <c r="AE346" s="16"/>
      <c r="AF346" s="48"/>
      <c r="AG346" s="59" t="str">
        <f>IFERROR(INDEX(TINH_TP!$B:$B,MATCH(AF346,TINH_TP!$A:$A,0)),"")</f>
        <v/>
      </c>
      <c r="AH346" s="50"/>
      <c r="AI346" s="59" t="str">
        <f>IF(OR(AF346="",AH346=""),"",IF(COUNTIFS(PHUONG_XA!$A$2:$A$3323,AH346,PHUONG_XA!$C$2:$C$3323,AF346)=0,"",INDEX(PHUONG_XA!$B$2:$B$3323,SUMPRODUCT((PHUONG_XA!$A$2:$A$3323&amp;""=AH346&amp;"")*(PHUONG_XA!$C$2:$C$3323&amp;""=AF346&amp;"")*(ROW(PHUONG_XA!$A$2:$A$3323)-ROW(PHUONG_XA!$A$2)+1)))))</f>
        <v/>
      </c>
      <c r="AJ346" s="14"/>
      <c r="AK346" s="14"/>
      <c r="AL346" s="57" t="str">
        <f t="shared" si="6"/>
        <v/>
      </c>
      <c r="AM346" s="14"/>
      <c r="AN346" s="15"/>
      <c r="AO346" s="15"/>
      <c r="AP346" s="48"/>
      <c r="AQ346" s="15"/>
      <c r="AR346" s="15"/>
      <c r="AS346" s="15"/>
      <c r="AT346" s="60" t="str">
        <f>IF(ISNUMBER(MATCH(AU346,LOAI_THE!$B:$B,0)),INDEX(LOAI_THE!$A:$A,MATCH(AU346,LOAI_THE!$B:$B,0)),"")</f>
        <v/>
      </c>
      <c r="AU346" s="48"/>
      <c r="AV346" s="15"/>
      <c r="AW346" s="15"/>
      <c r="AX346" s="15"/>
      <c r="AY346" s="48"/>
    </row>
    <row r="347" spans="1:51" x14ac:dyDescent="0.3">
      <c r="A347" s="13" t="s">
        <v>718</v>
      </c>
      <c r="B347" s="48"/>
      <c r="C347" s="48"/>
      <c r="D347" s="48"/>
      <c r="E347" s="48"/>
      <c r="F347" s="48"/>
      <c r="G347" s="58" t="str">
        <f>IF(ISNUMBER(MATCH(H347,GIOI_TINH!$B:$B,0)),INDEX(GIOI_TINH!$A:$A,MATCH(H347,GIOI_TINH!$B:$B,0)),"")</f>
        <v/>
      </c>
      <c r="H347" s="15"/>
      <c r="I347" s="15"/>
      <c r="J347" s="58" t="str">
        <f>IF(ISNUMBER(MATCH(K347,QUOC_GIA!$B:$B,0)),INDEX(QUOC_GIA!$A:$A,MATCH(K347,QUOC_GIA!$B:$B,0)),"")</f>
        <v/>
      </c>
      <c r="K347" s="50"/>
      <c r="L347" s="15"/>
      <c r="M347" s="58" t="str">
        <f>IF(ISNUMBER(MATCH(N347,LOAI_THUE!$B:$B,0)),INDEX(LOAI_THUE!$A:$A,MATCH(N347,LOAI_THUE!$B:$B,0)),"")</f>
        <v/>
      </c>
      <c r="N347" s="50"/>
      <c r="O347" s="58" t="str">
        <f>IF(ISNUMBER(MATCH(P347,CHI_TIET_LOAI_KH!$B:$B,0)),INDEX(CHI_TIET_LOAI_KH!$A:$A,MATCH(P347,CHI_TIET_LOAI_KH!$B:$B,0)),"")</f>
        <v/>
      </c>
      <c r="P347" s="50"/>
      <c r="Q347" s="58" t="str">
        <f>IF(ISNUMBER(MATCH(R347,NGHE_NGHIEP!$B:$B,0)),INDEX(NGHE_NGHIEP!$A:$A,MATCH(R347,NGHE_NGHIEP!$B:$B,0)),"")</f>
        <v/>
      </c>
      <c r="R347" s="50"/>
      <c r="S347" s="58" t="str">
        <f>IF(ISNUMBER(MATCH(T347,LOAI_ID!$B:$B,0)),INDEX(LOAI_ID!$A:$A,MATCH(T347,LOAI_ID!$B:$B,0)),"")</f>
        <v/>
      </c>
      <c r="T347" s="16"/>
      <c r="U347" s="48"/>
      <c r="V347" s="48"/>
      <c r="W347" s="17"/>
      <c r="X347" s="17"/>
      <c r="Y347" s="15"/>
      <c r="Z347" s="15"/>
      <c r="AA347" s="59" t="str">
        <f>IFERROR(INDEX(NOI_CAP!$B:$B,MATCH(Z347,NOI_CAP!$A:$A,0)),"")</f>
        <v/>
      </c>
      <c r="AB347" s="58" t="str">
        <f>IF(ISNUMBER(MATCH(AC347,LOAI_DIA_CHI!$B:$B,0)),INDEX(LOAI_DIA_CHI!$A:$A,MATCH(AC347,LOAI_DIA_CHI!$B:$B,0)),"")</f>
        <v/>
      </c>
      <c r="AC347" s="16"/>
      <c r="AD347" s="58" t="str">
        <f>IF(ISNUMBER(MATCH(AE347,QUOC_GIA!$B:$B,0)),INDEX(QUOC_GIA!$A:$A,MATCH(AE347,QUOC_GIA!$B:$B,0)),"")</f>
        <v/>
      </c>
      <c r="AE347" s="16"/>
      <c r="AF347" s="48"/>
      <c r="AG347" s="59" t="str">
        <f>IFERROR(INDEX(TINH_TP!$B:$B,MATCH(AF347,TINH_TP!$A:$A,0)),"")</f>
        <v/>
      </c>
      <c r="AH347" s="50"/>
      <c r="AI347" s="59" t="str">
        <f>IF(OR(AF347="",AH347=""),"",IF(COUNTIFS(PHUONG_XA!$A$2:$A$3323,AH347,PHUONG_XA!$C$2:$C$3323,AF347)=0,"",INDEX(PHUONG_XA!$B$2:$B$3323,SUMPRODUCT((PHUONG_XA!$A$2:$A$3323&amp;""=AH347&amp;"")*(PHUONG_XA!$C$2:$C$3323&amp;""=AF347&amp;"")*(ROW(PHUONG_XA!$A$2:$A$3323)-ROW(PHUONG_XA!$A$2)+1)))))</f>
        <v/>
      </c>
      <c r="AJ347" s="14"/>
      <c r="AK347" s="14"/>
      <c r="AL347" s="57" t="str">
        <f t="shared" si="6"/>
        <v/>
      </c>
      <c r="AM347" s="14"/>
      <c r="AN347" s="15"/>
      <c r="AO347" s="15"/>
      <c r="AP347" s="48"/>
      <c r="AQ347" s="15"/>
      <c r="AR347" s="15"/>
      <c r="AS347" s="15"/>
      <c r="AT347" s="60" t="str">
        <f>IF(ISNUMBER(MATCH(AU347,LOAI_THE!$B:$B,0)),INDEX(LOAI_THE!$A:$A,MATCH(AU347,LOAI_THE!$B:$B,0)),"")</f>
        <v/>
      </c>
      <c r="AU347" s="48"/>
      <c r="AV347" s="15"/>
      <c r="AW347" s="15"/>
      <c r="AX347" s="15"/>
      <c r="AY347" s="48"/>
    </row>
    <row r="348" spans="1:51" x14ac:dyDescent="0.3">
      <c r="A348" s="13" t="s">
        <v>719</v>
      </c>
      <c r="B348" s="48"/>
      <c r="C348" s="48"/>
      <c r="D348" s="48"/>
      <c r="E348" s="48"/>
      <c r="F348" s="48"/>
      <c r="G348" s="58" t="str">
        <f>IF(ISNUMBER(MATCH(H348,GIOI_TINH!$B:$B,0)),INDEX(GIOI_TINH!$A:$A,MATCH(H348,GIOI_TINH!$B:$B,0)),"")</f>
        <v/>
      </c>
      <c r="H348" s="15"/>
      <c r="I348" s="15"/>
      <c r="J348" s="58" t="str">
        <f>IF(ISNUMBER(MATCH(K348,QUOC_GIA!$B:$B,0)),INDEX(QUOC_GIA!$A:$A,MATCH(K348,QUOC_GIA!$B:$B,0)),"")</f>
        <v/>
      </c>
      <c r="K348" s="50"/>
      <c r="L348" s="15"/>
      <c r="M348" s="58" t="str">
        <f>IF(ISNUMBER(MATCH(N348,LOAI_THUE!$B:$B,0)),INDEX(LOAI_THUE!$A:$A,MATCH(N348,LOAI_THUE!$B:$B,0)),"")</f>
        <v/>
      </c>
      <c r="N348" s="50"/>
      <c r="O348" s="58" t="str">
        <f>IF(ISNUMBER(MATCH(P348,CHI_TIET_LOAI_KH!$B:$B,0)),INDEX(CHI_TIET_LOAI_KH!$A:$A,MATCH(P348,CHI_TIET_LOAI_KH!$B:$B,0)),"")</f>
        <v/>
      </c>
      <c r="P348" s="50"/>
      <c r="Q348" s="58" t="str">
        <f>IF(ISNUMBER(MATCH(R348,NGHE_NGHIEP!$B:$B,0)),INDEX(NGHE_NGHIEP!$A:$A,MATCH(R348,NGHE_NGHIEP!$B:$B,0)),"")</f>
        <v/>
      </c>
      <c r="R348" s="50"/>
      <c r="S348" s="58" t="str">
        <f>IF(ISNUMBER(MATCH(T348,LOAI_ID!$B:$B,0)),INDEX(LOAI_ID!$A:$A,MATCH(T348,LOAI_ID!$B:$B,0)),"")</f>
        <v/>
      </c>
      <c r="T348" s="16"/>
      <c r="U348" s="48"/>
      <c r="V348" s="48"/>
      <c r="W348" s="17"/>
      <c r="X348" s="17"/>
      <c r="Y348" s="15"/>
      <c r="Z348" s="15"/>
      <c r="AA348" s="59" t="str">
        <f>IFERROR(INDEX(NOI_CAP!$B:$B,MATCH(Z348,NOI_CAP!$A:$A,0)),"")</f>
        <v/>
      </c>
      <c r="AB348" s="58" t="str">
        <f>IF(ISNUMBER(MATCH(AC348,LOAI_DIA_CHI!$B:$B,0)),INDEX(LOAI_DIA_CHI!$A:$A,MATCH(AC348,LOAI_DIA_CHI!$B:$B,0)),"")</f>
        <v/>
      </c>
      <c r="AC348" s="16"/>
      <c r="AD348" s="58" t="str">
        <f>IF(ISNUMBER(MATCH(AE348,QUOC_GIA!$B:$B,0)),INDEX(QUOC_GIA!$A:$A,MATCH(AE348,QUOC_GIA!$B:$B,0)),"")</f>
        <v/>
      </c>
      <c r="AE348" s="16"/>
      <c r="AF348" s="48"/>
      <c r="AG348" s="59" t="str">
        <f>IFERROR(INDEX(TINH_TP!$B:$B,MATCH(AF348,TINH_TP!$A:$A,0)),"")</f>
        <v/>
      </c>
      <c r="AH348" s="50"/>
      <c r="AI348" s="59" t="str">
        <f>IF(OR(AF348="",AH348=""),"",IF(COUNTIFS(PHUONG_XA!$A$2:$A$3323,AH348,PHUONG_XA!$C$2:$C$3323,AF348)=0,"",INDEX(PHUONG_XA!$B$2:$B$3323,SUMPRODUCT((PHUONG_XA!$A$2:$A$3323&amp;""=AH348&amp;"")*(PHUONG_XA!$C$2:$C$3323&amp;""=AF348&amp;"")*(ROW(PHUONG_XA!$A$2:$A$3323)-ROW(PHUONG_XA!$A$2)+1)))))</f>
        <v/>
      </c>
      <c r="AJ348" s="14"/>
      <c r="AK348" s="14"/>
      <c r="AL348" s="57" t="str">
        <f t="shared" si="6"/>
        <v/>
      </c>
      <c r="AM348" s="14"/>
      <c r="AN348" s="15"/>
      <c r="AO348" s="15"/>
      <c r="AP348" s="48"/>
      <c r="AQ348" s="15"/>
      <c r="AR348" s="15"/>
      <c r="AS348" s="15"/>
      <c r="AT348" s="60" t="str">
        <f>IF(ISNUMBER(MATCH(AU348,LOAI_THE!$B:$B,0)),INDEX(LOAI_THE!$A:$A,MATCH(AU348,LOAI_THE!$B:$B,0)),"")</f>
        <v/>
      </c>
      <c r="AU348" s="48"/>
      <c r="AV348" s="15"/>
      <c r="AW348" s="15"/>
      <c r="AX348" s="15"/>
      <c r="AY348" s="48"/>
    </row>
    <row r="349" spans="1:51" x14ac:dyDescent="0.3">
      <c r="A349" s="13" t="s">
        <v>4378</v>
      </c>
      <c r="B349" s="48"/>
      <c r="C349" s="48"/>
      <c r="D349" s="48"/>
      <c r="E349" s="48"/>
      <c r="F349" s="48"/>
      <c r="G349" s="58" t="str">
        <f>IF(ISNUMBER(MATCH(H349,GIOI_TINH!$B:$B,0)),INDEX(GIOI_TINH!$A:$A,MATCH(H349,GIOI_TINH!$B:$B,0)),"")</f>
        <v/>
      </c>
      <c r="H349" s="15"/>
      <c r="I349" s="15"/>
      <c r="J349" s="58" t="str">
        <f>IF(ISNUMBER(MATCH(K349,QUOC_GIA!$B:$B,0)),INDEX(QUOC_GIA!$A:$A,MATCH(K349,QUOC_GIA!$B:$B,0)),"")</f>
        <v/>
      </c>
      <c r="K349" s="50"/>
      <c r="L349" s="15"/>
      <c r="M349" s="58" t="str">
        <f>IF(ISNUMBER(MATCH(N349,LOAI_THUE!$B:$B,0)),INDEX(LOAI_THUE!$A:$A,MATCH(N349,LOAI_THUE!$B:$B,0)),"")</f>
        <v/>
      </c>
      <c r="N349" s="50"/>
      <c r="O349" s="58" t="str">
        <f>IF(ISNUMBER(MATCH(P349,CHI_TIET_LOAI_KH!$B:$B,0)),INDEX(CHI_TIET_LOAI_KH!$A:$A,MATCH(P349,CHI_TIET_LOAI_KH!$B:$B,0)),"")</f>
        <v/>
      </c>
      <c r="P349" s="50"/>
      <c r="Q349" s="58" t="str">
        <f>IF(ISNUMBER(MATCH(R349,NGHE_NGHIEP!$B:$B,0)),INDEX(NGHE_NGHIEP!$A:$A,MATCH(R349,NGHE_NGHIEP!$B:$B,0)),"")</f>
        <v/>
      </c>
      <c r="R349" s="50"/>
      <c r="S349" s="58" t="str">
        <f>IF(ISNUMBER(MATCH(T349,LOAI_ID!$B:$B,0)),INDEX(LOAI_ID!$A:$A,MATCH(T349,LOAI_ID!$B:$B,0)),"")</f>
        <v/>
      </c>
      <c r="T349" s="16"/>
      <c r="U349" s="48"/>
      <c r="V349" s="48"/>
      <c r="W349" s="17"/>
      <c r="X349" s="17"/>
      <c r="Y349" s="15"/>
      <c r="Z349" s="15"/>
      <c r="AA349" s="59" t="str">
        <f>IFERROR(INDEX(NOI_CAP!$B:$B,MATCH(Z349,NOI_CAP!$A:$A,0)),"")</f>
        <v/>
      </c>
      <c r="AB349" s="58" t="str">
        <f>IF(ISNUMBER(MATCH(AC349,LOAI_DIA_CHI!$B:$B,0)),INDEX(LOAI_DIA_CHI!$A:$A,MATCH(AC349,LOAI_DIA_CHI!$B:$B,0)),"")</f>
        <v/>
      </c>
      <c r="AC349" s="16"/>
      <c r="AD349" s="58" t="str">
        <f>IF(ISNUMBER(MATCH(AE349,QUOC_GIA!$B:$B,0)),INDEX(QUOC_GIA!$A:$A,MATCH(AE349,QUOC_GIA!$B:$B,0)),"")</f>
        <v/>
      </c>
      <c r="AE349" s="16"/>
      <c r="AF349" s="48"/>
      <c r="AG349" s="59" t="str">
        <f>IFERROR(INDEX(TINH_TP!$B:$B,MATCH(AF349,TINH_TP!$A:$A,0)),"")</f>
        <v/>
      </c>
      <c r="AH349" s="50"/>
      <c r="AI349" s="59" t="str">
        <f>IF(OR(AF349="",AH349=""),"",IF(COUNTIFS(PHUONG_XA!$A$2:$A$3323,AH349,PHUONG_XA!$C$2:$C$3323,AF349)=0,"",INDEX(PHUONG_XA!$B$2:$B$3323,SUMPRODUCT((PHUONG_XA!$A$2:$A$3323&amp;""=AH349&amp;"")*(PHUONG_XA!$C$2:$C$3323&amp;""=AF349&amp;"")*(ROW(PHUONG_XA!$A$2:$A$3323)-ROW(PHUONG_XA!$A$2)+1)))))</f>
        <v/>
      </c>
      <c r="AJ349" s="14"/>
      <c r="AK349" s="14"/>
      <c r="AL349" s="57" t="str">
        <f t="shared" si="6"/>
        <v/>
      </c>
      <c r="AM349" s="14"/>
      <c r="AN349" s="15"/>
      <c r="AO349" s="15"/>
      <c r="AP349" s="48"/>
      <c r="AQ349" s="15"/>
      <c r="AR349" s="15"/>
      <c r="AS349" s="15"/>
      <c r="AT349" s="60" t="str">
        <f>IF(ISNUMBER(MATCH(AU349,LOAI_THE!$B:$B,0)),INDEX(LOAI_THE!$A:$A,MATCH(AU349,LOAI_THE!$B:$B,0)),"")</f>
        <v/>
      </c>
      <c r="AU349" s="48"/>
      <c r="AV349" s="15"/>
      <c r="AW349" s="15"/>
      <c r="AX349" s="15"/>
      <c r="AY349" s="48"/>
    </row>
    <row r="350" spans="1:51" x14ac:dyDescent="0.3">
      <c r="A350" s="13" t="s">
        <v>4379</v>
      </c>
      <c r="B350" s="48"/>
      <c r="C350" s="48"/>
      <c r="D350" s="48"/>
      <c r="E350" s="48"/>
      <c r="F350" s="48"/>
      <c r="G350" s="58" t="str">
        <f>IF(ISNUMBER(MATCH(H350,GIOI_TINH!$B:$B,0)),INDEX(GIOI_TINH!$A:$A,MATCH(H350,GIOI_TINH!$B:$B,0)),"")</f>
        <v/>
      </c>
      <c r="H350" s="15"/>
      <c r="I350" s="15"/>
      <c r="J350" s="58" t="str">
        <f>IF(ISNUMBER(MATCH(K350,QUOC_GIA!$B:$B,0)),INDEX(QUOC_GIA!$A:$A,MATCH(K350,QUOC_GIA!$B:$B,0)),"")</f>
        <v/>
      </c>
      <c r="K350" s="50"/>
      <c r="L350" s="15"/>
      <c r="M350" s="58" t="str">
        <f>IF(ISNUMBER(MATCH(N350,LOAI_THUE!$B:$B,0)),INDEX(LOAI_THUE!$A:$A,MATCH(N350,LOAI_THUE!$B:$B,0)),"")</f>
        <v/>
      </c>
      <c r="N350" s="50"/>
      <c r="O350" s="58" t="str">
        <f>IF(ISNUMBER(MATCH(P350,CHI_TIET_LOAI_KH!$B:$B,0)),INDEX(CHI_TIET_LOAI_KH!$A:$A,MATCH(P350,CHI_TIET_LOAI_KH!$B:$B,0)),"")</f>
        <v/>
      </c>
      <c r="P350" s="50"/>
      <c r="Q350" s="58" t="str">
        <f>IF(ISNUMBER(MATCH(R350,NGHE_NGHIEP!$B:$B,0)),INDEX(NGHE_NGHIEP!$A:$A,MATCH(R350,NGHE_NGHIEP!$B:$B,0)),"")</f>
        <v/>
      </c>
      <c r="R350" s="50"/>
      <c r="S350" s="58" t="str">
        <f>IF(ISNUMBER(MATCH(T350,LOAI_ID!$B:$B,0)),INDEX(LOAI_ID!$A:$A,MATCH(T350,LOAI_ID!$B:$B,0)),"")</f>
        <v/>
      </c>
      <c r="T350" s="16"/>
      <c r="U350" s="48"/>
      <c r="V350" s="48"/>
      <c r="W350" s="17"/>
      <c r="X350" s="17"/>
      <c r="Y350" s="15"/>
      <c r="Z350" s="15"/>
      <c r="AA350" s="59" t="str">
        <f>IFERROR(INDEX(NOI_CAP!$B:$B,MATCH(Z350,NOI_CAP!$A:$A,0)),"")</f>
        <v/>
      </c>
      <c r="AB350" s="58" t="str">
        <f>IF(ISNUMBER(MATCH(AC350,LOAI_DIA_CHI!$B:$B,0)),INDEX(LOAI_DIA_CHI!$A:$A,MATCH(AC350,LOAI_DIA_CHI!$B:$B,0)),"")</f>
        <v/>
      </c>
      <c r="AC350" s="16"/>
      <c r="AD350" s="58" t="str">
        <f>IF(ISNUMBER(MATCH(AE350,QUOC_GIA!$B:$B,0)),INDEX(QUOC_GIA!$A:$A,MATCH(AE350,QUOC_GIA!$B:$B,0)),"")</f>
        <v/>
      </c>
      <c r="AE350" s="16"/>
      <c r="AF350" s="48"/>
      <c r="AG350" s="59" t="str">
        <f>IFERROR(INDEX(TINH_TP!$B:$B,MATCH(AF350,TINH_TP!$A:$A,0)),"")</f>
        <v/>
      </c>
      <c r="AH350" s="50"/>
      <c r="AI350" s="59" t="str">
        <f>IF(OR(AF350="",AH350=""),"",IF(COUNTIFS(PHUONG_XA!$A$2:$A$3323,AH350,PHUONG_XA!$C$2:$C$3323,AF350)=0,"",INDEX(PHUONG_XA!$B$2:$B$3323,SUMPRODUCT((PHUONG_XA!$A$2:$A$3323&amp;""=AH350&amp;"")*(PHUONG_XA!$C$2:$C$3323&amp;""=AF350&amp;"")*(ROW(PHUONG_XA!$A$2:$A$3323)-ROW(PHUONG_XA!$A$2)+1)))))</f>
        <v/>
      </c>
      <c r="AJ350" s="14"/>
      <c r="AK350" s="14"/>
      <c r="AL350" s="57" t="str">
        <f t="shared" si="6"/>
        <v/>
      </c>
      <c r="AM350" s="14"/>
      <c r="AN350" s="15"/>
      <c r="AO350" s="15"/>
      <c r="AP350" s="48"/>
      <c r="AQ350" s="15"/>
      <c r="AR350" s="15"/>
      <c r="AS350" s="15"/>
      <c r="AT350" s="60" t="str">
        <f>IF(ISNUMBER(MATCH(AU350,LOAI_THE!$B:$B,0)),INDEX(LOAI_THE!$A:$A,MATCH(AU350,LOAI_THE!$B:$B,0)),"")</f>
        <v/>
      </c>
      <c r="AU350" s="48"/>
      <c r="AV350" s="15"/>
      <c r="AW350" s="15"/>
      <c r="AX350" s="15"/>
      <c r="AY350" s="48"/>
    </row>
    <row r="351" spans="1:51" x14ac:dyDescent="0.3">
      <c r="A351" s="13" t="s">
        <v>4380</v>
      </c>
      <c r="B351" s="48"/>
      <c r="C351" s="48"/>
      <c r="D351" s="48"/>
      <c r="E351" s="48"/>
      <c r="F351" s="48"/>
      <c r="G351" s="58" t="str">
        <f>IF(ISNUMBER(MATCH(H351,GIOI_TINH!$B:$B,0)),INDEX(GIOI_TINH!$A:$A,MATCH(H351,GIOI_TINH!$B:$B,0)),"")</f>
        <v/>
      </c>
      <c r="H351" s="15"/>
      <c r="I351" s="15"/>
      <c r="J351" s="58" t="str">
        <f>IF(ISNUMBER(MATCH(K351,QUOC_GIA!$B:$B,0)),INDEX(QUOC_GIA!$A:$A,MATCH(K351,QUOC_GIA!$B:$B,0)),"")</f>
        <v/>
      </c>
      <c r="K351" s="50"/>
      <c r="L351" s="15"/>
      <c r="M351" s="58" t="str">
        <f>IF(ISNUMBER(MATCH(N351,LOAI_THUE!$B:$B,0)),INDEX(LOAI_THUE!$A:$A,MATCH(N351,LOAI_THUE!$B:$B,0)),"")</f>
        <v/>
      </c>
      <c r="N351" s="50"/>
      <c r="O351" s="58" t="str">
        <f>IF(ISNUMBER(MATCH(P351,CHI_TIET_LOAI_KH!$B:$B,0)),INDEX(CHI_TIET_LOAI_KH!$A:$A,MATCH(P351,CHI_TIET_LOAI_KH!$B:$B,0)),"")</f>
        <v/>
      </c>
      <c r="P351" s="50"/>
      <c r="Q351" s="58" t="str">
        <f>IF(ISNUMBER(MATCH(R351,NGHE_NGHIEP!$B:$B,0)),INDEX(NGHE_NGHIEP!$A:$A,MATCH(R351,NGHE_NGHIEP!$B:$B,0)),"")</f>
        <v/>
      </c>
      <c r="R351" s="50"/>
      <c r="S351" s="58" t="str">
        <f>IF(ISNUMBER(MATCH(T351,LOAI_ID!$B:$B,0)),INDEX(LOAI_ID!$A:$A,MATCH(T351,LOAI_ID!$B:$B,0)),"")</f>
        <v/>
      </c>
      <c r="T351" s="16"/>
      <c r="U351" s="48"/>
      <c r="V351" s="48"/>
      <c r="W351" s="17"/>
      <c r="X351" s="17"/>
      <c r="Y351" s="15"/>
      <c r="Z351" s="15"/>
      <c r="AA351" s="59" t="str">
        <f>IFERROR(INDEX(NOI_CAP!$B:$B,MATCH(Z351,NOI_CAP!$A:$A,0)),"")</f>
        <v/>
      </c>
      <c r="AB351" s="58" t="str">
        <f>IF(ISNUMBER(MATCH(AC351,LOAI_DIA_CHI!$B:$B,0)),INDEX(LOAI_DIA_CHI!$A:$A,MATCH(AC351,LOAI_DIA_CHI!$B:$B,0)),"")</f>
        <v/>
      </c>
      <c r="AC351" s="16"/>
      <c r="AD351" s="58" t="str">
        <f>IF(ISNUMBER(MATCH(AE351,QUOC_GIA!$B:$B,0)),INDEX(QUOC_GIA!$A:$A,MATCH(AE351,QUOC_GIA!$B:$B,0)),"")</f>
        <v/>
      </c>
      <c r="AE351" s="16"/>
      <c r="AF351" s="48"/>
      <c r="AG351" s="59" t="str">
        <f>IFERROR(INDEX(TINH_TP!$B:$B,MATCH(AF351,TINH_TP!$A:$A,0)),"")</f>
        <v/>
      </c>
      <c r="AH351" s="50"/>
      <c r="AI351" s="59" t="str">
        <f>IF(OR(AF351="",AH351=""),"",IF(COUNTIFS(PHUONG_XA!$A$2:$A$3323,AH351,PHUONG_XA!$C$2:$C$3323,AF351)=0,"",INDEX(PHUONG_XA!$B$2:$B$3323,SUMPRODUCT((PHUONG_XA!$A$2:$A$3323&amp;""=AH351&amp;"")*(PHUONG_XA!$C$2:$C$3323&amp;""=AF351&amp;"")*(ROW(PHUONG_XA!$A$2:$A$3323)-ROW(PHUONG_XA!$A$2)+1)))))</f>
        <v/>
      </c>
      <c r="AJ351" s="14"/>
      <c r="AK351" s="14"/>
      <c r="AL351" s="57" t="str">
        <f t="shared" si="6"/>
        <v/>
      </c>
      <c r="AM351" s="14"/>
      <c r="AN351" s="15"/>
      <c r="AO351" s="15"/>
      <c r="AP351" s="48"/>
      <c r="AQ351" s="15"/>
      <c r="AR351" s="15"/>
      <c r="AS351" s="15"/>
      <c r="AT351" s="60" t="str">
        <f>IF(ISNUMBER(MATCH(AU351,LOAI_THE!$B:$B,0)),INDEX(LOAI_THE!$A:$A,MATCH(AU351,LOAI_THE!$B:$B,0)),"")</f>
        <v/>
      </c>
      <c r="AU351" s="48"/>
      <c r="AV351" s="15"/>
      <c r="AW351" s="15"/>
      <c r="AX351" s="15"/>
      <c r="AY351" s="48"/>
    </row>
    <row r="352" spans="1:51" x14ac:dyDescent="0.3">
      <c r="A352" s="13" t="s">
        <v>4381</v>
      </c>
      <c r="B352" s="48"/>
      <c r="C352" s="48"/>
      <c r="D352" s="48"/>
      <c r="E352" s="48"/>
      <c r="F352" s="48"/>
      <c r="G352" s="58" t="str">
        <f>IF(ISNUMBER(MATCH(H352,GIOI_TINH!$B:$B,0)),INDEX(GIOI_TINH!$A:$A,MATCH(H352,GIOI_TINH!$B:$B,0)),"")</f>
        <v/>
      </c>
      <c r="H352" s="15"/>
      <c r="I352" s="15"/>
      <c r="J352" s="58" t="str">
        <f>IF(ISNUMBER(MATCH(K352,QUOC_GIA!$B:$B,0)),INDEX(QUOC_GIA!$A:$A,MATCH(K352,QUOC_GIA!$B:$B,0)),"")</f>
        <v/>
      </c>
      <c r="K352" s="50"/>
      <c r="L352" s="15"/>
      <c r="M352" s="58" t="str">
        <f>IF(ISNUMBER(MATCH(N352,LOAI_THUE!$B:$B,0)),INDEX(LOAI_THUE!$A:$A,MATCH(N352,LOAI_THUE!$B:$B,0)),"")</f>
        <v/>
      </c>
      <c r="N352" s="50"/>
      <c r="O352" s="58" t="str">
        <f>IF(ISNUMBER(MATCH(P352,CHI_TIET_LOAI_KH!$B:$B,0)),INDEX(CHI_TIET_LOAI_KH!$A:$A,MATCH(P352,CHI_TIET_LOAI_KH!$B:$B,0)),"")</f>
        <v/>
      </c>
      <c r="P352" s="50"/>
      <c r="Q352" s="58" t="str">
        <f>IF(ISNUMBER(MATCH(R352,NGHE_NGHIEP!$B:$B,0)),INDEX(NGHE_NGHIEP!$A:$A,MATCH(R352,NGHE_NGHIEP!$B:$B,0)),"")</f>
        <v/>
      </c>
      <c r="R352" s="50"/>
      <c r="S352" s="58" t="str">
        <f>IF(ISNUMBER(MATCH(T352,LOAI_ID!$B:$B,0)),INDEX(LOAI_ID!$A:$A,MATCH(T352,LOAI_ID!$B:$B,0)),"")</f>
        <v/>
      </c>
      <c r="T352" s="16"/>
      <c r="U352" s="48"/>
      <c r="V352" s="48"/>
      <c r="W352" s="17"/>
      <c r="X352" s="17"/>
      <c r="Y352" s="15"/>
      <c r="Z352" s="15"/>
      <c r="AA352" s="59" t="str">
        <f>IFERROR(INDEX(NOI_CAP!$B:$B,MATCH(Z352,NOI_CAP!$A:$A,0)),"")</f>
        <v/>
      </c>
      <c r="AB352" s="58" t="str">
        <f>IF(ISNUMBER(MATCH(AC352,LOAI_DIA_CHI!$B:$B,0)),INDEX(LOAI_DIA_CHI!$A:$A,MATCH(AC352,LOAI_DIA_CHI!$B:$B,0)),"")</f>
        <v/>
      </c>
      <c r="AC352" s="16"/>
      <c r="AD352" s="58" t="str">
        <f>IF(ISNUMBER(MATCH(AE352,QUOC_GIA!$B:$B,0)),INDEX(QUOC_GIA!$A:$A,MATCH(AE352,QUOC_GIA!$B:$B,0)),"")</f>
        <v/>
      </c>
      <c r="AE352" s="16"/>
      <c r="AF352" s="48"/>
      <c r="AG352" s="59" t="str">
        <f>IFERROR(INDEX(TINH_TP!$B:$B,MATCH(AF352,TINH_TP!$A:$A,0)),"")</f>
        <v/>
      </c>
      <c r="AH352" s="50"/>
      <c r="AI352" s="59" t="str">
        <f>IF(OR(AF352="",AH352=""),"",IF(COUNTIFS(PHUONG_XA!$A$2:$A$3323,AH352,PHUONG_XA!$C$2:$C$3323,AF352)=0,"",INDEX(PHUONG_XA!$B$2:$B$3323,SUMPRODUCT((PHUONG_XA!$A$2:$A$3323&amp;""=AH352&amp;"")*(PHUONG_XA!$C$2:$C$3323&amp;""=AF352&amp;"")*(ROW(PHUONG_XA!$A$2:$A$3323)-ROW(PHUONG_XA!$A$2)+1)))))</f>
        <v/>
      </c>
      <c r="AJ352" s="14"/>
      <c r="AK352" s="14"/>
      <c r="AL352" s="57" t="str">
        <f t="shared" si="6"/>
        <v/>
      </c>
      <c r="AM352" s="14"/>
      <c r="AN352" s="15"/>
      <c r="AO352" s="15"/>
      <c r="AP352" s="48"/>
      <c r="AQ352" s="15"/>
      <c r="AR352" s="15"/>
      <c r="AS352" s="15"/>
      <c r="AT352" s="60" t="str">
        <f>IF(ISNUMBER(MATCH(AU352,LOAI_THE!$B:$B,0)),INDEX(LOAI_THE!$A:$A,MATCH(AU352,LOAI_THE!$B:$B,0)),"")</f>
        <v/>
      </c>
      <c r="AU352" s="48"/>
      <c r="AV352" s="15"/>
      <c r="AW352" s="15"/>
      <c r="AX352" s="15"/>
      <c r="AY352" s="48"/>
    </row>
    <row r="353" spans="1:51" x14ac:dyDescent="0.3">
      <c r="A353" s="13" t="s">
        <v>720</v>
      </c>
      <c r="B353" s="48"/>
      <c r="C353" s="48"/>
      <c r="D353" s="48"/>
      <c r="E353" s="48"/>
      <c r="F353" s="48"/>
      <c r="G353" s="58" t="str">
        <f>IF(ISNUMBER(MATCH(H353,GIOI_TINH!$B:$B,0)),INDEX(GIOI_TINH!$A:$A,MATCH(H353,GIOI_TINH!$B:$B,0)),"")</f>
        <v/>
      </c>
      <c r="H353" s="15"/>
      <c r="I353" s="15"/>
      <c r="J353" s="58" t="str">
        <f>IF(ISNUMBER(MATCH(K353,QUOC_GIA!$B:$B,0)),INDEX(QUOC_GIA!$A:$A,MATCH(K353,QUOC_GIA!$B:$B,0)),"")</f>
        <v/>
      </c>
      <c r="K353" s="50"/>
      <c r="L353" s="15"/>
      <c r="M353" s="58" t="str">
        <f>IF(ISNUMBER(MATCH(N353,LOAI_THUE!$B:$B,0)),INDEX(LOAI_THUE!$A:$A,MATCH(N353,LOAI_THUE!$B:$B,0)),"")</f>
        <v/>
      </c>
      <c r="N353" s="50"/>
      <c r="O353" s="58" t="str">
        <f>IF(ISNUMBER(MATCH(P353,CHI_TIET_LOAI_KH!$B:$B,0)),INDEX(CHI_TIET_LOAI_KH!$A:$A,MATCH(P353,CHI_TIET_LOAI_KH!$B:$B,0)),"")</f>
        <v/>
      </c>
      <c r="P353" s="50"/>
      <c r="Q353" s="58" t="str">
        <f>IF(ISNUMBER(MATCH(R353,NGHE_NGHIEP!$B:$B,0)),INDEX(NGHE_NGHIEP!$A:$A,MATCH(R353,NGHE_NGHIEP!$B:$B,0)),"")</f>
        <v/>
      </c>
      <c r="R353" s="50"/>
      <c r="S353" s="58" t="str">
        <f>IF(ISNUMBER(MATCH(T353,LOAI_ID!$B:$B,0)),INDEX(LOAI_ID!$A:$A,MATCH(T353,LOAI_ID!$B:$B,0)),"")</f>
        <v/>
      </c>
      <c r="T353" s="16"/>
      <c r="U353" s="48"/>
      <c r="V353" s="48"/>
      <c r="W353" s="17"/>
      <c r="X353" s="17"/>
      <c r="Y353" s="15"/>
      <c r="Z353" s="15"/>
      <c r="AA353" s="59" t="str">
        <f>IFERROR(INDEX(NOI_CAP!$B:$B,MATCH(Z353,NOI_CAP!$A:$A,0)),"")</f>
        <v/>
      </c>
      <c r="AB353" s="58" t="str">
        <f>IF(ISNUMBER(MATCH(AC353,LOAI_DIA_CHI!$B:$B,0)),INDEX(LOAI_DIA_CHI!$A:$A,MATCH(AC353,LOAI_DIA_CHI!$B:$B,0)),"")</f>
        <v/>
      </c>
      <c r="AC353" s="16"/>
      <c r="AD353" s="58" t="str">
        <f>IF(ISNUMBER(MATCH(AE353,QUOC_GIA!$B:$B,0)),INDEX(QUOC_GIA!$A:$A,MATCH(AE353,QUOC_GIA!$B:$B,0)),"")</f>
        <v/>
      </c>
      <c r="AE353" s="16"/>
      <c r="AF353" s="48"/>
      <c r="AG353" s="59" t="str">
        <f>IFERROR(INDEX(TINH_TP!$B:$B,MATCH(AF353,TINH_TP!$A:$A,0)),"")</f>
        <v/>
      </c>
      <c r="AH353" s="50"/>
      <c r="AI353" s="59" t="str">
        <f>IF(OR(AF353="",AH353=""),"",IF(COUNTIFS(PHUONG_XA!$A$2:$A$3323,AH353,PHUONG_XA!$C$2:$C$3323,AF353)=0,"",INDEX(PHUONG_XA!$B$2:$B$3323,SUMPRODUCT((PHUONG_XA!$A$2:$A$3323&amp;""=AH353&amp;"")*(PHUONG_XA!$C$2:$C$3323&amp;""=AF353&amp;"")*(ROW(PHUONG_XA!$A$2:$A$3323)-ROW(PHUONG_XA!$A$2)+1)))))</f>
        <v/>
      </c>
      <c r="AJ353" s="14"/>
      <c r="AK353" s="14"/>
      <c r="AL353" s="57" t="str">
        <f t="shared" si="6"/>
        <v/>
      </c>
      <c r="AM353" s="14"/>
      <c r="AN353" s="15"/>
      <c r="AO353" s="15"/>
      <c r="AP353" s="48"/>
      <c r="AQ353" s="15"/>
      <c r="AR353" s="15"/>
      <c r="AS353" s="15"/>
      <c r="AT353" s="60" t="str">
        <f>IF(ISNUMBER(MATCH(AU353,LOAI_THE!$B:$B,0)),INDEX(LOAI_THE!$A:$A,MATCH(AU353,LOAI_THE!$B:$B,0)),"")</f>
        <v/>
      </c>
      <c r="AU353" s="48"/>
      <c r="AV353" s="15"/>
      <c r="AW353" s="15"/>
      <c r="AX353" s="15"/>
      <c r="AY353" s="48"/>
    </row>
    <row r="354" spans="1:51" x14ac:dyDescent="0.3">
      <c r="A354" s="13" t="s">
        <v>722</v>
      </c>
      <c r="B354" s="48"/>
      <c r="C354" s="48"/>
      <c r="D354" s="48"/>
      <c r="E354" s="48"/>
      <c r="F354" s="48"/>
      <c r="G354" s="58" t="str">
        <f>IF(ISNUMBER(MATCH(H354,GIOI_TINH!$B:$B,0)),INDEX(GIOI_TINH!$A:$A,MATCH(H354,GIOI_TINH!$B:$B,0)),"")</f>
        <v/>
      </c>
      <c r="H354" s="15"/>
      <c r="I354" s="15"/>
      <c r="J354" s="58" t="str">
        <f>IF(ISNUMBER(MATCH(K354,QUOC_GIA!$B:$B,0)),INDEX(QUOC_GIA!$A:$A,MATCH(K354,QUOC_GIA!$B:$B,0)),"")</f>
        <v/>
      </c>
      <c r="K354" s="50"/>
      <c r="L354" s="15"/>
      <c r="M354" s="58" t="str">
        <f>IF(ISNUMBER(MATCH(N354,LOAI_THUE!$B:$B,0)),INDEX(LOAI_THUE!$A:$A,MATCH(N354,LOAI_THUE!$B:$B,0)),"")</f>
        <v/>
      </c>
      <c r="N354" s="50"/>
      <c r="O354" s="58" t="str">
        <f>IF(ISNUMBER(MATCH(P354,CHI_TIET_LOAI_KH!$B:$B,0)),INDEX(CHI_TIET_LOAI_KH!$A:$A,MATCH(P354,CHI_TIET_LOAI_KH!$B:$B,0)),"")</f>
        <v/>
      </c>
      <c r="P354" s="50"/>
      <c r="Q354" s="58" t="str">
        <f>IF(ISNUMBER(MATCH(R354,NGHE_NGHIEP!$B:$B,0)),INDEX(NGHE_NGHIEP!$A:$A,MATCH(R354,NGHE_NGHIEP!$B:$B,0)),"")</f>
        <v/>
      </c>
      <c r="R354" s="50"/>
      <c r="S354" s="58" t="str">
        <f>IF(ISNUMBER(MATCH(T354,LOAI_ID!$B:$B,0)),INDEX(LOAI_ID!$A:$A,MATCH(T354,LOAI_ID!$B:$B,0)),"")</f>
        <v/>
      </c>
      <c r="T354" s="16"/>
      <c r="U354" s="48"/>
      <c r="V354" s="48"/>
      <c r="W354" s="17"/>
      <c r="X354" s="17"/>
      <c r="Y354" s="15"/>
      <c r="Z354" s="15"/>
      <c r="AA354" s="59" t="str">
        <f>IFERROR(INDEX(NOI_CAP!$B:$B,MATCH(Z354,NOI_CAP!$A:$A,0)),"")</f>
        <v/>
      </c>
      <c r="AB354" s="58" t="str">
        <f>IF(ISNUMBER(MATCH(AC354,LOAI_DIA_CHI!$B:$B,0)),INDEX(LOAI_DIA_CHI!$A:$A,MATCH(AC354,LOAI_DIA_CHI!$B:$B,0)),"")</f>
        <v/>
      </c>
      <c r="AC354" s="16"/>
      <c r="AD354" s="58" t="str">
        <f>IF(ISNUMBER(MATCH(AE354,QUOC_GIA!$B:$B,0)),INDEX(QUOC_GIA!$A:$A,MATCH(AE354,QUOC_GIA!$B:$B,0)),"")</f>
        <v/>
      </c>
      <c r="AE354" s="16"/>
      <c r="AF354" s="48"/>
      <c r="AG354" s="59" t="str">
        <f>IFERROR(INDEX(TINH_TP!$B:$B,MATCH(AF354,TINH_TP!$A:$A,0)),"")</f>
        <v/>
      </c>
      <c r="AH354" s="50"/>
      <c r="AI354" s="59" t="str">
        <f>IF(OR(AF354="",AH354=""),"",IF(COUNTIFS(PHUONG_XA!$A$2:$A$3323,AH354,PHUONG_XA!$C$2:$C$3323,AF354)=0,"",INDEX(PHUONG_XA!$B$2:$B$3323,SUMPRODUCT((PHUONG_XA!$A$2:$A$3323&amp;""=AH354&amp;"")*(PHUONG_XA!$C$2:$C$3323&amp;""=AF354&amp;"")*(ROW(PHUONG_XA!$A$2:$A$3323)-ROW(PHUONG_XA!$A$2)+1)))))</f>
        <v/>
      </c>
      <c r="AJ354" s="14"/>
      <c r="AK354" s="14"/>
      <c r="AL354" s="57" t="str">
        <f t="shared" si="6"/>
        <v/>
      </c>
      <c r="AM354" s="14"/>
      <c r="AN354" s="15"/>
      <c r="AO354" s="15"/>
      <c r="AP354" s="48"/>
      <c r="AQ354" s="15"/>
      <c r="AR354" s="15"/>
      <c r="AS354" s="15"/>
      <c r="AT354" s="60" t="str">
        <f>IF(ISNUMBER(MATCH(AU354,LOAI_THE!$B:$B,0)),INDEX(LOAI_THE!$A:$A,MATCH(AU354,LOAI_THE!$B:$B,0)),"")</f>
        <v/>
      </c>
      <c r="AU354" s="48"/>
      <c r="AV354" s="15"/>
      <c r="AW354" s="15"/>
      <c r="AX354" s="15"/>
      <c r="AY354" s="48"/>
    </row>
    <row r="355" spans="1:51" x14ac:dyDescent="0.3">
      <c r="A355" s="13" t="s">
        <v>724</v>
      </c>
      <c r="B355" s="48"/>
      <c r="C355" s="48"/>
      <c r="D355" s="48"/>
      <c r="E355" s="48"/>
      <c r="F355" s="48"/>
      <c r="G355" s="58" t="str">
        <f>IF(ISNUMBER(MATCH(H355,GIOI_TINH!$B:$B,0)),INDEX(GIOI_TINH!$A:$A,MATCH(H355,GIOI_TINH!$B:$B,0)),"")</f>
        <v/>
      </c>
      <c r="H355" s="15"/>
      <c r="I355" s="15"/>
      <c r="J355" s="58" t="str">
        <f>IF(ISNUMBER(MATCH(K355,QUOC_GIA!$B:$B,0)),INDEX(QUOC_GIA!$A:$A,MATCH(K355,QUOC_GIA!$B:$B,0)),"")</f>
        <v/>
      </c>
      <c r="K355" s="50"/>
      <c r="L355" s="15"/>
      <c r="M355" s="58" t="str">
        <f>IF(ISNUMBER(MATCH(N355,LOAI_THUE!$B:$B,0)),INDEX(LOAI_THUE!$A:$A,MATCH(N355,LOAI_THUE!$B:$B,0)),"")</f>
        <v/>
      </c>
      <c r="N355" s="50"/>
      <c r="O355" s="58" t="str">
        <f>IF(ISNUMBER(MATCH(P355,CHI_TIET_LOAI_KH!$B:$B,0)),INDEX(CHI_TIET_LOAI_KH!$A:$A,MATCH(P355,CHI_TIET_LOAI_KH!$B:$B,0)),"")</f>
        <v/>
      </c>
      <c r="P355" s="50"/>
      <c r="Q355" s="58" t="str">
        <f>IF(ISNUMBER(MATCH(R355,NGHE_NGHIEP!$B:$B,0)),INDEX(NGHE_NGHIEP!$A:$A,MATCH(R355,NGHE_NGHIEP!$B:$B,0)),"")</f>
        <v/>
      </c>
      <c r="R355" s="50"/>
      <c r="S355" s="58" t="str">
        <f>IF(ISNUMBER(MATCH(T355,LOAI_ID!$B:$B,0)),INDEX(LOAI_ID!$A:$A,MATCH(T355,LOAI_ID!$B:$B,0)),"")</f>
        <v/>
      </c>
      <c r="T355" s="16"/>
      <c r="U355" s="48"/>
      <c r="V355" s="48"/>
      <c r="W355" s="17"/>
      <c r="X355" s="17"/>
      <c r="Y355" s="15"/>
      <c r="Z355" s="15"/>
      <c r="AA355" s="59" t="str">
        <f>IFERROR(INDEX(NOI_CAP!$B:$B,MATCH(Z355,NOI_CAP!$A:$A,0)),"")</f>
        <v/>
      </c>
      <c r="AB355" s="58" t="str">
        <f>IF(ISNUMBER(MATCH(AC355,LOAI_DIA_CHI!$B:$B,0)),INDEX(LOAI_DIA_CHI!$A:$A,MATCH(AC355,LOAI_DIA_CHI!$B:$B,0)),"")</f>
        <v/>
      </c>
      <c r="AC355" s="16"/>
      <c r="AD355" s="58" t="str">
        <f>IF(ISNUMBER(MATCH(AE355,QUOC_GIA!$B:$B,0)),INDEX(QUOC_GIA!$A:$A,MATCH(AE355,QUOC_GIA!$B:$B,0)),"")</f>
        <v/>
      </c>
      <c r="AE355" s="16"/>
      <c r="AF355" s="48"/>
      <c r="AG355" s="59" t="str">
        <f>IFERROR(INDEX(TINH_TP!$B:$B,MATCH(AF355,TINH_TP!$A:$A,0)),"")</f>
        <v/>
      </c>
      <c r="AH355" s="50"/>
      <c r="AI355" s="59" t="str">
        <f>IF(OR(AF355="",AH355=""),"",IF(COUNTIFS(PHUONG_XA!$A$2:$A$3323,AH355,PHUONG_XA!$C$2:$C$3323,AF355)=0,"",INDEX(PHUONG_XA!$B$2:$B$3323,SUMPRODUCT((PHUONG_XA!$A$2:$A$3323&amp;""=AH355&amp;"")*(PHUONG_XA!$C$2:$C$3323&amp;""=AF355&amp;"")*(ROW(PHUONG_XA!$A$2:$A$3323)-ROW(PHUONG_XA!$A$2)+1)))))</f>
        <v/>
      </c>
      <c r="AJ355" s="14"/>
      <c r="AK355" s="14"/>
      <c r="AL355" s="57" t="str">
        <f t="shared" si="6"/>
        <v/>
      </c>
      <c r="AM355" s="14"/>
      <c r="AN355" s="15"/>
      <c r="AO355" s="15"/>
      <c r="AP355" s="48"/>
      <c r="AQ355" s="15"/>
      <c r="AR355" s="15"/>
      <c r="AS355" s="15"/>
      <c r="AT355" s="60" t="str">
        <f>IF(ISNUMBER(MATCH(AU355,LOAI_THE!$B:$B,0)),INDEX(LOAI_THE!$A:$A,MATCH(AU355,LOAI_THE!$B:$B,0)),"")</f>
        <v/>
      </c>
      <c r="AU355" s="48"/>
      <c r="AV355" s="15"/>
      <c r="AW355" s="15"/>
      <c r="AX355" s="15"/>
      <c r="AY355" s="48"/>
    </row>
    <row r="356" spans="1:51" x14ac:dyDescent="0.3">
      <c r="A356" s="13" t="s">
        <v>726</v>
      </c>
      <c r="B356" s="48"/>
      <c r="C356" s="48"/>
      <c r="D356" s="48"/>
      <c r="E356" s="48"/>
      <c r="F356" s="48"/>
      <c r="G356" s="58" t="str">
        <f>IF(ISNUMBER(MATCH(H356,GIOI_TINH!$B:$B,0)),INDEX(GIOI_TINH!$A:$A,MATCH(H356,GIOI_TINH!$B:$B,0)),"")</f>
        <v/>
      </c>
      <c r="H356" s="15"/>
      <c r="I356" s="15"/>
      <c r="J356" s="58" t="str">
        <f>IF(ISNUMBER(MATCH(K356,QUOC_GIA!$B:$B,0)),INDEX(QUOC_GIA!$A:$A,MATCH(K356,QUOC_GIA!$B:$B,0)),"")</f>
        <v/>
      </c>
      <c r="K356" s="50"/>
      <c r="L356" s="15"/>
      <c r="M356" s="58" t="str">
        <f>IF(ISNUMBER(MATCH(N356,LOAI_THUE!$B:$B,0)),INDEX(LOAI_THUE!$A:$A,MATCH(N356,LOAI_THUE!$B:$B,0)),"")</f>
        <v/>
      </c>
      <c r="N356" s="50"/>
      <c r="O356" s="58" t="str">
        <f>IF(ISNUMBER(MATCH(P356,CHI_TIET_LOAI_KH!$B:$B,0)),INDEX(CHI_TIET_LOAI_KH!$A:$A,MATCH(P356,CHI_TIET_LOAI_KH!$B:$B,0)),"")</f>
        <v/>
      </c>
      <c r="P356" s="50"/>
      <c r="Q356" s="58" t="str">
        <f>IF(ISNUMBER(MATCH(R356,NGHE_NGHIEP!$B:$B,0)),INDEX(NGHE_NGHIEP!$A:$A,MATCH(R356,NGHE_NGHIEP!$B:$B,0)),"")</f>
        <v/>
      </c>
      <c r="R356" s="50"/>
      <c r="S356" s="58" t="str">
        <f>IF(ISNUMBER(MATCH(T356,LOAI_ID!$B:$B,0)),INDEX(LOAI_ID!$A:$A,MATCH(T356,LOAI_ID!$B:$B,0)),"")</f>
        <v/>
      </c>
      <c r="T356" s="16"/>
      <c r="U356" s="48"/>
      <c r="V356" s="48"/>
      <c r="W356" s="17"/>
      <c r="X356" s="17"/>
      <c r="Y356" s="15"/>
      <c r="Z356" s="15"/>
      <c r="AA356" s="59" t="str">
        <f>IFERROR(INDEX(NOI_CAP!$B:$B,MATCH(Z356,NOI_CAP!$A:$A,0)),"")</f>
        <v/>
      </c>
      <c r="AB356" s="58" t="str">
        <f>IF(ISNUMBER(MATCH(AC356,LOAI_DIA_CHI!$B:$B,0)),INDEX(LOAI_DIA_CHI!$A:$A,MATCH(AC356,LOAI_DIA_CHI!$B:$B,0)),"")</f>
        <v/>
      </c>
      <c r="AC356" s="16"/>
      <c r="AD356" s="58" t="str">
        <f>IF(ISNUMBER(MATCH(AE356,QUOC_GIA!$B:$B,0)),INDEX(QUOC_GIA!$A:$A,MATCH(AE356,QUOC_GIA!$B:$B,0)),"")</f>
        <v/>
      </c>
      <c r="AE356" s="16"/>
      <c r="AF356" s="48"/>
      <c r="AG356" s="59" t="str">
        <f>IFERROR(INDEX(TINH_TP!$B:$B,MATCH(AF356,TINH_TP!$A:$A,0)),"")</f>
        <v/>
      </c>
      <c r="AH356" s="50"/>
      <c r="AI356" s="59" t="str">
        <f>IF(OR(AF356="",AH356=""),"",IF(COUNTIFS(PHUONG_XA!$A$2:$A$3323,AH356,PHUONG_XA!$C$2:$C$3323,AF356)=0,"",INDEX(PHUONG_XA!$B$2:$B$3323,SUMPRODUCT((PHUONG_XA!$A$2:$A$3323&amp;""=AH356&amp;"")*(PHUONG_XA!$C$2:$C$3323&amp;""=AF356&amp;"")*(ROW(PHUONG_XA!$A$2:$A$3323)-ROW(PHUONG_XA!$A$2)+1)))))</f>
        <v/>
      </c>
      <c r="AJ356" s="14"/>
      <c r="AK356" s="14"/>
      <c r="AL356" s="57" t="str">
        <f t="shared" si="6"/>
        <v/>
      </c>
      <c r="AM356" s="14"/>
      <c r="AN356" s="15"/>
      <c r="AO356" s="15"/>
      <c r="AP356" s="48"/>
      <c r="AQ356" s="15"/>
      <c r="AR356" s="15"/>
      <c r="AS356" s="15"/>
      <c r="AT356" s="60" t="str">
        <f>IF(ISNUMBER(MATCH(AU356,LOAI_THE!$B:$B,0)),INDEX(LOAI_THE!$A:$A,MATCH(AU356,LOAI_THE!$B:$B,0)),"")</f>
        <v/>
      </c>
      <c r="AU356" s="48"/>
      <c r="AV356" s="15"/>
      <c r="AW356" s="15"/>
      <c r="AX356" s="15"/>
      <c r="AY356" s="48"/>
    </row>
    <row r="357" spans="1:51" x14ac:dyDescent="0.3">
      <c r="A357" s="13" t="s">
        <v>727</v>
      </c>
      <c r="B357" s="48"/>
      <c r="C357" s="48"/>
      <c r="D357" s="48"/>
      <c r="E357" s="48"/>
      <c r="F357" s="48"/>
      <c r="G357" s="58" t="str">
        <f>IF(ISNUMBER(MATCH(H357,GIOI_TINH!$B:$B,0)),INDEX(GIOI_TINH!$A:$A,MATCH(H357,GIOI_TINH!$B:$B,0)),"")</f>
        <v/>
      </c>
      <c r="H357" s="15"/>
      <c r="I357" s="15"/>
      <c r="J357" s="58" t="str">
        <f>IF(ISNUMBER(MATCH(K357,QUOC_GIA!$B:$B,0)),INDEX(QUOC_GIA!$A:$A,MATCH(K357,QUOC_GIA!$B:$B,0)),"")</f>
        <v/>
      </c>
      <c r="K357" s="50"/>
      <c r="L357" s="15"/>
      <c r="M357" s="58" t="str">
        <f>IF(ISNUMBER(MATCH(N357,LOAI_THUE!$B:$B,0)),INDEX(LOAI_THUE!$A:$A,MATCH(N357,LOAI_THUE!$B:$B,0)),"")</f>
        <v/>
      </c>
      <c r="N357" s="50"/>
      <c r="O357" s="58" t="str">
        <f>IF(ISNUMBER(MATCH(P357,CHI_TIET_LOAI_KH!$B:$B,0)),INDEX(CHI_TIET_LOAI_KH!$A:$A,MATCH(P357,CHI_TIET_LOAI_KH!$B:$B,0)),"")</f>
        <v/>
      </c>
      <c r="P357" s="50"/>
      <c r="Q357" s="58" t="str">
        <f>IF(ISNUMBER(MATCH(R357,NGHE_NGHIEP!$B:$B,0)),INDEX(NGHE_NGHIEP!$A:$A,MATCH(R357,NGHE_NGHIEP!$B:$B,0)),"")</f>
        <v/>
      </c>
      <c r="R357" s="50"/>
      <c r="S357" s="58" t="str">
        <f>IF(ISNUMBER(MATCH(T357,LOAI_ID!$B:$B,0)),INDEX(LOAI_ID!$A:$A,MATCH(T357,LOAI_ID!$B:$B,0)),"")</f>
        <v/>
      </c>
      <c r="T357" s="16"/>
      <c r="U357" s="48"/>
      <c r="V357" s="48"/>
      <c r="W357" s="17"/>
      <c r="X357" s="17"/>
      <c r="Y357" s="15"/>
      <c r="Z357" s="15"/>
      <c r="AA357" s="59" t="str">
        <f>IFERROR(INDEX(NOI_CAP!$B:$B,MATCH(Z357,NOI_CAP!$A:$A,0)),"")</f>
        <v/>
      </c>
      <c r="AB357" s="58" t="str">
        <f>IF(ISNUMBER(MATCH(AC357,LOAI_DIA_CHI!$B:$B,0)),INDEX(LOAI_DIA_CHI!$A:$A,MATCH(AC357,LOAI_DIA_CHI!$B:$B,0)),"")</f>
        <v/>
      </c>
      <c r="AC357" s="16"/>
      <c r="AD357" s="58" t="str">
        <f>IF(ISNUMBER(MATCH(AE357,QUOC_GIA!$B:$B,0)),INDEX(QUOC_GIA!$A:$A,MATCH(AE357,QUOC_GIA!$B:$B,0)),"")</f>
        <v/>
      </c>
      <c r="AE357" s="16"/>
      <c r="AF357" s="48"/>
      <c r="AG357" s="59" t="str">
        <f>IFERROR(INDEX(TINH_TP!$B:$B,MATCH(AF357,TINH_TP!$A:$A,0)),"")</f>
        <v/>
      </c>
      <c r="AH357" s="50"/>
      <c r="AI357" s="59" t="str">
        <f>IF(OR(AF357="",AH357=""),"",IF(COUNTIFS(PHUONG_XA!$A$2:$A$3323,AH357,PHUONG_XA!$C$2:$C$3323,AF357)=0,"",INDEX(PHUONG_XA!$B$2:$B$3323,SUMPRODUCT((PHUONG_XA!$A$2:$A$3323&amp;""=AH357&amp;"")*(PHUONG_XA!$C$2:$C$3323&amp;""=AF357&amp;"")*(ROW(PHUONG_XA!$A$2:$A$3323)-ROW(PHUONG_XA!$A$2)+1)))))</f>
        <v/>
      </c>
      <c r="AJ357" s="14"/>
      <c r="AK357" s="14"/>
      <c r="AL357" s="57" t="str">
        <f t="shared" si="6"/>
        <v/>
      </c>
      <c r="AM357" s="14"/>
      <c r="AN357" s="15"/>
      <c r="AO357" s="15"/>
      <c r="AP357" s="48"/>
      <c r="AQ357" s="15"/>
      <c r="AR357" s="15"/>
      <c r="AS357" s="15"/>
      <c r="AT357" s="60" t="str">
        <f>IF(ISNUMBER(MATCH(AU357,LOAI_THE!$B:$B,0)),INDEX(LOAI_THE!$A:$A,MATCH(AU357,LOAI_THE!$B:$B,0)),"")</f>
        <v/>
      </c>
      <c r="AU357" s="48"/>
      <c r="AV357" s="15"/>
      <c r="AW357" s="15"/>
      <c r="AX357" s="15"/>
      <c r="AY357" s="48"/>
    </row>
    <row r="358" spans="1:51" x14ac:dyDescent="0.3">
      <c r="A358" s="13" t="s">
        <v>729</v>
      </c>
      <c r="B358" s="48"/>
      <c r="C358" s="48"/>
      <c r="D358" s="48"/>
      <c r="E358" s="48"/>
      <c r="F358" s="48"/>
      <c r="G358" s="58" t="str">
        <f>IF(ISNUMBER(MATCH(H358,GIOI_TINH!$B:$B,0)),INDEX(GIOI_TINH!$A:$A,MATCH(H358,GIOI_TINH!$B:$B,0)),"")</f>
        <v/>
      </c>
      <c r="H358" s="15"/>
      <c r="I358" s="15"/>
      <c r="J358" s="58" t="str">
        <f>IF(ISNUMBER(MATCH(K358,QUOC_GIA!$B:$B,0)),INDEX(QUOC_GIA!$A:$A,MATCH(K358,QUOC_GIA!$B:$B,0)),"")</f>
        <v/>
      </c>
      <c r="K358" s="50"/>
      <c r="L358" s="15"/>
      <c r="M358" s="58" t="str">
        <f>IF(ISNUMBER(MATCH(N358,LOAI_THUE!$B:$B,0)),INDEX(LOAI_THUE!$A:$A,MATCH(N358,LOAI_THUE!$B:$B,0)),"")</f>
        <v/>
      </c>
      <c r="N358" s="50"/>
      <c r="O358" s="58" t="str">
        <f>IF(ISNUMBER(MATCH(P358,CHI_TIET_LOAI_KH!$B:$B,0)),INDEX(CHI_TIET_LOAI_KH!$A:$A,MATCH(P358,CHI_TIET_LOAI_KH!$B:$B,0)),"")</f>
        <v/>
      </c>
      <c r="P358" s="50"/>
      <c r="Q358" s="58" t="str">
        <f>IF(ISNUMBER(MATCH(R358,NGHE_NGHIEP!$B:$B,0)),INDEX(NGHE_NGHIEP!$A:$A,MATCH(R358,NGHE_NGHIEP!$B:$B,0)),"")</f>
        <v/>
      </c>
      <c r="R358" s="50"/>
      <c r="S358" s="58" t="str">
        <f>IF(ISNUMBER(MATCH(T358,LOAI_ID!$B:$B,0)),INDEX(LOAI_ID!$A:$A,MATCH(T358,LOAI_ID!$B:$B,0)),"")</f>
        <v/>
      </c>
      <c r="T358" s="16"/>
      <c r="U358" s="48"/>
      <c r="V358" s="48"/>
      <c r="W358" s="17"/>
      <c r="X358" s="17"/>
      <c r="Y358" s="15"/>
      <c r="Z358" s="15"/>
      <c r="AA358" s="59" t="str">
        <f>IFERROR(INDEX(NOI_CAP!$B:$B,MATCH(Z358,NOI_CAP!$A:$A,0)),"")</f>
        <v/>
      </c>
      <c r="AB358" s="58" t="str">
        <f>IF(ISNUMBER(MATCH(AC358,LOAI_DIA_CHI!$B:$B,0)),INDEX(LOAI_DIA_CHI!$A:$A,MATCH(AC358,LOAI_DIA_CHI!$B:$B,0)),"")</f>
        <v/>
      </c>
      <c r="AC358" s="16"/>
      <c r="AD358" s="58" t="str">
        <f>IF(ISNUMBER(MATCH(AE358,QUOC_GIA!$B:$B,0)),INDEX(QUOC_GIA!$A:$A,MATCH(AE358,QUOC_GIA!$B:$B,0)),"")</f>
        <v/>
      </c>
      <c r="AE358" s="16"/>
      <c r="AF358" s="48"/>
      <c r="AG358" s="59" t="str">
        <f>IFERROR(INDEX(TINH_TP!$B:$B,MATCH(AF358,TINH_TP!$A:$A,0)),"")</f>
        <v/>
      </c>
      <c r="AH358" s="50"/>
      <c r="AI358" s="59" t="str">
        <f>IF(OR(AF358="",AH358=""),"",IF(COUNTIFS(PHUONG_XA!$A$2:$A$3323,AH358,PHUONG_XA!$C$2:$C$3323,AF358)=0,"",INDEX(PHUONG_XA!$B$2:$B$3323,SUMPRODUCT((PHUONG_XA!$A$2:$A$3323&amp;""=AH358&amp;"")*(PHUONG_XA!$C$2:$C$3323&amp;""=AF358&amp;"")*(ROW(PHUONG_XA!$A$2:$A$3323)-ROW(PHUONG_XA!$A$2)+1)))))</f>
        <v/>
      </c>
      <c r="AJ358" s="14"/>
      <c r="AK358" s="14"/>
      <c r="AL358" s="57" t="str">
        <f t="shared" si="6"/>
        <v/>
      </c>
      <c r="AM358" s="14"/>
      <c r="AN358" s="15"/>
      <c r="AO358" s="15"/>
      <c r="AP358" s="48"/>
      <c r="AQ358" s="15"/>
      <c r="AR358" s="15"/>
      <c r="AS358" s="15"/>
      <c r="AT358" s="60" t="str">
        <f>IF(ISNUMBER(MATCH(AU358,LOAI_THE!$B:$B,0)),INDEX(LOAI_THE!$A:$A,MATCH(AU358,LOAI_THE!$B:$B,0)),"")</f>
        <v/>
      </c>
      <c r="AU358" s="48"/>
      <c r="AV358" s="15"/>
      <c r="AW358" s="15"/>
      <c r="AX358" s="15"/>
      <c r="AY358" s="48"/>
    </row>
    <row r="359" spans="1:51" x14ac:dyDescent="0.3">
      <c r="A359" s="13" t="s">
        <v>731</v>
      </c>
      <c r="B359" s="48"/>
      <c r="C359" s="48"/>
      <c r="D359" s="48"/>
      <c r="E359" s="48"/>
      <c r="F359" s="48"/>
      <c r="G359" s="58" t="str">
        <f>IF(ISNUMBER(MATCH(H359,GIOI_TINH!$B:$B,0)),INDEX(GIOI_TINH!$A:$A,MATCH(H359,GIOI_TINH!$B:$B,0)),"")</f>
        <v/>
      </c>
      <c r="H359" s="15"/>
      <c r="I359" s="15"/>
      <c r="J359" s="58" t="str">
        <f>IF(ISNUMBER(MATCH(K359,QUOC_GIA!$B:$B,0)),INDEX(QUOC_GIA!$A:$A,MATCH(K359,QUOC_GIA!$B:$B,0)),"")</f>
        <v/>
      </c>
      <c r="K359" s="50"/>
      <c r="L359" s="15"/>
      <c r="M359" s="58" t="str">
        <f>IF(ISNUMBER(MATCH(N359,LOAI_THUE!$B:$B,0)),INDEX(LOAI_THUE!$A:$A,MATCH(N359,LOAI_THUE!$B:$B,0)),"")</f>
        <v/>
      </c>
      <c r="N359" s="50"/>
      <c r="O359" s="58" t="str">
        <f>IF(ISNUMBER(MATCH(P359,CHI_TIET_LOAI_KH!$B:$B,0)),INDEX(CHI_TIET_LOAI_KH!$A:$A,MATCH(P359,CHI_TIET_LOAI_KH!$B:$B,0)),"")</f>
        <v/>
      </c>
      <c r="P359" s="50"/>
      <c r="Q359" s="58" t="str">
        <f>IF(ISNUMBER(MATCH(R359,NGHE_NGHIEP!$B:$B,0)),INDEX(NGHE_NGHIEP!$A:$A,MATCH(R359,NGHE_NGHIEP!$B:$B,0)),"")</f>
        <v/>
      </c>
      <c r="R359" s="50"/>
      <c r="S359" s="58" t="str">
        <f>IF(ISNUMBER(MATCH(T359,LOAI_ID!$B:$B,0)),INDEX(LOAI_ID!$A:$A,MATCH(T359,LOAI_ID!$B:$B,0)),"")</f>
        <v/>
      </c>
      <c r="T359" s="16"/>
      <c r="U359" s="48"/>
      <c r="V359" s="48"/>
      <c r="W359" s="17"/>
      <c r="X359" s="17"/>
      <c r="Y359" s="15"/>
      <c r="Z359" s="15"/>
      <c r="AA359" s="59" t="str">
        <f>IFERROR(INDEX(NOI_CAP!$B:$B,MATCH(Z359,NOI_CAP!$A:$A,0)),"")</f>
        <v/>
      </c>
      <c r="AB359" s="58" t="str">
        <f>IF(ISNUMBER(MATCH(AC359,LOAI_DIA_CHI!$B:$B,0)),INDEX(LOAI_DIA_CHI!$A:$A,MATCH(AC359,LOAI_DIA_CHI!$B:$B,0)),"")</f>
        <v/>
      </c>
      <c r="AC359" s="16"/>
      <c r="AD359" s="58" t="str">
        <f>IF(ISNUMBER(MATCH(AE359,QUOC_GIA!$B:$B,0)),INDEX(QUOC_GIA!$A:$A,MATCH(AE359,QUOC_GIA!$B:$B,0)),"")</f>
        <v/>
      </c>
      <c r="AE359" s="16"/>
      <c r="AF359" s="48"/>
      <c r="AG359" s="59" t="str">
        <f>IFERROR(INDEX(TINH_TP!$B:$B,MATCH(AF359,TINH_TP!$A:$A,0)),"")</f>
        <v/>
      </c>
      <c r="AH359" s="50"/>
      <c r="AI359" s="59" t="str">
        <f>IF(OR(AF359="",AH359=""),"",IF(COUNTIFS(PHUONG_XA!$A$2:$A$3323,AH359,PHUONG_XA!$C$2:$C$3323,AF359)=0,"",INDEX(PHUONG_XA!$B$2:$B$3323,SUMPRODUCT((PHUONG_XA!$A$2:$A$3323&amp;""=AH359&amp;"")*(PHUONG_XA!$C$2:$C$3323&amp;""=AF359&amp;"")*(ROW(PHUONG_XA!$A$2:$A$3323)-ROW(PHUONG_XA!$A$2)+1)))))</f>
        <v/>
      </c>
      <c r="AJ359" s="14"/>
      <c r="AK359" s="14"/>
      <c r="AL359" s="57" t="str">
        <f t="shared" si="6"/>
        <v/>
      </c>
      <c r="AM359" s="14"/>
      <c r="AN359" s="15"/>
      <c r="AO359" s="15"/>
      <c r="AP359" s="48"/>
      <c r="AQ359" s="15"/>
      <c r="AR359" s="15"/>
      <c r="AS359" s="15"/>
      <c r="AT359" s="60" t="str">
        <f>IF(ISNUMBER(MATCH(AU359,LOAI_THE!$B:$B,0)),INDEX(LOAI_THE!$A:$A,MATCH(AU359,LOAI_THE!$B:$B,0)),"")</f>
        <v/>
      </c>
      <c r="AU359" s="48"/>
      <c r="AV359" s="15"/>
      <c r="AW359" s="15"/>
      <c r="AX359" s="15"/>
      <c r="AY359" s="48"/>
    </row>
    <row r="360" spans="1:51" x14ac:dyDescent="0.3">
      <c r="A360" s="13" t="s">
        <v>733</v>
      </c>
      <c r="B360" s="48"/>
      <c r="C360" s="48"/>
      <c r="D360" s="48"/>
      <c r="E360" s="48"/>
      <c r="F360" s="48"/>
      <c r="G360" s="58" t="str">
        <f>IF(ISNUMBER(MATCH(H360,GIOI_TINH!$B:$B,0)),INDEX(GIOI_TINH!$A:$A,MATCH(H360,GIOI_TINH!$B:$B,0)),"")</f>
        <v/>
      </c>
      <c r="H360" s="15"/>
      <c r="I360" s="15"/>
      <c r="J360" s="58" t="str">
        <f>IF(ISNUMBER(MATCH(K360,QUOC_GIA!$B:$B,0)),INDEX(QUOC_GIA!$A:$A,MATCH(K360,QUOC_GIA!$B:$B,0)),"")</f>
        <v/>
      </c>
      <c r="K360" s="50"/>
      <c r="L360" s="15"/>
      <c r="M360" s="58" t="str">
        <f>IF(ISNUMBER(MATCH(N360,LOAI_THUE!$B:$B,0)),INDEX(LOAI_THUE!$A:$A,MATCH(N360,LOAI_THUE!$B:$B,0)),"")</f>
        <v/>
      </c>
      <c r="N360" s="50"/>
      <c r="O360" s="58" t="str">
        <f>IF(ISNUMBER(MATCH(P360,CHI_TIET_LOAI_KH!$B:$B,0)),INDEX(CHI_TIET_LOAI_KH!$A:$A,MATCH(P360,CHI_TIET_LOAI_KH!$B:$B,0)),"")</f>
        <v/>
      </c>
      <c r="P360" s="50"/>
      <c r="Q360" s="58" t="str">
        <f>IF(ISNUMBER(MATCH(R360,NGHE_NGHIEP!$B:$B,0)),INDEX(NGHE_NGHIEP!$A:$A,MATCH(R360,NGHE_NGHIEP!$B:$B,0)),"")</f>
        <v/>
      </c>
      <c r="R360" s="50"/>
      <c r="S360" s="58" t="str">
        <f>IF(ISNUMBER(MATCH(T360,LOAI_ID!$B:$B,0)),INDEX(LOAI_ID!$A:$A,MATCH(T360,LOAI_ID!$B:$B,0)),"")</f>
        <v/>
      </c>
      <c r="T360" s="16"/>
      <c r="U360" s="48"/>
      <c r="V360" s="48"/>
      <c r="W360" s="17"/>
      <c r="X360" s="17"/>
      <c r="Y360" s="15"/>
      <c r="Z360" s="15"/>
      <c r="AA360" s="59" t="str">
        <f>IFERROR(INDEX(NOI_CAP!$B:$B,MATCH(Z360,NOI_CAP!$A:$A,0)),"")</f>
        <v/>
      </c>
      <c r="AB360" s="58" t="str">
        <f>IF(ISNUMBER(MATCH(AC360,LOAI_DIA_CHI!$B:$B,0)),INDEX(LOAI_DIA_CHI!$A:$A,MATCH(AC360,LOAI_DIA_CHI!$B:$B,0)),"")</f>
        <v/>
      </c>
      <c r="AC360" s="16"/>
      <c r="AD360" s="58" t="str">
        <f>IF(ISNUMBER(MATCH(AE360,QUOC_GIA!$B:$B,0)),INDEX(QUOC_GIA!$A:$A,MATCH(AE360,QUOC_GIA!$B:$B,0)),"")</f>
        <v/>
      </c>
      <c r="AE360" s="16"/>
      <c r="AF360" s="48"/>
      <c r="AG360" s="59" t="str">
        <f>IFERROR(INDEX(TINH_TP!$B:$B,MATCH(AF360,TINH_TP!$A:$A,0)),"")</f>
        <v/>
      </c>
      <c r="AH360" s="50"/>
      <c r="AI360" s="59" t="str">
        <f>IF(OR(AF360="",AH360=""),"",IF(COUNTIFS(PHUONG_XA!$A$2:$A$3323,AH360,PHUONG_XA!$C$2:$C$3323,AF360)=0,"",INDEX(PHUONG_XA!$B$2:$B$3323,SUMPRODUCT((PHUONG_XA!$A$2:$A$3323&amp;""=AH360&amp;"")*(PHUONG_XA!$C$2:$C$3323&amp;""=AF360&amp;"")*(ROW(PHUONG_XA!$A$2:$A$3323)-ROW(PHUONG_XA!$A$2)+1)))))</f>
        <v/>
      </c>
      <c r="AJ360" s="14"/>
      <c r="AK360" s="14"/>
      <c r="AL360" s="57" t="str">
        <f t="shared" si="6"/>
        <v/>
      </c>
      <c r="AM360" s="14"/>
      <c r="AN360" s="15"/>
      <c r="AO360" s="15"/>
      <c r="AP360" s="48"/>
      <c r="AQ360" s="15"/>
      <c r="AR360" s="15"/>
      <c r="AS360" s="15"/>
      <c r="AT360" s="60" t="str">
        <f>IF(ISNUMBER(MATCH(AU360,LOAI_THE!$B:$B,0)),INDEX(LOAI_THE!$A:$A,MATCH(AU360,LOAI_THE!$B:$B,0)),"")</f>
        <v/>
      </c>
      <c r="AU360" s="48"/>
      <c r="AV360" s="15"/>
      <c r="AW360" s="15"/>
      <c r="AX360" s="15"/>
      <c r="AY360" s="48"/>
    </row>
    <row r="361" spans="1:51" x14ac:dyDescent="0.3">
      <c r="A361" s="13" t="s">
        <v>735</v>
      </c>
      <c r="B361" s="48"/>
      <c r="C361" s="48"/>
      <c r="D361" s="48"/>
      <c r="E361" s="48"/>
      <c r="F361" s="48"/>
      <c r="G361" s="58" t="str">
        <f>IF(ISNUMBER(MATCH(H361,GIOI_TINH!$B:$B,0)),INDEX(GIOI_TINH!$A:$A,MATCH(H361,GIOI_TINH!$B:$B,0)),"")</f>
        <v/>
      </c>
      <c r="H361" s="15"/>
      <c r="I361" s="15"/>
      <c r="J361" s="58" t="str">
        <f>IF(ISNUMBER(MATCH(K361,QUOC_GIA!$B:$B,0)),INDEX(QUOC_GIA!$A:$A,MATCH(K361,QUOC_GIA!$B:$B,0)),"")</f>
        <v/>
      </c>
      <c r="K361" s="50"/>
      <c r="L361" s="15"/>
      <c r="M361" s="58" t="str">
        <f>IF(ISNUMBER(MATCH(N361,LOAI_THUE!$B:$B,0)),INDEX(LOAI_THUE!$A:$A,MATCH(N361,LOAI_THUE!$B:$B,0)),"")</f>
        <v/>
      </c>
      <c r="N361" s="50"/>
      <c r="O361" s="58" t="str">
        <f>IF(ISNUMBER(MATCH(P361,CHI_TIET_LOAI_KH!$B:$B,0)),INDEX(CHI_TIET_LOAI_KH!$A:$A,MATCH(P361,CHI_TIET_LOAI_KH!$B:$B,0)),"")</f>
        <v/>
      </c>
      <c r="P361" s="50"/>
      <c r="Q361" s="58" t="str">
        <f>IF(ISNUMBER(MATCH(R361,NGHE_NGHIEP!$B:$B,0)),INDEX(NGHE_NGHIEP!$A:$A,MATCH(R361,NGHE_NGHIEP!$B:$B,0)),"")</f>
        <v/>
      </c>
      <c r="R361" s="50"/>
      <c r="S361" s="58" t="str">
        <f>IF(ISNUMBER(MATCH(T361,LOAI_ID!$B:$B,0)),INDEX(LOAI_ID!$A:$A,MATCH(T361,LOAI_ID!$B:$B,0)),"")</f>
        <v/>
      </c>
      <c r="T361" s="16"/>
      <c r="U361" s="48"/>
      <c r="V361" s="48"/>
      <c r="W361" s="17"/>
      <c r="X361" s="17"/>
      <c r="Y361" s="15"/>
      <c r="Z361" s="15"/>
      <c r="AA361" s="59" t="str">
        <f>IFERROR(INDEX(NOI_CAP!$B:$B,MATCH(Z361,NOI_CAP!$A:$A,0)),"")</f>
        <v/>
      </c>
      <c r="AB361" s="58" t="str">
        <f>IF(ISNUMBER(MATCH(AC361,LOAI_DIA_CHI!$B:$B,0)),INDEX(LOAI_DIA_CHI!$A:$A,MATCH(AC361,LOAI_DIA_CHI!$B:$B,0)),"")</f>
        <v/>
      </c>
      <c r="AC361" s="16"/>
      <c r="AD361" s="58" t="str">
        <f>IF(ISNUMBER(MATCH(AE361,QUOC_GIA!$B:$B,0)),INDEX(QUOC_GIA!$A:$A,MATCH(AE361,QUOC_GIA!$B:$B,0)),"")</f>
        <v/>
      </c>
      <c r="AE361" s="16"/>
      <c r="AF361" s="48"/>
      <c r="AG361" s="59" t="str">
        <f>IFERROR(INDEX(TINH_TP!$B:$B,MATCH(AF361,TINH_TP!$A:$A,0)),"")</f>
        <v/>
      </c>
      <c r="AH361" s="50"/>
      <c r="AI361" s="59" t="str">
        <f>IF(OR(AF361="",AH361=""),"",IF(COUNTIFS(PHUONG_XA!$A$2:$A$3323,AH361,PHUONG_XA!$C$2:$C$3323,AF361)=0,"",INDEX(PHUONG_XA!$B$2:$B$3323,SUMPRODUCT((PHUONG_XA!$A$2:$A$3323&amp;""=AH361&amp;"")*(PHUONG_XA!$C$2:$C$3323&amp;""=AF361&amp;"")*(ROW(PHUONG_XA!$A$2:$A$3323)-ROW(PHUONG_XA!$A$2)+1)))))</f>
        <v/>
      </c>
      <c r="AJ361" s="14"/>
      <c r="AK361" s="14"/>
      <c r="AL361" s="57" t="str">
        <f t="shared" si="6"/>
        <v/>
      </c>
      <c r="AM361" s="14"/>
      <c r="AN361" s="15"/>
      <c r="AO361" s="15"/>
      <c r="AP361" s="48"/>
      <c r="AQ361" s="15"/>
      <c r="AR361" s="15"/>
      <c r="AS361" s="15"/>
      <c r="AT361" s="60" t="str">
        <f>IF(ISNUMBER(MATCH(AU361,LOAI_THE!$B:$B,0)),INDEX(LOAI_THE!$A:$A,MATCH(AU361,LOAI_THE!$B:$B,0)),"")</f>
        <v/>
      </c>
      <c r="AU361" s="48"/>
      <c r="AV361" s="15"/>
      <c r="AW361" s="15"/>
      <c r="AX361" s="15"/>
      <c r="AY361" s="48"/>
    </row>
    <row r="362" spans="1:51" x14ac:dyDescent="0.3">
      <c r="A362" s="13" t="s">
        <v>737</v>
      </c>
      <c r="B362" s="48"/>
      <c r="C362" s="48"/>
      <c r="D362" s="48"/>
      <c r="E362" s="48"/>
      <c r="F362" s="48"/>
      <c r="G362" s="58" t="str">
        <f>IF(ISNUMBER(MATCH(H362,GIOI_TINH!$B:$B,0)),INDEX(GIOI_TINH!$A:$A,MATCH(H362,GIOI_TINH!$B:$B,0)),"")</f>
        <v/>
      </c>
      <c r="H362" s="15"/>
      <c r="I362" s="15"/>
      <c r="J362" s="58" t="str">
        <f>IF(ISNUMBER(MATCH(K362,QUOC_GIA!$B:$B,0)),INDEX(QUOC_GIA!$A:$A,MATCH(K362,QUOC_GIA!$B:$B,0)),"")</f>
        <v/>
      </c>
      <c r="K362" s="50"/>
      <c r="L362" s="15"/>
      <c r="M362" s="58" t="str">
        <f>IF(ISNUMBER(MATCH(N362,LOAI_THUE!$B:$B,0)),INDEX(LOAI_THUE!$A:$A,MATCH(N362,LOAI_THUE!$B:$B,0)),"")</f>
        <v/>
      </c>
      <c r="N362" s="50"/>
      <c r="O362" s="58" t="str">
        <f>IF(ISNUMBER(MATCH(P362,CHI_TIET_LOAI_KH!$B:$B,0)),INDEX(CHI_TIET_LOAI_KH!$A:$A,MATCH(P362,CHI_TIET_LOAI_KH!$B:$B,0)),"")</f>
        <v/>
      </c>
      <c r="P362" s="50"/>
      <c r="Q362" s="58" t="str">
        <f>IF(ISNUMBER(MATCH(R362,NGHE_NGHIEP!$B:$B,0)),INDEX(NGHE_NGHIEP!$A:$A,MATCH(R362,NGHE_NGHIEP!$B:$B,0)),"")</f>
        <v/>
      </c>
      <c r="R362" s="50"/>
      <c r="S362" s="58" t="str">
        <f>IF(ISNUMBER(MATCH(T362,LOAI_ID!$B:$B,0)),INDEX(LOAI_ID!$A:$A,MATCH(T362,LOAI_ID!$B:$B,0)),"")</f>
        <v/>
      </c>
      <c r="T362" s="16"/>
      <c r="U362" s="48"/>
      <c r="V362" s="48"/>
      <c r="W362" s="17"/>
      <c r="X362" s="17"/>
      <c r="Y362" s="15"/>
      <c r="Z362" s="15"/>
      <c r="AA362" s="59" t="str">
        <f>IFERROR(INDEX(NOI_CAP!$B:$B,MATCH(Z362,NOI_CAP!$A:$A,0)),"")</f>
        <v/>
      </c>
      <c r="AB362" s="58" t="str">
        <f>IF(ISNUMBER(MATCH(AC362,LOAI_DIA_CHI!$B:$B,0)),INDEX(LOAI_DIA_CHI!$A:$A,MATCH(AC362,LOAI_DIA_CHI!$B:$B,0)),"")</f>
        <v/>
      </c>
      <c r="AC362" s="16"/>
      <c r="AD362" s="58" t="str">
        <f>IF(ISNUMBER(MATCH(AE362,QUOC_GIA!$B:$B,0)),INDEX(QUOC_GIA!$A:$A,MATCH(AE362,QUOC_GIA!$B:$B,0)),"")</f>
        <v/>
      </c>
      <c r="AE362" s="16"/>
      <c r="AF362" s="48"/>
      <c r="AG362" s="59" t="str">
        <f>IFERROR(INDEX(TINH_TP!$B:$B,MATCH(AF362,TINH_TP!$A:$A,0)),"")</f>
        <v/>
      </c>
      <c r="AH362" s="50"/>
      <c r="AI362" s="59" t="str">
        <f>IF(OR(AF362="",AH362=""),"",IF(COUNTIFS(PHUONG_XA!$A$2:$A$3323,AH362,PHUONG_XA!$C$2:$C$3323,AF362)=0,"",INDEX(PHUONG_XA!$B$2:$B$3323,SUMPRODUCT((PHUONG_XA!$A$2:$A$3323&amp;""=AH362&amp;"")*(PHUONG_XA!$C$2:$C$3323&amp;""=AF362&amp;"")*(ROW(PHUONG_XA!$A$2:$A$3323)-ROW(PHUONG_XA!$A$2)+1)))))</f>
        <v/>
      </c>
      <c r="AJ362" s="14"/>
      <c r="AK362" s="14"/>
      <c r="AL362" s="57" t="str">
        <f t="shared" si="6"/>
        <v/>
      </c>
      <c r="AM362" s="14"/>
      <c r="AN362" s="15"/>
      <c r="AO362" s="15"/>
      <c r="AP362" s="48"/>
      <c r="AQ362" s="15"/>
      <c r="AR362" s="15"/>
      <c r="AS362" s="15"/>
      <c r="AT362" s="60" t="str">
        <f>IF(ISNUMBER(MATCH(AU362,LOAI_THE!$B:$B,0)),INDEX(LOAI_THE!$A:$A,MATCH(AU362,LOAI_THE!$B:$B,0)),"")</f>
        <v/>
      </c>
      <c r="AU362" s="48"/>
      <c r="AV362" s="15"/>
      <c r="AW362" s="15"/>
      <c r="AX362" s="15"/>
      <c r="AY362" s="48"/>
    </row>
    <row r="363" spans="1:51" x14ac:dyDescent="0.3">
      <c r="A363" s="13" t="s">
        <v>739</v>
      </c>
      <c r="B363" s="48"/>
      <c r="C363" s="48"/>
      <c r="D363" s="48"/>
      <c r="E363" s="48"/>
      <c r="F363" s="48"/>
      <c r="G363" s="58" t="str">
        <f>IF(ISNUMBER(MATCH(H363,GIOI_TINH!$B:$B,0)),INDEX(GIOI_TINH!$A:$A,MATCH(H363,GIOI_TINH!$B:$B,0)),"")</f>
        <v/>
      </c>
      <c r="H363" s="15"/>
      <c r="I363" s="15"/>
      <c r="J363" s="58" t="str">
        <f>IF(ISNUMBER(MATCH(K363,QUOC_GIA!$B:$B,0)),INDEX(QUOC_GIA!$A:$A,MATCH(K363,QUOC_GIA!$B:$B,0)),"")</f>
        <v/>
      </c>
      <c r="K363" s="50"/>
      <c r="L363" s="15"/>
      <c r="M363" s="58" t="str">
        <f>IF(ISNUMBER(MATCH(N363,LOAI_THUE!$B:$B,0)),INDEX(LOAI_THUE!$A:$A,MATCH(N363,LOAI_THUE!$B:$B,0)),"")</f>
        <v/>
      </c>
      <c r="N363" s="50"/>
      <c r="O363" s="58" t="str">
        <f>IF(ISNUMBER(MATCH(P363,CHI_TIET_LOAI_KH!$B:$B,0)),INDEX(CHI_TIET_LOAI_KH!$A:$A,MATCH(P363,CHI_TIET_LOAI_KH!$B:$B,0)),"")</f>
        <v/>
      </c>
      <c r="P363" s="50"/>
      <c r="Q363" s="58" t="str">
        <f>IF(ISNUMBER(MATCH(R363,NGHE_NGHIEP!$B:$B,0)),INDEX(NGHE_NGHIEP!$A:$A,MATCH(R363,NGHE_NGHIEP!$B:$B,0)),"")</f>
        <v/>
      </c>
      <c r="R363" s="50"/>
      <c r="S363" s="58" t="str">
        <f>IF(ISNUMBER(MATCH(T363,LOAI_ID!$B:$B,0)),INDEX(LOAI_ID!$A:$A,MATCH(T363,LOAI_ID!$B:$B,0)),"")</f>
        <v/>
      </c>
      <c r="T363" s="16"/>
      <c r="U363" s="48"/>
      <c r="V363" s="48"/>
      <c r="W363" s="17"/>
      <c r="X363" s="17"/>
      <c r="Y363" s="15"/>
      <c r="Z363" s="15"/>
      <c r="AA363" s="59" t="str">
        <f>IFERROR(INDEX(NOI_CAP!$B:$B,MATCH(Z363,NOI_CAP!$A:$A,0)),"")</f>
        <v/>
      </c>
      <c r="AB363" s="58" t="str">
        <f>IF(ISNUMBER(MATCH(AC363,LOAI_DIA_CHI!$B:$B,0)),INDEX(LOAI_DIA_CHI!$A:$A,MATCH(AC363,LOAI_DIA_CHI!$B:$B,0)),"")</f>
        <v/>
      </c>
      <c r="AC363" s="16"/>
      <c r="AD363" s="58" t="str">
        <f>IF(ISNUMBER(MATCH(AE363,QUOC_GIA!$B:$B,0)),INDEX(QUOC_GIA!$A:$A,MATCH(AE363,QUOC_GIA!$B:$B,0)),"")</f>
        <v/>
      </c>
      <c r="AE363" s="16"/>
      <c r="AF363" s="48"/>
      <c r="AG363" s="59" t="str">
        <f>IFERROR(INDEX(TINH_TP!$B:$B,MATCH(AF363,TINH_TP!$A:$A,0)),"")</f>
        <v/>
      </c>
      <c r="AH363" s="50"/>
      <c r="AI363" s="59" t="str">
        <f>IF(OR(AF363="",AH363=""),"",IF(COUNTIFS(PHUONG_XA!$A$2:$A$3323,AH363,PHUONG_XA!$C$2:$C$3323,AF363)=0,"",INDEX(PHUONG_XA!$B$2:$B$3323,SUMPRODUCT((PHUONG_XA!$A$2:$A$3323&amp;""=AH363&amp;"")*(PHUONG_XA!$C$2:$C$3323&amp;""=AF363&amp;"")*(ROW(PHUONG_XA!$A$2:$A$3323)-ROW(PHUONG_XA!$A$2)+1)))))</f>
        <v/>
      </c>
      <c r="AJ363" s="14"/>
      <c r="AK363" s="14"/>
      <c r="AL363" s="57" t="str">
        <f t="shared" si="6"/>
        <v/>
      </c>
      <c r="AM363" s="14"/>
      <c r="AN363" s="15"/>
      <c r="AO363" s="15"/>
      <c r="AP363" s="48"/>
      <c r="AQ363" s="15"/>
      <c r="AR363" s="15"/>
      <c r="AS363" s="15"/>
      <c r="AT363" s="60" t="str">
        <f>IF(ISNUMBER(MATCH(AU363,LOAI_THE!$B:$B,0)),INDEX(LOAI_THE!$A:$A,MATCH(AU363,LOAI_THE!$B:$B,0)),"")</f>
        <v/>
      </c>
      <c r="AU363" s="48"/>
      <c r="AV363" s="15"/>
      <c r="AW363" s="15"/>
      <c r="AX363" s="15"/>
      <c r="AY363" s="48"/>
    </row>
    <row r="364" spans="1:51" x14ac:dyDescent="0.3">
      <c r="A364" s="13" t="s">
        <v>741</v>
      </c>
      <c r="B364" s="48"/>
      <c r="C364" s="48"/>
      <c r="D364" s="48"/>
      <c r="E364" s="48"/>
      <c r="F364" s="48"/>
      <c r="G364" s="58" t="str">
        <f>IF(ISNUMBER(MATCH(H364,GIOI_TINH!$B:$B,0)),INDEX(GIOI_TINH!$A:$A,MATCH(H364,GIOI_TINH!$B:$B,0)),"")</f>
        <v/>
      </c>
      <c r="H364" s="15"/>
      <c r="I364" s="15"/>
      <c r="J364" s="58" t="str">
        <f>IF(ISNUMBER(MATCH(K364,QUOC_GIA!$B:$B,0)),INDEX(QUOC_GIA!$A:$A,MATCH(K364,QUOC_GIA!$B:$B,0)),"")</f>
        <v/>
      </c>
      <c r="K364" s="50"/>
      <c r="L364" s="15"/>
      <c r="M364" s="58" t="str">
        <f>IF(ISNUMBER(MATCH(N364,LOAI_THUE!$B:$B,0)),INDEX(LOAI_THUE!$A:$A,MATCH(N364,LOAI_THUE!$B:$B,0)),"")</f>
        <v/>
      </c>
      <c r="N364" s="50"/>
      <c r="O364" s="58" t="str">
        <f>IF(ISNUMBER(MATCH(P364,CHI_TIET_LOAI_KH!$B:$B,0)),INDEX(CHI_TIET_LOAI_KH!$A:$A,MATCH(P364,CHI_TIET_LOAI_KH!$B:$B,0)),"")</f>
        <v/>
      </c>
      <c r="P364" s="50"/>
      <c r="Q364" s="58" t="str">
        <f>IF(ISNUMBER(MATCH(R364,NGHE_NGHIEP!$B:$B,0)),INDEX(NGHE_NGHIEP!$A:$A,MATCH(R364,NGHE_NGHIEP!$B:$B,0)),"")</f>
        <v/>
      </c>
      <c r="R364" s="50"/>
      <c r="S364" s="58" t="str">
        <f>IF(ISNUMBER(MATCH(T364,LOAI_ID!$B:$B,0)),INDEX(LOAI_ID!$A:$A,MATCH(T364,LOAI_ID!$B:$B,0)),"")</f>
        <v/>
      </c>
      <c r="T364" s="16"/>
      <c r="U364" s="48"/>
      <c r="V364" s="48"/>
      <c r="W364" s="17"/>
      <c r="X364" s="17"/>
      <c r="Y364" s="15"/>
      <c r="Z364" s="15"/>
      <c r="AA364" s="59" t="str">
        <f>IFERROR(INDEX(NOI_CAP!$B:$B,MATCH(Z364,NOI_CAP!$A:$A,0)),"")</f>
        <v/>
      </c>
      <c r="AB364" s="58" t="str">
        <f>IF(ISNUMBER(MATCH(AC364,LOAI_DIA_CHI!$B:$B,0)),INDEX(LOAI_DIA_CHI!$A:$A,MATCH(AC364,LOAI_DIA_CHI!$B:$B,0)),"")</f>
        <v/>
      </c>
      <c r="AC364" s="16"/>
      <c r="AD364" s="58" t="str">
        <f>IF(ISNUMBER(MATCH(AE364,QUOC_GIA!$B:$B,0)),INDEX(QUOC_GIA!$A:$A,MATCH(AE364,QUOC_GIA!$B:$B,0)),"")</f>
        <v/>
      </c>
      <c r="AE364" s="16"/>
      <c r="AF364" s="48"/>
      <c r="AG364" s="59" t="str">
        <f>IFERROR(INDEX(TINH_TP!$B:$B,MATCH(AF364,TINH_TP!$A:$A,0)),"")</f>
        <v/>
      </c>
      <c r="AH364" s="50"/>
      <c r="AI364" s="59" t="str">
        <f>IF(OR(AF364="",AH364=""),"",IF(COUNTIFS(PHUONG_XA!$A$2:$A$3323,AH364,PHUONG_XA!$C$2:$C$3323,AF364)=0,"",INDEX(PHUONG_XA!$B$2:$B$3323,SUMPRODUCT((PHUONG_XA!$A$2:$A$3323&amp;""=AH364&amp;"")*(PHUONG_XA!$C$2:$C$3323&amp;""=AF364&amp;"")*(ROW(PHUONG_XA!$A$2:$A$3323)-ROW(PHUONG_XA!$A$2)+1)))))</f>
        <v/>
      </c>
      <c r="AJ364" s="14"/>
      <c r="AK364" s="14"/>
      <c r="AL364" s="57" t="str">
        <f t="shared" si="6"/>
        <v/>
      </c>
      <c r="AM364" s="14"/>
      <c r="AN364" s="15"/>
      <c r="AO364" s="15"/>
      <c r="AP364" s="48"/>
      <c r="AQ364" s="15"/>
      <c r="AR364" s="15"/>
      <c r="AS364" s="15"/>
      <c r="AT364" s="60" t="str">
        <f>IF(ISNUMBER(MATCH(AU364,LOAI_THE!$B:$B,0)),INDEX(LOAI_THE!$A:$A,MATCH(AU364,LOAI_THE!$B:$B,0)),"")</f>
        <v/>
      </c>
      <c r="AU364" s="48"/>
      <c r="AV364" s="15"/>
      <c r="AW364" s="15"/>
      <c r="AX364" s="15"/>
      <c r="AY364" s="48"/>
    </row>
    <row r="365" spans="1:51" x14ac:dyDescent="0.3">
      <c r="A365" s="13" t="s">
        <v>743</v>
      </c>
      <c r="B365" s="48"/>
      <c r="C365" s="48"/>
      <c r="D365" s="48"/>
      <c r="E365" s="48"/>
      <c r="F365" s="48"/>
      <c r="G365" s="58" t="str">
        <f>IF(ISNUMBER(MATCH(H365,GIOI_TINH!$B:$B,0)),INDEX(GIOI_TINH!$A:$A,MATCH(H365,GIOI_TINH!$B:$B,0)),"")</f>
        <v/>
      </c>
      <c r="H365" s="15"/>
      <c r="I365" s="15"/>
      <c r="J365" s="58" t="str">
        <f>IF(ISNUMBER(MATCH(K365,QUOC_GIA!$B:$B,0)),INDEX(QUOC_GIA!$A:$A,MATCH(K365,QUOC_GIA!$B:$B,0)),"")</f>
        <v/>
      </c>
      <c r="K365" s="50"/>
      <c r="L365" s="15"/>
      <c r="M365" s="58" t="str">
        <f>IF(ISNUMBER(MATCH(N365,LOAI_THUE!$B:$B,0)),INDEX(LOAI_THUE!$A:$A,MATCH(N365,LOAI_THUE!$B:$B,0)),"")</f>
        <v/>
      </c>
      <c r="N365" s="50"/>
      <c r="O365" s="58" t="str">
        <f>IF(ISNUMBER(MATCH(P365,CHI_TIET_LOAI_KH!$B:$B,0)),INDEX(CHI_TIET_LOAI_KH!$A:$A,MATCH(P365,CHI_TIET_LOAI_KH!$B:$B,0)),"")</f>
        <v/>
      </c>
      <c r="P365" s="50"/>
      <c r="Q365" s="58" t="str">
        <f>IF(ISNUMBER(MATCH(R365,NGHE_NGHIEP!$B:$B,0)),INDEX(NGHE_NGHIEP!$A:$A,MATCH(R365,NGHE_NGHIEP!$B:$B,0)),"")</f>
        <v/>
      </c>
      <c r="R365" s="50"/>
      <c r="S365" s="58" t="str">
        <f>IF(ISNUMBER(MATCH(T365,LOAI_ID!$B:$B,0)),INDEX(LOAI_ID!$A:$A,MATCH(T365,LOAI_ID!$B:$B,0)),"")</f>
        <v/>
      </c>
      <c r="T365" s="16"/>
      <c r="U365" s="48"/>
      <c r="V365" s="48"/>
      <c r="W365" s="17"/>
      <c r="X365" s="17"/>
      <c r="Y365" s="15"/>
      <c r="Z365" s="15"/>
      <c r="AA365" s="59" t="str">
        <f>IFERROR(INDEX(NOI_CAP!$B:$B,MATCH(Z365,NOI_CAP!$A:$A,0)),"")</f>
        <v/>
      </c>
      <c r="AB365" s="58" t="str">
        <f>IF(ISNUMBER(MATCH(AC365,LOAI_DIA_CHI!$B:$B,0)),INDEX(LOAI_DIA_CHI!$A:$A,MATCH(AC365,LOAI_DIA_CHI!$B:$B,0)),"")</f>
        <v/>
      </c>
      <c r="AC365" s="16"/>
      <c r="AD365" s="58" t="str">
        <f>IF(ISNUMBER(MATCH(AE365,QUOC_GIA!$B:$B,0)),INDEX(QUOC_GIA!$A:$A,MATCH(AE365,QUOC_GIA!$B:$B,0)),"")</f>
        <v/>
      </c>
      <c r="AE365" s="16"/>
      <c r="AF365" s="48"/>
      <c r="AG365" s="59" t="str">
        <f>IFERROR(INDEX(TINH_TP!$B:$B,MATCH(AF365,TINH_TP!$A:$A,0)),"")</f>
        <v/>
      </c>
      <c r="AH365" s="50"/>
      <c r="AI365" s="59" t="str">
        <f>IF(OR(AF365="",AH365=""),"",IF(COUNTIFS(PHUONG_XA!$A$2:$A$3323,AH365,PHUONG_XA!$C$2:$C$3323,AF365)=0,"",INDEX(PHUONG_XA!$B$2:$B$3323,SUMPRODUCT((PHUONG_XA!$A$2:$A$3323&amp;""=AH365&amp;"")*(PHUONG_XA!$C$2:$C$3323&amp;""=AF365&amp;"")*(ROW(PHUONG_XA!$A$2:$A$3323)-ROW(PHUONG_XA!$A$2)+1)))))</f>
        <v/>
      </c>
      <c r="AJ365" s="14"/>
      <c r="AK365" s="14"/>
      <c r="AL365" s="57" t="str">
        <f t="shared" si="6"/>
        <v/>
      </c>
      <c r="AM365" s="14"/>
      <c r="AN365" s="15"/>
      <c r="AO365" s="15"/>
      <c r="AP365" s="48"/>
      <c r="AQ365" s="15"/>
      <c r="AR365" s="15"/>
      <c r="AS365" s="15"/>
      <c r="AT365" s="60" t="str">
        <f>IF(ISNUMBER(MATCH(AU365,LOAI_THE!$B:$B,0)),INDEX(LOAI_THE!$A:$A,MATCH(AU365,LOAI_THE!$B:$B,0)),"")</f>
        <v/>
      </c>
      <c r="AU365" s="48"/>
      <c r="AV365" s="15"/>
      <c r="AW365" s="15"/>
      <c r="AX365" s="15"/>
      <c r="AY365" s="48"/>
    </row>
    <row r="366" spans="1:51" x14ac:dyDescent="0.3">
      <c r="A366" s="13" t="s">
        <v>744</v>
      </c>
      <c r="B366" s="48"/>
      <c r="C366" s="48"/>
      <c r="D366" s="48"/>
      <c r="E366" s="48"/>
      <c r="F366" s="48"/>
      <c r="G366" s="58" t="str">
        <f>IF(ISNUMBER(MATCH(H366,GIOI_TINH!$B:$B,0)),INDEX(GIOI_TINH!$A:$A,MATCH(H366,GIOI_TINH!$B:$B,0)),"")</f>
        <v/>
      </c>
      <c r="H366" s="15"/>
      <c r="I366" s="15"/>
      <c r="J366" s="58" t="str">
        <f>IF(ISNUMBER(MATCH(K366,QUOC_GIA!$B:$B,0)),INDEX(QUOC_GIA!$A:$A,MATCH(K366,QUOC_GIA!$B:$B,0)),"")</f>
        <v/>
      </c>
      <c r="K366" s="50"/>
      <c r="L366" s="15"/>
      <c r="M366" s="58" t="str">
        <f>IF(ISNUMBER(MATCH(N366,LOAI_THUE!$B:$B,0)),INDEX(LOAI_THUE!$A:$A,MATCH(N366,LOAI_THUE!$B:$B,0)),"")</f>
        <v/>
      </c>
      <c r="N366" s="50"/>
      <c r="O366" s="58" t="str">
        <f>IF(ISNUMBER(MATCH(P366,CHI_TIET_LOAI_KH!$B:$B,0)),INDEX(CHI_TIET_LOAI_KH!$A:$A,MATCH(P366,CHI_TIET_LOAI_KH!$B:$B,0)),"")</f>
        <v/>
      </c>
      <c r="P366" s="50"/>
      <c r="Q366" s="58" t="str">
        <f>IF(ISNUMBER(MATCH(R366,NGHE_NGHIEP!$B:$B,0)),INDEX(NGHE_NGHIEP!$A:$A,MATCH(R366,NGHE_NGHIEP!$B:$B,0)),"")</f>
        <v/>
      </c>
      <c r="R366" s="50"/>
      <c r="S366" s="58" t="str">
        <f>IF(ISNUMBER(MATCH(T366,LOAI_ID!$B:$B,0)),INDEX(LOAI_ID!$A:$A,MATCH(T366,LOAI_ID!$B:$B,0)),"")</f>
        <v/>
      </c>
      <c r="T366" s="16"/>
      <c r="U366" s="48"/>
      <c r="V366" s="48"/>
      <c r="W366" s="17"/>
      <c r="X366" s="17"/>
      <c r="Y366" s="15"/>
      <c r="Z366" s="15"/>
      <c r="AA366" s="59" t="str">
        <f>IFERROR(INDEX(NOI_CAP!$B:$B,MATCH(Z366,NOI_CAP!$A:$A,0)),"")</f>
        <v/>
      </c>
      <c r="AB366" s="58" t="str">
        <f>IF(ISNUMBER(MATCH(AC366,LOAI_DIA_CHI!$B:$B,0)),INDEX(LOAI_DIA_CHI!$A:$A,MATCH(AC366,LOAI_DIA_CHI!$B:$B,0)),"")</f>
        <v/>
      </c>
      <c r="AC366" s="16"/>
      <c r="AD366" s="58" t="str">
        <f>IF(ISNUMBER(MATCH(AE366,QUOC_GIA!$B:$B,0)),INDEX(QUOC_GIA!$A:$A,MATCH(AE366,QUOC_GIA!$B:$B,0)),"")</f>
        <v/>
      </c>
      <c r="AE366" s="16"/>
      <c r="AF366" s="48"/>
      <c r="AG366" s="59" t="str">
        <f>IFERROR(INDEX(TINH_TP!$B:$B,MATCH(AF366,TINH_TP!$A:$A,0)),"")</f>
        <v/>
      </c>
      <c r="AH366" s="50"/>
      <c r="AI366" s="59" t="str">
        <f>IF(OR(AF366="",AH366=""),"",IF(COUNTIFS(PHUONG_XA!$A$2:$A$3323,AH366,PHUONG_XA!$C$2:$C$3323,AF366)=0,"",INDEX(PHUONG_XA!$B$2:$B$3323,SUMPRODUCT((PHUONG_XA!$A$2:$A$3323&amp;""=AH366&amp;"")*(PHUONG_XA!$C$2:$C$3323&amp;""=AF366&amp;"")*(ROW(PHUONG_XA!$A$2:$A$3323)-ROW(PHUONG_XA!$A$2)+1)))))</f>
        <v/>
      </c>
      <c r="AJ366" s="14"/>
      <c r="AK366" s="14"/>
      <c r="AL366" s="57" t="str">
        <f t="shared" si="6"/>
        <v/>
      </c>
      <c r="AM366" s="14"/>
      <c r="AN366" s="15"/>
      <c r="AO366" s="15"/>
      <c r="AP366" s="48"/>
      <c r="AQ366" s="15"/>
      <c r="AR366" s="15"/>
      <c r="AS366" s="15"/>
      <c r="AT366" s="60" t="str">
        <f>IF(ISNUMBER(MATCH(AU366,LOAI_THE!$B:$B,0)),INDEX(LOAI_THE!$A:$A,MATCH(AU366,LOAI_THE!$B:$B,0)),"")</f>
        <v/>
      </c>
      <c r="AU366" s="48"/>
      <c r="AV366" s="15"/>
      <c r="AW366" s="15"/>
      <c r="AX366" s="15"/>
      <c r="AY366" s="48"/>
    </row>
    <row r="367" spans="1:51" x14ac:dyDescent="0.3">
      <c r="A367" s="13" t="s">
        <v>745</v>
      </c>
      <c r="B367" s="48"/>
      <c r="C367" s="48"/>
      <c r="D367" s="48"/>
      <c r="E367" s="48"/>
      <c r="F367" s="48"/>
      <c r="G367" s="58" t="str">
        <f>IF(ISNUMBER(MATCH(H367,GIOI_TINH!$B:$B,0)),INDEX(GIOI_TINH!$A:$A,MATCH(H367,GIOI_TINH!$B:$B,0)),"")</f>
        <v/>
      </c>
      <c r="H367" s="15"/>
      <c r="I367" s="15"/>
      <c r="J367" s="58" t="str">
        <f>IF(ISNUMBER(MATCH(K367,QUOC_GIA!$B:$B,0)),INDEX(QUOC_GIA!$A:$A,MATCH(K367,QUOC_GIA!$B:$B,0)),"")</f>
        <v/>
      </c>
      <c r="K367" s="50"/>
      <c r="L367" s="15"/>
      <c r="M367" s="58" t="str">
        <f>IF(ISNUMBER(MATCH(N367,LOAI_THUE!$B:$B,0)),INDEX(LOAI_THUE!$A:$A,MATCH(N367,LOAI_THUE!$B:$B,0)),"")</f>
        <v/>
      </c>
      <c r="N367" s="50"/>
      <c r="O367" s="58" t="str">
        <f>IF(ISNUMBER(MATCH(P367,CHI_TIET_LOAI_KH!$B:$B,0)),INDEX(CHI_TIET_LOAI_KH!$A:$A,MATCH(P367,CHI_TIET_LOAI_KH!$B:$B,0)),"")</f>
        <v/>
      </c>
      <c r="P367" s="50"/>
      <c r="Q367" s="58" t="str">
        <f>IF(ISNUMBER(MATCH(R367,NGHE_NGHIEP!$B:$B,0)),INDEX(NGHE_NGHIEP!$A:$A,MATCH(R367,NGHE_NGHIEP!$B:$B,0)),"")</f>
        <v/>
      </c>
      <c r="R367" s="50"/>
      <c r="S367" s="58" t="str">
        <f>IF(ISNUMBER(MATCH(T367,LOAI_ID!$B:$B,0)),INDEX(LOAI_ID!$A:$A,MATCH(T367,LOAI_ID!$B:$B,0)),"")</f>
        <v/>
      </c>
      <c r="T367" s="16"/>
      <c r="U367" s="48"/>
      <c r="V367" s="48"/>
      <c r="W367" s="17"/>
      <c r="X367" s="17"/>
      <c r="Y367" s="15"/>
      <c r="Z367" s="15"/>
      <c r="AA367" s="59" t="str">
        <f>IFERROR(INDEX(NOI_CAP!$B:$B,MATCH(Z367,NOI_CAP!$A:$A,0)),"")</f>
        <v/>
      </c>
      <c r="AB367" s="58" t="str">
        <f>IF(ISNUMBER(MATCH(AC367,LOAI_DIA_CHI!$B:$B,0)),INDEX(LOAI_DIA_CHI!$A:$A,MATCH(AC367,LOAI_DIA_CHI!$B:$B,0)),"")</f>
        <v/>
      </c>
      <c r="AC367" s="16"/>
      <c r="AD367" s="58" t="str">
        <f>IF(ISNUMBER(MATCH(AE367,QUOC_GIA!$B:$B,0)),INDEX(QUOC_GIA!$A:$A,MATCH(AE367,QUOC_GIA!$B:$B,0)),"")</f>
        <v/>
      </c>
      <c r="AE367" s="16"/>
      <c r="AF367" s="48"/>
      <c r="AG367" s="59" t="str">
        <f>IFERROR(INDEX(TINH_TP!$B:$B,MATCH(AF367,TINH_TP!$A:$A,0)),"")</f>
        <v/>
      </c>
      <c r="AH367" s="50"/>
      <c r="AI367" s="59" t="str">
        <f>IF(OR(AF367="",AH367=""),"",IF(COUNTIFS(PHUONG_XA!$A$2:$A$3323,AH367,PHUONG_XA!$C$2:$C$3323,AF367)=0,"",INDEX(PHUONG_XA!$B$2:$B$3323,SUMPRODUCT((PHUONG_XA!$A$2:$A$3323&amp;""=AH367&amp;"")*(PHUONG_XA!$C$2:$C$3323&amp;""=AF367&amp;"")*(ROW(PHUONG_XA!$A$2:$A$3323)-ROW(PHUONG_XA!$A$2)+1)))))</f>
        <v/>
      </c>
      <c r="AJ367" s="14"/>
      <c r="AK367" s="14"/>
      <c r="AL367" s="57" t="str">
        <f t="shared" si="6"/>
        <v/>
      </c>
      <c r="AM367" s="14"/>
      <c r="AN367" s="15"/>
      <c r="AO367" s="15"/>
      <c r="AP367" s="48"/>
      <c r="AQ367" s="15"/>
      <c r="AR367" s="15"/>
      <c r="AS367" s="15"/>
      <c r="AT367" s="60" t="str">
        <f>IF(ISNUMBER(MATCH(AU367,LOAI_THE!$B:$B,0)),INDEX(LOAI_THE!$A:$A,MATCH(AU367,LOAI_THE!$B:$B,0)),"")</f>
        <v/>
      </c>
      <c r="AU367" s="48"/>
      <c r="AV367" s="15"/>
      <c r="AW367" s="15"/>
      <c r="AX367" s="15"/>
      <c r="AY367" s="48"/>
    </row>
    <row r="368" spans="1:51" x14ac:dyDescent="0.3">
      <c r="A368" s="13" t="s">
        <v>746</v>
      </c>
      <c r="B368" s="48"/>
      <c r="C368" s="48"/>
      <c r="D368" s="48"/>
      <c r="E368" s="48"/>
      <c r="F368" s="48"/>
      <c r="G368" s="58" t="str">
        <f>IF(ISNUMBER(MATCH(H368,GIOI_TINH!$B:$B,0)),INDEX(GIOI_TINH!$A:$A,MATCH(H368,GIOI_TINH!$B:$B,0)),"")</f>
        <v/>
      </c>
      <c r="H368" s="15"/>
      <c r="I368" s="15"/>
      <c r="J368" s="58" t="str">
        <f>IF(ISNUMBER(MATCH(K368,QUOC_GIA!$B:$B,0)),INDEX(QUOC_GIA!$A:$A,MATCH(K368,QUOC_GIA!$B:$B,0)),"")</f>
        <v/>
      </c>
      <c r="K368" s="50"/>
      <c r="L368" s="15"/>
      <c r="M368" s="58" t="str">
        <f>IF(ISNUMBER(MATCH(N368,LOAI_THUE!$B:$B,0)),INDEX(LOAI_THUE!$A:$A,MATCH(N368,LOAI_THUE!$B:$B,0)),"")</f>
        <v/>
      </c>
      <c r="N368" s="50"/>
      <c r="O368" s="58" t="str">
        <f>IF(ISNUMBER(MATCH(P368,CHI_TIET_LOAI_KH!$B:$B,0)),INDEX(CHI_TIET_LOAI_KH!$A:$A,MATCH(P368,CHI_TIET_LOAI_KH!$B:$B,0)),"")</f>
        <v/>
      </c>
      <c r="P368" s="50"/>
      <c r="Q368" s="58" t="str">
        <f>IF(ISNUMBER(MATCH(R368,NGHE_NGHIEP!$B:$B,0)),INDEX(NGHE_NGHIEP!$A:$A,MATCH(R368,NGHE_NGHIEP!$B:$B,0)),"")</f>
        <v/>
      </c>
      <c r="R368" s="50"/>
      <c r="S368" s="58" t="str">
        <f>IF(ISNUMBER(MATCH(T368,LOAI_ID!$B:$B,0)),INDEX(LOAI_ID!$A:$A,MATCH(T368,LOAI_ID!$B:$B,0)),"")</f>
        <v/>
      </c>
      <c r="T368" s="16"/>
      <c r="U368" s="48"/>
      <c r="V368" s="48"/>
      <c r="W368" s="17"/>
      <c r="X368" s="17"/>
      <c r="Y368" s="15"/>
      <c r="Z368" s="15"/>
      <c r="AA368" s="59" t="str">
        <f>IFERROR(INDEX(NOI_CAP!$B:$B,MATCH(Z368,NOI_CAP!$A:$A,0)),"")</f>
        <v/>
      </c>
      <c r="AB368" s="58" t="str">
        <f>IF(ISNUMBER(MATCH(AC368,LOAI_DIA_CHI!$B:$B,0)),INDEX(LOAI_DIA_CHI!$A:$A,MATCH(AC368,LOAI_DIA_CHI!$B:$B,0)),"")</f>
        <v/>
      </c>
      <c r="AC368" s="16"/>
      <c r="AD368" s="58" t="str">
        <f>IF(ISNUMBER(MATCH(AE368,QUOC_GIA!$B:$B,0)),INDEX(QUOC_GIA!$A:$A,MATCH(AE368,QUOC_GIA!$B:$B,0)),"")</f>
        <v/>
      </c>
      <c r="AE368" s="16"/>
      <c r="AF368" s="48"/>
      <c r="AG368" s="59" t="str">
        <f>IFERROR(INDEX(TINH_TP!$B:$B,MATCH(AF368,TINH_TP!$A:$A,0)),"")</f>
        <v/>
      </c>
      <c r="AH368" s="50"/>
      <c r="AI368" s="59" t="str">
        <f>IF(OR(AF368="",AH368=""),"",IF(COUNTIFS(PHUONG_XA!$A$2:$A$3323,AH368,PHUONG_XA!$C$2:$C$3323,AF368)=0,"",INDEX(PHUONG_XA!$B$2:$B$3323,SUMPRODUCT((PHUONG_XA!$A$2:$A$3323&amp;""=AH368&amp;"")*(PHUONG_XA!$C$2:$C$3323&amp;""=AF368&amp;"")*(ROW(PHUONG_XA!$A$2:$A$3323)-ROW(PHUONG_XA!$A$2)+1)))))</f>
        <v/>
      </c>
      <c r="AJ368" s="14"/>
      <c r="AK368" s="14"/>
      <c r="AL368" s="57" t="str">
        <f t="shared" si="6"/>
        <v/>
      </c>
      <c r="AM368" s="14"/>
      <c r="AN368" s="15"/>
      <c r="AO368" s="15"/>
      <c r="AP368" s="48"/>
      <c r="AQ368" s="15"/>
      <c r="AR368" s="15"/>
      <c r="AS368" s="15"/>
      <c r="AT368" s="60" t="str">
        <f>IF(ISNUMBER(MATCH(AU368,LOAI_THE!$B:$B,0)),INDEX(LOAI_THE!$A:$A,MATCH(AU368,LOAI_THE!$B:$B,0)),"")</f>
        <v/>
      </c>
      <c r="AU368" s="48"/>
      <c r="AV368" s="15"/>
      <c r="AW368" s="15"/>
      <c r="AX368" s="15"/>
      <c r="AY368" s="48"/>
    </row>
    <row r="369" spans="1:51" x14ac:dyDescent="0.3">
      <c r="A369" s="13" t="s">
        <v>747</v>
      </c>
      <c r="B369" s="48"/>
      <c r="C369" s="48"/>
      <c r="D369" s="48"/>
      <c r="E369" s="48"/>
      <c r="F369" s="48"/>
      <c r="G369" s="58" t="str">
        <f>IF(ISNUMBER(MATCH(H369,GIOI_TINH!$B:$B,0)),INDEX(GIOI_TINH!$A:$A,MATCH(H369,GIOI_TINH!$B:$B,0)),"")</f>
        <v/>
      </c>
      <c r="H369" s="15"/>
      <c r="I369" s="15"/>
      <c r="J369" s="58" t="str">
        <f>IF(ISNUMBER(MATCH(K369,QUOC_GIA!$B:$B,0)),INDEX(QUOC_GIA!$A:$A,MATCH(K369,QUOC_GIA!$B:$B,0)),"")</f>
        <v/>
      </c>
      <c r="K369" s="50"/>
      <c r="L369" s="15"/>
      <c r="M369" s="58" t="str">
        <f>IF(ISNUMBER(MATCH(N369,LOAI_THUE!$B:$B,0)),INDEX(LOAI_THUE!$A:$A,MATCH(N369,LOAI_THUE!$B:$B,0)),"")</f>
        <v/>
      </c>
      <c r="N369" s="50"/>
      <c r="O369" s="58" t="str">
        <f>IF(ISNUMBER(MATCH(P369,CHI_TIET_LOAI_KH!$B:$B,0)),INDEX(CHI_TIET_LOAI_KH!$A:$A,MATCH(P369,CHI_TIET_LOAI_KH!$B:$B,0)),"")</f>
        <v/>
      </c>
      <c r="P369" s="50"/>
      <c r="Q369" s="58" t="str">
        <f>IF(ISNUMBER(MATCH(R369,NGHE_NGHIEP!$B:$B,0)),INDEX(NGHE_NGHIEP!$A:$A,MATCH(R369,NGHE_NGHIEP!$B:$B,0)),"")</f>
        <v/>
      </c>
      <c r="R369" s="50"/>
      <c r="S369" s="58" t="str">
        <f>IF(ISNUMBER(MATCH(T369,LOAI_ID!$B:$B,0)),INDEX(LOAI_ID!$A:$A,MATCH(T369,LOAI_ID!$B:$B,0)),"")</f>
        <v/>
      </c>
      <c r="T369" s="16"/>
      <c r="U369" s="48"/>
      <c r="V369" s="48"/>
      <c r="W369" s="17"/>
      <c r="X369" s="17"/>
      <c r="Y369" s="15"/>
      <c r="Z369" s="15"/>
      <c r="AA369" s="59" t="str">
        <f>IFERROR(INDEX(NOI_CAP!$B:$B,MATCH(Z369,NOI_CAP!$A:$A,0)),"")</f>
        <v/>
      </c>
      <c r="AB369" s="58" t="str">
        <f>IF(ISNUMBER(MATCH(AC369,LOAI_DIA_CHI!$B:$B,0)),INDEX(LOAI_DIA_CHI!$A:$A,MATCH(AC369,LOAI_DIA_CHI!$B:$B,0)),"")</f>
        <v/>
      </c>
      <c r="AC369" s="16"/>
      <c r="AD369" s="58" t="str">
        <f>IF(ISNUMBER(MATCH(AE369,QUOC_GIA!$B:$B,0)),INDEX(QUOC_GIA!$A:$A,MATCH(AE369,QUOC_GIA!$B:$B,0)),"")</f>
        <v/>
      </c>
      <c r="AE369" s="16"/>
      <c r="AF369" s="48"/>
      <c r="AG369" s="59" t="str">
        <f>IFERROR(INDEX(TINH_TP!$B:$B,MATCH(AF369,TINH_TP!$A:$A,0)),"")</f>
        <v/>
      </c>
      <c r="AH369" s="50"/>
      <c r="AI369" s="59" t="str">
        <f>IF(OR(AF369="",AH369=""),"",IF(COUNTIFS(PHUONG_XA!$A$2:$A$3323,AH369,PHUONG_XA!$C$2:$C$3323,AF369)=0,"",INDEX(PHUONG_XA!$B$2:$B$3323,SUMPRODUCT((PHUONG_XA!$A$2:$A$3323&amp;""=AH369&amp;"")*(PHUONG_XA!$C$2:$C$3323&amp;""=AF369&amp;"")*(ROW(PHUONG_XA!$A$2:$A$3323)-ROW(PHUONG_XA!$A$2)+1)))))</f>
        <v/>
      </c>
      <c r="AJ369" s="14"/>
      <c r="AK369" s="14"/>
      <c r="AL369" s="57" t="str">
        <f t="shared" si="6"/>
        <v/>
      </c>
      <c r="AM369" s="14"/>
      <c r="AN369" s="15"/>
      <c r="AO369" s="15"/>
      <c r="AP369" s="48"/>
      <c r="AQ369" s="15"/>
      <c r="AR369" s="15"/>
      <c r="AS369" s="15"/>
      <c r="AT369" s="60" t="str">
        <f>IF(ISNUMBER(MATCH(AU369,LOAI_THE!$B:$B,0)),INDEX(LOAI_THE!$A:$A,MATCH(AU369,LOAI_THE!$B:$B,0)),"")</f>
        <v/>
      </c>
      <c r="AU369" s="48"/>
      <c r="AV369" s="15"/>
      <c r="AW369" s="15"/>
      <c r="AX369" s="15"/>
      <c r="AY369" s="48"/>
    </row>
    <row r="370" spans="1:51" x14ac:dyDescent="0.3">
      <c r="A370" s="13" t="s">
        <v>748</v>
      </c>
      <c r="B370" s="48"/>
      <c r="C370" s="48"/>
      <c r="D370" s="48"/>
      <c r="E370" s="48"/>
      <c r="F370" s="48"/>
      <c r="G370" s="58" t="str">
        <f>IF(ISNUMBER(MATCH(H370,GIOI_TINH!$B:$B,0)),INDEX(GIOI_TINH!$A:$A,MATCH(H370,GIOI_TINH!$B:$B,0)),"")</f>
        <v/>
      </c>
      <c r="H370" s="15"/>
      <c r="I370" s="15"/>
      <c r="J370" s="58" t="str">
        <f>IF(ISNUMBER(MATCH(K370,QUOC_GIA!$B:$B,0)),INDEX(QUOC_GIA!$A:$A,MATCH(K370,QUOC_GIA!$B:$B,0)),"")</f>
        <v/>
      </c>
      <c r="K370" s="50"/>
      <c r="L370" s="15"/>
      <c r="M370" s="58" t="str">
        <f>IF(ISNUMBER(MATCH(N370,LOAI_THUE!$B:$B,0)),INDEX(LOAI_THUE!$A:$A,MATCH(N370,LOAI_THUE!$B:$B,0)),"")</f>
        <v/>
      </c>
      <c r="N370" s="50"/>
      <c r="O370" s="58" t="str">
        <f>IF(ISNUMBER(MATCH(P370,CHI_TIET_LOAI_KH!$B:$B,0)),INDEX(CHI_TIET_LOAI_KH!$A:$A,MATCH(P370,CHI_TIET_LOAI_KH!$B:$B,0)),"")</f>
        <v/>
      </c>
      <c r="P370" s="50"/>
      <c r="Q370" s="58" t="str">
        <f>IF(ISNUMBER(MATCH(R370,NGHE_NGHIEP!$B:$B,0)),INDEX(NGHE_NGHIEP!$A:$A,MATCH(R370,NGHE_NGHIEP!$B:$B,0)),"")</f>
        <v/>
      </c>
      <c r="R370" s="50"/>
      <c r="S370" s="58" t="str">
        <f>IF(ISNUMBER(MATCH(T370,LOAI_ID!$B:$B,0)),INDEX(LOAI_ID!$A:$A,MATCH(T370,LOAI_ID!$B:$B,0)),"")</f>
        <v/>
      </c>
      <c r="T370" s="16"/>
      <c r="U370" s="48"/>
      <c r="V370" s="48"/>
      <c r="W370" s="17"/>
      <c r="X370" s="17"/>
      <c r="Y370" s="15"/>
      <c r="Z370" s="15"/>
      <c r="AA370" s="59" t="str">
        <f>IFERROR(INDEX(NOI_CAP!$B:$B,MATCH(Z370,NOI_CAP!$A:$A,0)),"")</f>
        <v/>
      </c>
      <c r="AB370" s="58" t="str">
        <f>IF(ISNUMBER(MATCH(AC370,LOAI_DIA_CHI!$B:$B,0)),INDEX(LOAI_DIA_CHI!$A:$A,MATCH(AC370,LOAI_DIA_CHI!$B:$B,0)),"")</f>
        <v/>
      </c>
      <c r="AC370" s="16"/>
      <c r="AD370" s="58" t="str">
        <f>IF(ISNUMBER(MATCH(AE370,QUOC_GIA!$B:$B,0)),INDEX(QUOC_GIA!$A:$A,MATCH(AE370,QUOC_GIA!$B:$B,0)),"")</f>
        <v/>
      </c>
      <c r="AE370" s="16"/>
      <c r="AF370" s="48"/>
      <c r="AG370" s="59" t="str">
        <f>IFERROR(INDEX(TINH_TP!$B:$B,MATCH(AF370,TINH_TP!$A:$A,0)),"")</f>
        <v/>
      </c>
      <c r="AH370" s="50"/>
      <c r="AI370" s="59" t="str">
        <f>IF(OR(AF370="",AH370=""),"",IF(COUNTIFS(PHUONG_XA!$A$2:$A$3323,AH370,PHUONG_XA!$C$2:$C$3323,AF370)=0,"",INDEX(PHUONG_XA!$B$2:$B$3323,SUMPRODUCT((PHUONG_XA!$A$2:$A$3323&amp;""=AH370&amp;"")*(PHUONG_XA!$C$2:$C$3323&amp;""=AF370&amp;"")*(ROW(PHUONG_XA!$A$2:$A$3323)-ROW(PHUONG_XA!$A$2)+1)))))</f>
        <v/>
      </c>
      <c r="AJ370" s="14"/>
      <c r="AK370" s="14"/>
      <c r="AL370" s="57" t="str">
        <f t="shared" si="6"/>
        <v/>
      </c>
      <c r="AM370" s="14"/>
      <c r="AN370" s="15"/>
      <c r="AO370" s="15"/>
      <c r="AP370" s="48"/>
      <c r="AQ370" s="15"/>
      <c r="AR370" s="15"/>
      <c r="AS370" s="15"/>
      <c r="AT370" s="60" t="str">
        <f>IF(ISNUMBER(MATCH(AU370,LOAI_THE!$B:$B,0)),INDEX(LOAI_THE!$A:$A,MATCH(AU370,LOAI_THE!$B:$B,0)),"")</f>
        <v/>
      </c>
      <c r="AU370" s="48"/>
      <c r="AV370" s="15"/>
      <c r="AW370" s="15"/>
      <c r="AX370" s="15"/>
      <c r="AY370" s="48"/>
    </row>
    <row r="371" spans="1:51" x14ac:dyDescent="0.3">
      <c r="A371" s="13" t="s">
        <v>749</v>
      </c>
      <c r="B371" s="48"/>
      <c r="C371" s="48"/>
      <c r="D371" s="48"/>
      <c r="E371" s="48"/>
      <c r="F371" s="48"/>
      <c r="G371" s="58" t="str">
        <f>IF(ISNUMBER(MATCH(H371,GIOI_TINH!$B:$B,0)),INDEX(GIOI_TINH!$A:$A,MATCH(H371,GIOI_TINH!$B:$B,0)),"")</f>
        <v/>
      </c>
      <c r="H371" s="15"/>
      <c r="I371" s="15"/>
      <c r="J371" s="58" t="str">
        <f>IF(ISNUMBER(MATCH(K371,QUOC_GIA!$B:$B,0)),INDEX(QUOC_GIA!$A:$A,MATCH(K371,QUOC_GIA!$B:$B,0)),"")</f>
        <v/>
      </c>
      <c r="K371" s="50"/>
      <c r="L371" s="15"/>
      <c r="M371" s="58" t="str">
        <f>IF(ISNUMBER(MATCH(N371,LOAI_THUE!$B:$B,0)),INDEX(LOAI_THUE!$A:$A,MATCH(N371,LOAI_THUE!$B:$B,0)),"")</f>
        <v/>
      </c>
      <c r="N371" s="50"/>
      <c r="O371" s="58" t="str">
        <f>IF(ISNUMBER(MATCH(P371,CHI_TIET_LOAI_KH!$B:$B,0)),INDEX(CHI_TIET_LOAI_KH!$A:$A,MATCH(P371,CHI_TIET_LOAI_KH!$B:$B,0)),"")</f>
        <v/>
      </c>
      <c r="P371" s="50"/>
      <c r="Q371" s="58" t="str">
        <f>IF(ISNUMBER(MATCH(R371,NGHE_NGHIEP!$B:$B,0)),INDEX(NGHE_NGHIEP!$A:$A,MATCH(R371,NGHE_NGHIEP!$B:$B,0)),"")</f>
        <v/>
      </c>
      <c r="R371" s="50"/>
      <c r="S371" s="58" t="str">
        <f>IF(ISNUMBER(MATCH(T371,LOAI_ID!$B:$B,0)),INDEX(LOAI_ID!$A:$A,MATCH(T371,LOAI_ID!$B:$B,0)),"")</f>
        <v/>
      </c>
      <c r="T371" s="16"/>
      <c r="U371" s="48"/>
      <c r="V371" s="48"/>
      <c r="W371" s="17"/>
      <c r="X371" s="17"/>
      <c r="Y371" s="15"/>
      <c r="Z371" s="15"/>
      <c r="AA371" s="59" t="str">
        <f>IFERROR(INDEX(NOI_CAP!$B:$B,MATCH(Z371,NOI_CAP!$A:$A,0)),"")</f>
        <v/>
      </c>
      <c r="AB371" s="58" t="str">
        <f>IF(ISNUMBER(MATCH(AC371,LOAI_DIA_CHI!$B:$B,0)),INDEX(LOAI_DIA_CHI!$A:$A,MATCH(AC371,LOAI_DIA_CHI!$B:$B,0)),"")</f>
        <v/>
      </c>
      <c r="AC371" s="16"/>
      <c r="AD371" s="58" t="str">
        <f>IF(ISNUMBER(MATCH(AE371,QUOC_GIA!$B:$B,0)),INDEX(QUOC_GIA!$A:$A,MATCH(AE371,QUOC_GIA!$B:$B,0)),"")</f>
        <v/>
      </c>
      <c r="AE371" s="16"/>
      <c r="AF371" s="48"/>
      <c r="AG371" s="59" t="str">
        <f>IFERROR(INDEX(TINH_TP!$B:$B,MATCH(AF371,TINH_TP!$A:$A,0)),"")</f>
        <v/>
      </c>
      <c r="AH371" s="50"/>
      <c r="AI371" s="59" t="str">
        <f>IF(OR(AF371="",AH371=""),"",IF(COUNTIFS(PHUONG_XA!$A$2:$A$3323,AH371,PHUONG_XA!$C$2:$C$3323,AF371)=0,"",INDEX(PHUONG_XA!$B$2:$B$3323,SUMPRODUCT((PHUONG_XA!$A$2:$A$3323&amp;""=AH371&amp;"")*(PHUONG_XA!$C$2:$C$3323&amp;""=AF371&amp;"")*(ROW(PHUONG_XA!$A$2:$A$3323)-ROW(PHUONG_XA!$A$2)+1)))))</f>
        <v/>
      </c>
      <c r="AJ371" s="14"/>
      <c r="AK371" s="14"/>
      <c r="AL371" s="57" t="str">
        <f t="shared" si="6"/>
        <v/>
      </c>
      <c r="AM371" s="14"/>
      <c r="AN371" s="15"/>
      <c r="AO371" s="15"/>
      <c r="AP371" s="48"/>
      <c r="AQ371" s="15"/>
      <c r="AR371" s="15"/>
      <c r="AS371" s="15"/>
      <c r="AT371" s="60" t="str">
        <f>IF(ISNUMBER(MATCH(AU371,LOAI_THE!$B:$B,0)),INDEX(LOAI_THE!$A:$A,MATCH(AU371,LOAI_THE!$B:$B,0)),"")</f>
        <v/>
      </c>
      <c r="AU371" s="48"/>
      <c r="AV371" s="15"/>
      <c r="AW371" s="15"/>
      <c r="AX371" s="15"/>
      <c r="AY371" s="48"/>
    </row>
    <row r="372" spans="1:51" x14ac:dyDescent="0.3">
      <c r="A372" s="13" t="s">
        <v>750</v>
      </c>
      <c r="B372" s="48"/>
      <c r="C372" s="48"/>
      <c r="D372" s="48"/>
      <c r="E372" s="48"/>
      <c r="F372" s="48"/>
      <c r="G372" s="58" t="str">
        <f>IF(ISNUMBER(MATCH(H372,GIOI_TINH!$B:$B,0)),INDEX(GIOI_TINH!$A:$A,MATCH(H372,GIOI_TINH!$B:$B,0)),"")</f>
        <v/>
      </c>
      <c r="H372" s="15"/>
      <c r="I372" s="15"/>
      <c r="J372" s="58" t="str">
        <f>IF(ISNUMBER(MATCH(K372,QUOC_GIA!$B:$B,0)),INDEX(QUOC_GIA!$A:$A,MATCH(K372,QUOC_GIA!$B:$B,0)),"")</f>
        <v/>
      </c>
      <c r="K372" s="50"/>
      <c r="L372" s="15"/>
      <c r="M372" s="58" t="str">
        <f>IF(ISNUMBER(MATCH(N372,LOAI_THUE!$B:$B,0)),INDEX(LOAI_THUE!$A:$A,MATCH(N372,LOAI_THUE!$B:$B,0)),"")</f>
        <v/>
      </c>
      <c r="N372" s="50"/>
      <c r="O372" s="58" t="str">
        <f>IF(ISNUMBER(MATCH(P372,CHI_TIET_LOAI_KH!$B:$B,0)),INDEX(CHI_TIET_LOAI_KH!$A:$A,MATCH(P372,CHI_TIET_LOAI_KH!$B:$B,0)),"")</f>
        <v/>
      </c>
      <c r="P372" s="50"/>
      <c r="Q372" s="58" t="str">
        <f>IF(ISNUMBER(MATCH(R372,NGHE_NGHIEP!$B:$B,0)),INDEX(NGHE_NGHIEP!$A:$A,MATCH(R372,NGHE_NGHIEP!$B:$B,0)),"")</f>
        <v/>
      </c>
      <c r="R372" s="50"/>
      <c r="S372" s="58" t="str">
        <f>IF(ISNUMBER(MATCH(T372,LOAI_ID!$B:$B,0)),INDEX(LOAI_ID!$A:$A,MATCH(T372,LOAI_ID!$B:$B,0)),"")</f>
        <v/>
      </c>
      <c r="T372" s="16"/>
      <c r="U372" s="48"/>
      <c r="V372" s="48"/>
      <c r="W372" s="17"/>
      <c r="X372" s="17"/>
      <c r="Y372" s="15"/>
      <c r="Z372" s="15"/>
      <c r="AA372" s="59" t="str">
        <f>IFERROR(INDEX(NOI_CAP!$B:$B,MATCH(Z372,NOI_CAP!$A:$A,0)),"")</f>
        <v/>
      </c>
      <c r="AB372" s="58" t="str">
        <f>IF(ISNUMBER(MATCH(AC372,LOAI_DIA_CHI!$B:$B,0)),INDEX(LOAI_DIA_CHI!$A:$A,MATCH(AC372,LOAI_DIA_CHI!$B:$B,0)),"")</f>
        <v/>
      </c>
      <c r="AC372" s="16"/>
      <c r="AD372" s="58" t="str">
        <f>IF(ISNUMBER(MATCH(AE372,QUOC_GIA!$B:$B,0)),INDEX(QUOC_GIA!$A:$A,MATCH(AE372,QUOC_GIA!$B:$B,0)),"")</f>
        <v/>
      </c>
      <c r="AE372" s="16"/>
      <c r="AF372" s="48"/>
      <c r="AG372" s="59" t="str">
        <f>IFERROR(INDEX(TINH_TP!$B:$B,MATCH(AF372,TINH_TP!$A:$A,0)),"")</f>
        <v/>
      </c>
      <c r="AH372" s="50"/>
      <c r="AI372" s="59" t="str">
        <f>IF(OR(AF372="",AH372=""),"",IF(COUNTIFS(PHUONG_XA!$A$2:$A$3323,AH372,PHUONG_XA!$C$2:$C$3323,AF372)=0,"",INDEX(PHUONG_XA!$B$2:$B$3323,SUMPRODUCT((PHUONG_XA!$A$2:$A$3323&amp;""=AH372&amp;"")*(PHUONG_XA!$C$2:$C$3323&amp;""=AF372&amp;"")*(ROW(PHUONG_XA!$A$2:$A$3323)-ROW(PHUONG_XA!$A$2)+1)))))</f>
        <v/>
      </c>
      <c r="AJ372" s="14"/>
      <c r="AK372" s="14"/>
      <c r="AL372" s="57" t="str">
        <f t="shared" si="6"/>
        <v/>
      </c>
      <c r="AM372" s="14"/>
      <c r="AN372" s="15"/>
      <c r="AO372" s="15"/>
      <c r="AP372" s="48"/>
      <c r="AQ372" s="15"/>
      <c r="AR372" s="15"/>
      <c r="AS372" s="15"/>
      <c r="AT372" s="60" t="str">
        <f>IF(ISNUMBER(MATCH(AU372,LOAI_THE!$B:$B,0)),INDEX(LOAI_THE!$A:$A,MATCH(AU372,LOAI_THE!$B:$B,0)),"")</f>
        <v/>
      </c>
      <c r="AU372" s="48"/>
      <c r="AV372" s="15"/>
      <c r="AW372" s="15"/>
      <c r="AX372" s="15"/>
      <c r="AY372" s="48"/>
    </row>
    <row r="373" spans="1:51" x14ac:dyDescent="0.3">
      <c r="A373" s="13" t="s">
        <v>751</v>
      </c>
      <c r="B373" s="48"/>
      <c r="C373" s="48"/>
      <c r="D373" s="48"/>
      <c r="E373" s="48"/>
      <c r="F373" s="48"/>
      <c r="G373" s="58" t="str">
        <f>IF(ISNUMBER(MATCH(H373,GIOI_TINH!$B:$B,0)),INDEX(GIOI_TINH!$A:$A,MATCH(H373,GIOI_TINH!$B:$B,0)),"")</f>
        <v/>
      </c>
      <c r="H373" s="15"/>
      <c r="I373" s="15"/>
      <c r="J373" s="58" t="str">
        <f>IF(ISNUMBER(MATCH(K373,QUOC_GIA!$B:$B,0)),INDEX(QUOC_GIA!$A:$A,MATCH(K373,QUOC_GIA!$B:$B,0)),"")</f>
        <v/>
      </c>
      <c r="K373" s="50"/>
      <c r="L373" s="15"/>
      <c r="M373" s="58" t="str">
        <f>IF(ISNUMBER(MATCH(N373,LOAI_THUE!$B:$B,0)),INDEX(LOAI_THUE!$A:$A,MATCH(N373,LOAI_THUE!$B:$B,0)),"")</f>
        <v/>
      </c>
      <c r="N373" s="50"/>
      <c r="O373" s="58" t="str">
        <f>IF(ISNUMBER(MATCH(P373,CHI_TIET_LOAI_KH!$B:$B,0)),INDEX(CHI_TIET_LOAI_KH!$A:$A,MATCH(P373,CHI_TIET_LOAI_KH!$B:$B,0)),"")</f>
        <v/>
      </c>
      <c r="P373" s="50"/>
      <c r="Q373" s="58" t="str">
        <f>IF(ISNUMBER(MATCH(R373,NGHE_NGHIEP!$B:$B,0)),INDEX(NGHE_NGHIEP!$A:$A,MATCH(R373,NGHE_NGHIEP!$B:$B,0)),"")</f>
        <v/>
      </c>
      <c r="R373" s="50"/>
      <c r="S373" s="58" t="str">
        <f>IF(ISNUMBER(MATCH(T373,LOAI_ID!$B:$B,0)),INDEX(LOAI_ID!$A:$A,MATCH(T373,LOAI_ID!$B:$B,0)),"")</f>
        <v/>
      </c>
      <c r="T373" s="16"/>
      <c r="U373" s="48"/>
      <c r="V373" s="48"/>
      <c r="W373" s="17"/>
      <c r="X373" s="17"/>
      <c r="Y373" s="15"/>
      <c r="Z373" s="15"/>
      <c r="AA373" s="59" t="str">
        <f>IFERROR(INDEX(NOI_CAP!$B:$B,MATCH(Z373,NOI_CAP!$A:$A,0)),"")</f>
        <v/>
      </c>
      <c r="AB373" s="58" t="str">
        <f>IF(ISNUMBER(MATCH(AC373,LOAI_DIA_CHI!$B:$B,0)),INDEX(LOAI_DIA_CHI!$A:$A,MATCH(AC373,LOAI_DIA_CHI!$B:$B,0)),"")</f>
        <v/>
      </c>
      <c r="AC373" s="16"/>
      <c r="AD373" s="58" t="str">
        <f>IF(ISNUMBER(MATCH(AE373,QUOC_GIA!$B:$B,0)),INDEX(QUOC_GIA!$A:$A,MATCH(AE373,QUOC_GIA!$B:$B,0)),"")</f>
        <v/>
      </c>
      <c r="AE373" s="16"/>
      <c r="AF373" s="48"/>
      <c r="AG373" s="59" t="str">
        <f>IFERROR(INDEX(TINH_TP!$B:$B,MATCH(AF373,TINH_TP!$A:$A,0)),"")</f>
        <v/>
      </c>
      <c r="AH373" s="50"/>
      <c r="AI373" s="59" t="str">
        <f>IF(OR(AF373="",AH373=""),"",IF(COUNTIFS(PHUONG_XA!$A$2:$A$3323,AH373,PHUONG_XA!$C$2:$C$3323,AF373)=0,"",INDEX(PHUONG_XA!$B$2:$B$3323,SUMPRODUCT((PHUONG_XA!$A$2:$A$3323&amp;""=AH373&amp;"")*(PHUONG_XA!$C$2:$C$3323&amp;""=AF373&amp;"")*(ROW(PHUONG_XA!$A$2:$A$3323)-ROW(PHUONG_XA!$A$2)+1)))))</f>
        <v/>
      </c>
      <c r="AJ373" s="14"/>
      <c r="AK373" s="14"/>
      <c r="AL373" s="57" t="str">
        <f t="shared" si="6"/>
        <v/>
      </c>
      <c r="AM373" s="14"/>
      <c r="AN373" s="15"/>
      <c r="AO373" s="15"/>
      <c r="AP373" s="48"/>
      <c r="AQ373" s="15"/>
      <c r="AR373" s="15"/>
      <c r="AS373" s="15"/>
      <c r="AT373" s="60" t="str">
        <f>IF(ISNUMBER(MATCH(AU373,LOAI_THE!$B:$B,0)),INDEX(LOAI_THE!$A:$A,MATCH(AU373,LOAI_THE!$B:$B,0)),"")</f>
        <v/>
      </c>
      <c r="AU373" s="48"/>
      <c r="AV373" s="15"/>
      <c r="AW373" s="15"/>
      <c r="AX373" s="15"/>
      <c r="AY373" s="48"/>
    </row>
    <row r="374" spans="1:51" x14ac:dyDescent="0.3">
      <c r="A374" s="13" t="s">
        <v>753</v>
      </c>
      <c r="B374" s="48"/>
      <c r="C374" s="48"/>
      <c r="D374" s="48"/>
      <c r="E374" s="48"/>
      <c r="F374" s="48"/>
      <c r="G374" s="58" t="str">
        <f>IF(ISNUMBER(MATCH(H374,GIOI_TINH!$B:$B,0)),INDEX(GIOI_TINH!$A:$A,MATCH(H374,GIOI_TINH!$B:$B,0)),"")</f>
        <v/>
      </c>
      <c r="H374" s="15"/>
      <c r="I374" s="15"/>
      <c r="J374" s="58" t="str">
        <f>IF(ISNUMBER(MATCH(K374,QUOC_GIA!$B:$B,0)),INDEX(QUOC_GIA!$A:$A,MATCH(K374,QUOC_GIA!$B:$B,0)),"")</f>
        <v/>
      </c>
      <c r="K374" s="50"/>
      <c r="L374" s="15"/>
      <c r="M374" s="58" t="str">
        <f>IF(ISNUMBER(MATCH(N374,LOAI_THUE!$B:$B,0)),INDEX(LOAI_THUE!$A:$A,MATCH(N374,LOAI_THUE!$B:$B,0)),"")</f>
        <v/>
      </c>
      <c r="N374" s="50"/>
      <c r="O374" s="58" t="str">
        <f>IF(ISNUMBER(MATCH(P374,CHI_TIET_LOAI_KH!$B:$B,0)),INDEX(CHI_TIET_LOAI_KH!$A:$A,MATCH(P374,CHI_TIET_LOAI_KH!$B:$B,0)),"")</f>
        <v/>
      </c>
      <c r="P374" s="50"/>
      <c r="Q374" s="58" t="str">
        <f>IF(ISNUMBER(MATCH(R374,NGHE_NGHIEP!$B:$B,0)),INDEX(NGHE_NGHIEP!$A:$A,MATCH(R374,NGHE_NGHIEP!$B:$B,0)),"")</f>
        <v/>
      </c>
      <c r="R374" s="50"/>
      <c r="S374" s="58" t="str">
        <f>IF(ISNUMBER(MATCH(T374,LOAI_ID!$B:$B,0)),INDEX(LOAI_ID!$A:$A,MATCH(T374,LOAI_ID!$B:$B,0)),"")</f>
        <v/>
      </c>
      <c r="T374" s="16"/>
      <c r="U374" s="48"/>
      <c r="V374" s="48"/>
      <c r="W374" s="17"/>
      <c r="X374" s="17"/>
      <c r="Y374" s="15"/>
      <c r="Z374" s="15"/>
      <c r="AA374" s="59" t="str">
        <f>IFERROR(INDEX(NOI_CAP!$B:$B,MATCH(Z374,NOI_CAP!$A:$A,0)),"")</f>
        <v/>
      </c>
      <c r="AB374" s="58" t="str">
        <f>IF(ISNUMBER(MATCH(AC374,LOAI_DIA_CHI!$B:$B,0)),INDEX(LOAI_DIA_CHI!$A:$A,MATCH(AC374,LOAI_DIA_CHI!$B:$B,0)),"")</f>
        <v/>
      </c>
      <c r="AC374" s="16"/>
      <c r="AD374" s="58" t="str">
        <f>IF(ISNUMBER(MATCH(AE374,QUOC_GIA!$B:$B,0)),INDEX(QUOC_GIA!$A:$A,MATCH(AE374,QUOC_GIA!$B:$B,0)),"")</f>
        <v/>
      </c>
      <c r="AE374" s="16"/>
      <c r="AF374" s="48"/>
      <c r="AG374" s="59" t="str">
        <f>IFERROR(INDEX(TINH_TP!$B:$B,MATCH(AF374,TINH_TP!$A:$A,0)),"")</f>
        <v/>
      </c>
      <c r="AH374" s="50"/>
      <c r="AI374" s="59" t="str">
        <f>IF(OR(AF374="",AH374=""),"",IF(COUNTIFS(PHUONG_XA!$A$2:$A$3323,AH374,PHUONG_XA!$C$2:$C$3323,AF374)=0,"",INDEX(PHUONG_XA!$B$2:$B$3323,SUMPRODUCT((PHUONG_XA!$A$2:$A$3323&amp;""=AH374&amp;"")*(PHUONG_XA!$C$2:$C$3323&amp;""=AF374&amp;"")*(ROW(PHUONG_XA!$A$2:$A$3323)-ROW(PHUONG_XA!$A$2)+1)))))</f>
        <v/>
      </c>
      <c r="AJ374" s="14"/>
      <c r="AK374" s="14"/>
      <c r="AL374" s="57" t="str">
        <f t="shared" si="6"/>
        <v/>
      </c>
      <c r="AM374" s="14"/>
      <c r="AN374" s="15"/>
      <c r="AO374" s="15"/>
      <c r="AP374" s="48"/>
      <c r="AQ374" s="15"/>
      <c r="AR374" s="15"/>
      <c r="AS374" s="15"/>
      <c r="AT374" s="60" t="str">
        <f>IF(ISNUMBER(MATCH(AU374,LOAI_THE!$B:$B,0)),INDEX(LOAI_THE!$A:$A,MATCH(AU374,LOAI_THE!$B:$B,0)),"")</f>
        <v/>
      </c>
      <c r="AU374" s="48"/>
      <c r="AV374" s="15"/>
      <c r="AW374" s="15"/>
      <c r="AX374" s="15"/>
      <c r="AY374" s="48"/>
    </row>
    <row r="375" spans="1:51" x14ac:dyDescent="0.3">
      <c r="A375" s="13" t="s">
        <v>755</v>
      </c>
      <c r="B375" s="48"/>
      <c r="C375" s="48"/>
      <c r="D375" s="48"/>
      <c r="E375" s="48"/>
      <c r="F375" s="48"/>
      <c r="G375" s="58" t="str">
        <f>IF(ISNUMBER(MATCH(H375,GIOI_TINH!$B:$B,0)),INDEX(GIOI_TINH!$A:$A,MATCH(H375,GIOI_TINH!$B:$B,0)),"")</f>
        <v/>
      </c>
      <c r="H375" s="15"/>
      <c r="I375" s="15"/>
      <c r="J375" s="58" t="str">
        <f>IF(ISNUMBER(MATCH(K375,QUOC_GIA!$B:$B,0)),INDEX(QUOC_GIA!$A:$A,MATCH(K375,QUOC_GIA!$B:$B,0)),"")</f>
        <v/>
      </c>
      <c r="K375" s="50"/>
      <c r="L375" s="15"/>
      <c r="M375" s="58" t="str">
        <f>IF(ISNUMBER(MATCH(N375,LOAI_THUE!$B:$B,0)),INDEX(LOAI_THUE!$A:$A,MATCH(N375,LOAI_THUE!$B:$B,0)),"")</f>
        <v/>
      </c>
      <c r="N375" s="50"/>
      <c r="O375" s="58" t="str">
        <f>IF(ISNUMBER(MATCH(P375,CHI_TIET_LOAI_KH!$B:$B,0)),INDEX(CHI_TIET_LOAI_KH!$A:$A,MATCH(P375,CHI_TIET_LOAI_KH!$B:$B,0)),"")</f>
        <v/>
      </c>
      <c r="P375" s="50"/>
      <c r="Q375" s="58" t="str">
        <f>IF(ISNUMBER(MATCH(R375,NGHE_NGHIEP!$B:$B,0)),INDEX(NGHE_NGHIEP!$A:$A,MATCH(R375,NGHE_NGHIEP!$B:$B,0)),"")</f>
        <v/>
      </c>
      <c r="R375" s="50"/>
      <c r="S375" s="58" t="str">
        <f>IF(ISNUMBER(MATCH(T375,LOAI_ID!$B:$B,0)),INDEX(LOAI_ID!$A:$A,MATCH(T375,LOAI_ID!$B:$B,0)),"")</f>
        <v/>
      </c>
      <c r="T375" s="16"/>
      <c r="U375" s="48"/>
      <c r="V375" s="48"/>
      <c r="W375" s="17"/>
      <c r="X375" s="17"/>
      <c r="Y375" s="15"/>
      <c r="Z375" s="15"/>
      <c r="AA375" s="59" t="str">
        <f>IFERROR(INDEX(NOI_CAP!$B:$B,MATCH(Z375,NOI_CAP!$A:$A,0)),"")</f>
        <v/>
      </c>
      <c r="AB375" s="58" t="str">
        <f>IF(ISNUMBER(MATCH(AC375,LOAI_DIA_CHI!$B:$B,0)),INDEX(LOAI_DIA_CHI!$A:$A,MATCH(AC375,LOAI_DIA_CHI!$B:$B,0)),"")</f>
        <v/>
      </c>
      <c r="AC375" s="16"/>
      <c r="AD375" s="58" t="str">
        <f>IF(ISNUMBER(MATCH(AE375,QUOC_GIA!$B:$B,0)),INDEX(QUOC_GIA!$A:$A,MATCH(AE375,QUOC_GIA!$B:$B,0)),"")</f>
        <v/>
      </c>
      <c r="AE375" s="16"/>
      <c r="AF375" s="48"/>
      <c r="AG375" s="59" t="str">
        <f>IFERROR(INDEX(TINH_TP!$B:$B,MATCH(AF375,TINH_TP!$A:$A,0)),"")</f>
        <v/>
      </c>
      <c r="AH375" s="50"/>
      <c r="AI375" s="59" t="str">
        <f>IF(OR(AF375="",AH375=""),"",IF(COUNTIFS(PHUONG_XA!$A$2:$A$3323,AH375,PHUONG_XA!$C$2:$C$3323,AF375)=0,"",INDEX(PHUONG_XA!$B$2:$B$3323,SUMPRODUCT((PHUONG_XA!$A$2:$A$3323&amp;""=AH375&amp;"")*(PHUONG_XA!$C$2:$C$3323&amp;""=AF375&amp;"")*(ROW(PHUONG_XA!$A$2:$A$3323)-ROW(PHUONG_XA!$A$2)+1)))))</f>
        <v/>
      </c>
      <c r="AJ375" s="14"/>
      <c r="AK375" s="14"/>
      <c r="AL375" s="57" t="str">
        <f t="shared" si="6"/>
        <v/>
      </c>
      <c r="AM375" s="14"/>
      <c r="AN375" s="15"/>
      <c r="AO375" s="15"/>
      <c r="AP375" s="48"/>
      <c r="AQ375" s="15"/>
      <c r="AR375" s="15"/>
      <c r="AS375" s="15"/>
      <c r="AT375" s="60" t="str">
        <f>IF(ISNUMBER(MATCH(AU375,LOAI_THE!$B:$B,0)),INDEX(LOAI_THE!$A:$A,MATCH(AU375,LOAI_THE!$B:$B,0)),"")</f>
        <v/>
      </c>
      <c r="AU375" s="48"/>
      <c r="AV375" s="15"/>
      <c r="AW375" s="15"/>
      <c r="AX375" s="15"/>
      <c r="AY375" s="48"/>
    </row>
    <row r="376" spans="1:51" x14ac:dyDescent="0.3">
      <c r="A376" s="13" t="s">
        <v>756</v>
      </c>
      <c r="B376" s="48"/>
      <c r="C376" s="48"/>
      <c r="D376" s="48"/>
      <c r="E376" s="48"/>
      <c r="F376" s="48"/>
      <c r="G376" s="58" t="str">
        <f>IF(ISNUMBER(MATCH(H376,GIOI_TINH!$B:$B,0)),INDEX(GIOI_TINH!$A:$A,MATCH(H376,GIOI_TINH!$B:$B,0)),"")</f>
        <v/>
      </c>
      <c r="H376" s="15"/>
      <c r="I376" s="15"/>
      <c r="J376" s="58" t="str">
        <f>IF(ISNUMBER(MATCH(K376,QUOC_GIA!$B:$B,0)),INDEX(QUOC_GIA!$A:$A,MATCH(K376,QUOC_GIA!$B:$B,0)),"")</f>
        <v/>
      </c>
      <c r="K376" s="50"/>
      <c r="L376" s="15"/>
      <c r="M376" s="58" t="str">
        <f>IF(ISNUMBER(MATCH(N376,LOAI_THUE!$B:$B,0)),INDEX(LOAI_THUE!$A:$A,MATCH(N376,LOAI_THUE!$B:$B,0)),"")</f>
        <v/>
      </c>
      <c r="N376" s="50"/>
      <c r="O376" s="58" t="str">
        <f>IF(ISNUMBER(MATCH(P376,CHI_TIET_LOAI_KH!$B:$B,0)),INDEX(CHI_TIET_LOAI_KH!$A:$A,MATCH(P376,CHI_TIET_LOAI_KH!$B:$B,0)),"")</f>
        <v/>
      </c>
      <c r="P376" s="50"/>
      <c r="Q376" s="58" t="str">
        <f>IF(ISNUMBER(MATCH(R376,NGHE_NGHIEP!$B:$B,0)),INDEX(NGHE_NGHIEP!$A:$A,MATCH(R376,NGHE_NGHIEP!$B:$B,0)),"")</f>
        <v/>
      </c>
      <c r="R376" s="50"/>
      <c r="S376" s="58" t="str">
        <f>IF(ISNUMBER(MATCH(T376,LOAI_ID!$B:$B,0)),INDEX(LOAI_ID!$A:$A,MATCH(T376,LOAI_ID!$B:$B,0)),"")</f>
        <v/>
      </c>
      <c r="T376" s="16"/>
      <c r="U376" s="48"/>
      <c r="V376" s="48"/>
      <c r="W376" s="17"/>
      <c r="X376" s="17"/>
      <c r="Y376" s="15"/>
      <c r="Z376" s="15"/>
      <c r="AA376" s="59" t="str">
        <f>IFERROR(INDEX(NOI_CAP!$B:$B,MATCH(Z376,NOI_CAP!$A:$A,0)),"")</f>
        <v/>
      </c>
      <c r="AB376" s="58" t="str">
        <f>IF(ISNUMBER(MATCH(AC376,LOAI_DIA_CHI!$B:$B,0)),INDEX(LOAI_DIA_CHI!$A:$A,MATCH(AC376,LOAI_DIA_CHI!$B:$B,0)),"")</f>
        <v/>
      </c>
      <c r="AC376" s="16"/>
      <c r="AD376" s="58" t="str">
        <f>IF(ISNUMBER(MATCH(AE376,QUOC_GIA!$B:$B,0)),INDEX(QUOC_GIA!$A:$A,MATCH(AE376,QUOC_GIA!$B:$B,0)),"")</f>
        <v/>
      </c>
      <c r="AE376" s="16"/>
      <c r="AF376" s="48"/>
      <c r="AG376" s="59" t="str">
        <f>IFERROR(INDEX(TINH_TP!$B:$B,MATCH(AF376,TINH_TP!$A:$A,0)),"")</f>
        <v/>
      </c>
      <c r="AH376" s="50"/>
      <c r="AI376" s="59" t="str">
        <f>IF(OR(AF376="",AH376=""),"",IF(COUNTIFS(PHUONG_XA!$A$2:$A$3323,AH376,PHUONG_XA!$C$2:$C$3323,AF376)=0,"",INDEX(PHUONG_XA!$B$2:$B$3323,SUMPRODUCT((PHUONG_XA!$A$2:$A$3323&amp;""=AH376&amp;"")*(PHUONG_XA!$C$2:$C$3323&amp;""=AF376&amp;"")*(ROW(PHUONG_XA!$A$2:$A$3323)-ROW(PHUONG_XA!$A$2)+1)))))</f>
        <v/>
      </c>
      <c r="AJ376" s="14"/>
      <c r="AK376" s="14"/>
      <c r="AL376" s="57" t="str">
        <f t="shared" si="6"/>
        <v/>
      </c>
      <c r="AM376" s="14"/>
      <c r="AN376" s="15"/>
      <c r="AO376" s="15"/>
      <c r="AP376" s="48"/>
      <c r="AQ376" s="15"/>
      <c r="AR376" s="15"/>
      <c r="AS376" s="15"/>
      <c r="AT376" s="60" t="str">
        <f>IF(ISNUMBER(MATCH(AU376,LOAI_THE!$B:$B,0)),INDEX(LOAI_THE!$A:$A,MATCH(AU376,LOAI_THE!$B:$B,0)),"")</f>
        <v/>
      </c>
      <c r="AU376" s="48"/>
      <c r="AV376" s="15"/>
      <c r="AW376" s="15"/>
      <c r="AX376" s="15"/>
      <c r="AY376" s="48"/>
    </row>
    <row r="377" spans="1:51" x14ac:dyDescent="0.3">
      <c r="A377" s="13" t="s">
        <v>757</v>
      </c>
      <c r="B377" s="48"/>
      <c r="C377" s="48"/>
      <c r="D377" s="48"/>
      <c r="E377" s="48"/>
      <c r="F377" s="48"/>
      <c r="G377" s="58" t="str">
        <f>IF(ISNUMBER(MATCH(H377,GIOI_TINH!$B:$B,0)),INDEX(GIOI_TINH!$A:$A,MATCH(H377,GIOI_TINH!$B:$B,0)),"")</f>
        <v/>
      </c>
      <c r="H377" s="15"/>
      <c r="I377" s="15"/>
      <c r="J377" s="58" t="str">
        <f>IF(ISNUMBER(MATCH(K377,QUOC_GIA!$B:$B,0)),INDEX(QUOC_GIA!$A:$A,MATCH(K377,QUOC_GIA!$B:$B,0)),"")</f>
        <v/>
      </c>
      <c r="K377" s="50"/>
      <c r="L377" s="15"/>
      <c r="M377" s="58" t="str">
        <f>IF(ISNUMBER(MATCH(N377,LOAI_THUE!$B:$B,0)),INDEX(LOAI_THUE!$A:$A,MATCH(N377,LOAI_THUE!$B:$B,0)),"")</f>
        <v/>
      </c>
      <c r="N377" s="50"/>
      <c r="O377" s="58" t="str">
        <f>IF(ISNUMBER(MATCH(P377,CHI_TIET_LOAI_KH!$B:$B,0)),INDEX(CHI_TIET_LOAI_KH!$A:$A,MATCH(P377,CHI_TIET_LOAI_KH!$B:$B,0)),"")</f>
        <v/>
      </c>
      <c r="P377" s="50"/>
      <c r="Q377" s="58" t="str">
        <f>IF(ISNUMBER(MATCH(R377,NGHE_NGHIEP!$B:$B,0)),INDEX(NGHE_NGHIEP!$A:$A,MATCH(R377,NGHE_NGHIEP!$B:$B,0)),"")</f>
        <v/>
      </c>
      <c r="R377" s="50"/>
      <c r="S377" s="58" t="str">
        <f>IF(ISNUMBER(MATCH(T377,LOAI_ID!$B:$B,0)),INDEX(LOAI_ID!$A:$A,MATCH(T377,LOAI_ID!$B:$B,0)),"")</f>
        <v/>
      </c>
      <c r="T377" s="16"/>
      <c r="U377" s="48"/>
      <c r="V377" s="48"/>
      <c r="W377" s="17"/>
      <c r="X377" s="17"/>
      <c r="Y377" s="15"/>
      <c r="Z377" s="15"/>
      <c r="AA377" s="59" t="str">
        <f>IFERROR(INDEX(NOI_CAP!$B:$B,MATCH(Z377,NOI_CAP!$A:$A,0)),"")</f>
        <v/>
      </c>
      <c r="AB377" s="58" t="str">
        <f>IF(ISNUMBER(MATCH(AC377,LOAI_DIA_CHI!$B:$B,0)),INDEX(LOAI_DIA_CHI!$A:$A,MATCH(AC377,LOAI_DIA_CHI!$B:$B,0)),"")</f>
        <v/>
      </c>
      <c r="AC377" s="16"/>
      <c r="AD377" s="58" t="str">
        <f>IF(ISNUMBER(MATCH(AE377,QUOC_GIA!$B:$B,0)),INDEX(QUOC_GIA!$A:$A,MATCH(AE377,QUOC_GIA!$B:$B,0)),"")</f>
        <v/>
      </c>
      <c r="AE377" s="16"/>
      <c r="AF377" s="48"/>
      <c r="AG377" s="59" t="str">
        <f>IFERROR(INDEX(TINH_TP!$B:$B,MATCH(AF377,TINH_TP!$A:$A,0)),"")</f>
        <v/>
      </c>
      <c r="AH377" s="50"/>
      <c r="AI377" s="59" t="str">
        <f>IF(OR(AF377="",AH377=""),"",IF(COUNTIFS(PHUONG_XA!$A$2:$A$3323,AH377,PHUONG_XA!$C$2:$C$3323,AF377)=0,"",INDEX(PHUONG_XA!$B$2:$B$3323,SUMPRODUCT((PHUONG_XA!$A$2:$A$3323&amp;""=AH377&amp;"")*(PHUONG_XA!$C$2:$C$3323&amp;""=AF377&amp;"")*(ROW(PHUONG_XA!$A$2:$A$3323)-ROW(PHUONG_XA!$A$2)+1)))))</f>
        <v/>
      </c>
      <c r="AJ377" s="14"/>
      <c r="AK377" s="14"/>
      <c r="AL377" s="57" t="str">
        <f t="shared" si="6"/>
        <v/>
      </c>
      <c r="AM377" s="14"/>
      <c r="AN377" s="15"/>
      <c r="AO377" s="15"/>
      <c r="AP377" s="48"/>
      <c r="AQ377" s="15"/>
      <c r="AR377" s="15"/>
      <c r="AS377" s="15"/>
      <c r="AT377" s="60" t="str">
        <f>IF(ISNUMBER(MATCH(AU377,LOAI_THE!$B:$B,0)),INDEX(LOAI_THE!$A:$A,MATCH(AU377,LOAI_THE!$B:$B,0)),"")</f>
        <v/>
      </c>
      <c r="AU377" s="48"/>
      <c r="AV377" s="15"/>
      <c r="AW377" s="15"/>
      <c r="AX377" s="15"/>
      <c r="AY377" s="48"/>
    </row>
    <row r="378" spans="1:51" x14ac:dyDescent="0.3">
      <c r="A378" s="13" t="s">
        <v>758</v>
      </c>
      <c r="B378" s="48"/>
      <c r="C378" s="48"/>
      <c r="D378" s="48"/>
      <c r="E378" s="48"/>
      <c r="F378" s="48"/>
      <c r="G378" s="58" t="str">
        <f>IF(ISNUMBER(MATCH(H378,GIOI_TINH!$B:$B,0)),INDEX(GIOI_TINH!$A:$A,MATCH(H378,GIOI_TINH!$B:$B,0)),"")</f>
        <v/>
      </c>
      <c r="H378" s="15"/>
      <c r="I378" s="15"/>
      <c r="J378" s="58" t="str">
        <f>IF(ISNUMBER(MATCH(K378,QUOC_GIA!$B:$B,0)),INDEX(QUOC_GIA!$A:$A,MATCH(K378,QUOC_GIA!$B:$B,0)),"")</f>
        <v/>
      </c>
      <c r="K378" s="50"/>
      <c r="L378" s="15"/>
      <c r="M378" s="58" t="str">
        <f>IF(ISNUMBER(MATCH(N378,LOAI_THUE!$B:$B,0)),INDEX(LOAI_THUE!$A:$A,MATCH(N378,LOAI_THUE!$B:$B,0)),"")</f>
        <v/>
      </c>
      <c r="N378" s="50"/>
      <c r="O378" s="58" t="str">
        <f>IF(ISNUMBER(MATCH(P378,CHI_TIET_LOAI_KH!$B:$B,0)),INDEX(CHI_TIET_LOAI_KH!$A:$A,MATCH(P378,CHI_TIET_LOAI_KH!$B:$B,0)),"")</f>
        <v/>
      </c>
      <c r="P378" s="50"/>
      <c r="Q378" s="58" t="str">
        <f>IF(ISNUMBER(MATCH(R378,NGHE_NGHIEP!$B:$B,0)),INDEX(NGHE_NGHIEP!$A:$A,MATCH(R378,NGHE_NGHIEP!$B:$B,0)),"")</f>
        <v/>
      </c>
      <c r="R378" s="50"/>
      <c r="S378" s="58" t="str">
        <f>IF(ISNUMBER(MATCH(T378,LOAI_ID!$B:$B,0)),INDEX(LOAI_ID!$A:$A,MATCH(T378,LOAI_ID!$B:$B,0)),"")</f>
        <v/>
      </c>
      <c r="T378" s="16"/>
      <c r="U378" s="48"/>
      <c r="V378" s="48"/>
      <c r="W378" s="17"/>
      <c r="X378" s="17"/>
      <c r="Y378" s="15"/>
      <c r="Z378" s="15"/>
      <c r="AA378" s="59" t="str">
        <f>IFERROR(INDEX(NOI_CAP!$B:$B,MATCH(Z378,NOI_CAP!$A:$A,0)),"")</f>
        <v/>
      </c>
      <c r="AB378" s="58" t="str">
        <f>IF(ISNUMBER(MATCH(AC378,LOAI_DIA_CHI!$B:$B,0)),INDEX(LOAI_DIA_CHI!$A:$A,MATCH(AC378,LOAI_DIA_CHI!$B:$B,0)),"")</f>
        <v/>
      </c>
      <c r="AC378" s="16"/>
      <c r="AD378" s="58" t="str">
        <f>IF(ISNUMBER(MATCH(AE378,QUOC_GIA!$B:$B,0)),INDEX(QUOC_GIA!$A:$A,MATCH(AE378,QUOC_GIA!$B:$B,0)),"")</f>
        <v/>
      </c>
      <c r="AE378" s="16"/>
      <c r="AF378" s="48"/>
      <c r="AG378" s="59" t="str">
        <f>IFERROR(INDEX(TINH_TP!$B:$B,MATCH(AF378,TINH_TP!$A:$A,0)),"")</f>
        <v/>
      </c>
      <c r="AH378" s="50"/>
      <c r="AI378" s="59" t="str">
        <f>IF(OR(AF378="",AH378=""),"",IF(COUNTIFS(PHUONG_XA!$A$2:$A$3323,AH378,PHUONG_XA!$C$2:$C$3323,AF378)=0,"",INDEX(PHUONG_XA!$B$2:$B$3323,SUMPRODUCT((PHUONG_XA!$A$2:$A$3323&amp;""=AH378&amp;"")*(PHUONG_XA!$C$2:$C$3323&amp;""=AF378&amp;"")*(ROW(PHUONG_XA!$A$2:$A$3323)-ROW(PHUONG_XA!$A$2)+1)))))</f>
        <v/>
      </c>
      <c r="AJ378" s="14"/>
      <c r="AK378" s="14"/>
      <c r="AL378" s="57" t="str">
        <f t="shared" si="6"/>
        <v/>
      </c>
      <c r="AM378" s="14"/>
      <c r="AN378" s="15"/>
      <c r="AO378" s="15"/>
      <c r="AP378" s="48"/>
      <c r="AQ378" s="15"/>
      <c r="AR378" s="15"/>
      <c r="AS378" s="15"/>
      <c r="AT378" s="60" t="str">
        <f>IF(ISNUMBER(MATCH(AU378,LOAI_THE!$B:$B,0)),INDEX(LOAI_THE!$A:$A,MATCH(AU378,LOAI_THE!$B:$B,0)),"")</f>
        <v/>
      </c>
      <c r="AU378" s="48"/>
      <c r="AV378" s="15"/>
      <c r="AW378" s="15"/>
      <c r="AX378" s="15"/>
      <c r="AY378" s="48"/>
    </row>
    <row r="379" spans="1:51" x14ac:dyDescent="0.3">
      <c r="A379" s="13" t="s">
        <v>759</v>
      </c>
      <c r="B379" s="48"/>
      <c r="C379" s="48"/>
      <c r="D379" s="48"/>
      <c r="E379" s="48"/>
      <c r="F379" s="48"/>
      <c r="G379" s="58" t="str">
        <f>IF(ISNUMBER(MATCH(H379,GIOI_TINH!$B:$B,0)),INDEX(GIOI_TINH!$A:$A,MATCH(H379,GIOI_TINH!$B:$B,0)),"")</f>
        <v/>
      </c>
      <c r="H379" s="15"/>
      <c r="I379" s="15"/>
      <c r="J379" s="58" t="str">
        <f>IF(ISNUMBER(MATCH(K379,QUOC_GIA!$B:$B,0)),INDEX(QUOC_GIA!$A:$A,MATCH(K379,QUOC_GIA!$B:$B,0)),"")</f>
        <v/>
      </c>
      <c r="K379" s="50"/>
      <c r="L379" s="15"/>
      <c r="M379" s="58" t="str">
        <f>IF(ISNUMBER(MATCH(N379,LOAI_THUE!$B:$B,0)),INDEX(LOAI_THUE!$A:$A,MATCH(N379,LOAI_THUE!$B:$B,0)),"")</f>
        <v/>
      </c>
      <c r="N379" s="50"/>
      <c r="O379" s="58" t="str">
        <f>IF(ISNUMBER(MATCH(P379,CHI_TIET_LOAI_KH!$B:$B,0)),INDEX(CHI_TIET_LOAI_KH!$A:$A,MATCH(P379,CHI_TIET_LOAI_KH!$B:$B,0)),"")</f>
        <v/>
      </c>
      <c r="P379" s="50"/>
      <c r="Q379" s="58" t="str">
        <f>IF(ISNUMBER(MATCH(R379,NGHE_NGHIEP!$B:$B,0)),INDEX(NGHE_NGHIEP!$A:$A,MATCH(R379,NGHE_NGHIEP!$B:$B,0)),"")</f>
        <v/>
      </c>
      <c r="R379" s="50"/>
      <c r="S379" s="58" t="str">
        <f>IF(ISNUMBER(MATCH(T379,LOAI_ID!$B:$B,0)),INDEX(LOAI_ID!$A:$A,MATCH(T379,LOAI_ID!$B:$B,0)),"")</f>
        <v/>
      </c>
      <c r="T379" s="16"/>
      <c r="U379" s="48"/>
      <c r="V379" s="48"/>
      <c r="W379" s="17"/>
      <c r="X379" s="17"/>
      <c r="Y379" s="15"/>
      <c r="Z379" s="15"/>
      <c r="AA379" s="59" t="str">
        <f>IFERROR(INDEX(NOI_CAP!$B:$B,MATCH(Z379,NOI_CAP!$A:$A,0)),"")</f>
        <v/>
      </c>
      <c r="AB379" s="58" t="str">
        <f>IF(ISNUMBER(MATCH(AC379,LOAI_DIA_CHI!$B:$B,0)),INDEX(LOAI_DIA_CHI!$A:$A,MATCH(AC379,LOAI_DIA_CHI!$B:$B,0)),"")</f>
        <v/>
      </c>
      <c r="AC379" s="16"/>
      <c r="AD379" s="58" t="str">
        <f>IF(ISNUMBER(MATCH(AE379,QUOC_GIA!$B:$B,0)),INDEX(QUOC_GIA!$A:$A,MATCH(AE379,QUOC_GIA!$B:$B,0)),"")</f>
        <v/>
      </c>
      <c r="AE379" s="16"/>
      <c r="AF379" s="48"/>
      <c r="AG379" s="59" t="str">
        <f>IFERROR(INDEX(TINH_TP!$B:$B,MATCH(AF379,TINH_TP!$A:$A,0)),"")</f>
        <v/>
      </c>
      <c r="AH379" s="50"/>
      <c r="AI379" s="59" t="str">
        <f>IF(OR(AF379="",AH379=""),"",IF(COUNTIFS(PHUONG_XA!$A$2:$A$3323,AH379,PHUONG_XA!$C$2:$C$3323,AF379)=0,"",INDEX(PHUONG_XA!$B$2:$B$3323,SUMPRODUCT((PHUONG_XA!$A$2:$A$3323&amp;""=AH379&amp;"")*(PHUONG_XA!$C$2:$C$3323&amp;""=AF379&amp;"")*(ROW(PHUONG_XA!$A$2:$A$3323)-ROW(PHUONG_XA!$A$2)+1)))))</f>
        <v/>
      </c>
      <c r="AJ379" s="14"/>
      <c r="AK379" s="14"/>
      <c r="AL379" s="57" t="str">
        <f t="shared" si="6"/>
        <v/>
      </c>
      <c r="AM379" s="14"/>
      <c r="AN379" s="15"/>
      <c r="AO379" s="15"/>
      <c r="AP379" s="48"/>
      <c r="AQ379" s="15"/>
      <c r="AR379" s="15"/>
      <c r="AS379" s="15"/>
      <c r="AT379" s="60" t="str">
        <f>IF(ISNUMBER(MATCH(AU379,LOAI_THE!$B:$B,0)),INDEX(LOAI_THE!$A:$A,MATCH(AU379,LOAI_THE!$B:$B,0)),"")</f>
        <v/>
      </c>
      <c r="AU379" s="48"/>
      <c r="AV379" s="15"/>
      <c r="AW379" s="15"/>
      <c r="AX379" s="15"/>
      <c r="AY379" s="48"/>
    </row>
    <row r="380" spans="1:51" x14ac:dyDescent="0.3">
      <c r="A380" s="13" t="s">
        <v>760</v>
      </c>
      <c r="B380" s="48"/>
      <c r="C380" s="48"/>
      <c r="D380" s="48"/>
      <c r="E380" s="48"/>
      <c r="F380" s="48"/>
      <c r="G380" s="58" t="str">
        <f>IF(ISNUMBER(MATCH(H380,GIOI_TINH!$B:$B,0)),INDEX(GIOI_TINH!$A:$A,MATCH(H380,GIOI_TINH!$B:$B,0)),"")</f>
        <v/>
      </c>
      <c r="H380" s="15"/>
      <c r="I380" s="15"/>
      <c r="J380" s="58" t="str">
        <f>IF(ISNUMBER(MATCH(K380,QUOC_GIA!$B:$B,0)),INDEX(QUOC_GIA!$A:$A,MATCH(K380,QUOC_GIA!$B:$B,0)),"")</f>
        <v/>
      </c>
      <c r="K380" s="50"/>
      <c r="L380" s="15"/>
      <c r="M380" s="58" t="str">
        <f>IF(ISNUMBER(MATCH(N380,LOAI_THUE!$B:$B,0)),INDEX(LOAI_THUE!$A:$A,MATCH(N380,LOAI_THUE!$B:$B,0)),"")</f>
        <v/>
      </c>
      <c r="N380" s="50"/>
      <c r="O380" s="58" t="str">
        <f>IF(ISNUMBER(MATCH(P380,CHI_TIET_LOAI_KH!$B:$B,0)),INDEX(CHI_TIET_LOAI_KH!$A:$A,MATCH(P380,CHI_TIET_LOAI_KH!$B:$B,0)),"")</f>
        <v/>
      </c>
      <c r="P380" s="50"/>
      <c r="Q380" s="58" t="str">
        <f>IF(ISNUMBER(MATCH(R380,NGHE_NGHIEP!$B:$B,0)),INDEX(NGHE_NGHIEP!$A:$A,MATCH(R380,NGHE_NGHIEP!$B:$B,0)),"")</f>
        <v/>
      </c>
      <c r="R380" s="50"/>
      <c r="S380" s="58" t="str">
        <f>IF(ISNUMBER(MATCH(T380,LOAI_ID!$B:$B,0)),INDEX(LOAI_ID!$A:$A,MATCH(T380,LOAI_ID!$B:$B,0)),"")</f>
        <v/>
      </c>
      <c r="T380" s="16"/>
      <c r="U380" s="48"/>
      <c r="V380" s="48"/>
      <c r="W380" s="17"/>
      <c r="X380" s="17"/>
      <c r="Y380" s="15"/>
      <c r="Z380" s="15"/>
      <c r="AA380" s="59" t="str">
        <f>IFERROR(INDEX(NOI_CAP!$B:$B,MATCH(Z380,NOI_CAP!$A:$A,0)),"")</f>
        <v/>
      </c>
      <c r="AB380" s="58" t="str">
        <f>IF(ISNUMBER(MATCH(AC380,LOAI_DIA_CHI!$B:$B,0)),INDEX(LOAI_DIA_CHI!$A:$A,MATCH(AC380,LOAI_DIA_CHI!$B:$B,0)),"")</f>
        <v/>
      </c>
      <c r="AC380" s="16"/>
      <c r="AD380" s="58" t="str">
        <f>IF(ISNUMBER(MATCH(AE380,QUOC_GIA!$B:$B,0)),INDEX(QUOC_GIA!$A:$A,MATCH(AE380,QUOC_GIA!$B:$B,0)),"")</f>
        <v/>
      </c>
      <c r="AE380" s="16"/>
      <c r="AF380" s="48"/>
      <c r="AG380" s="59" t="str">
        <f>IFERROR(INDEX(TINH_TP!$B:$B,MATCH(AF380,TINH_TP!$A:$A,0)),"")</f>
        <v/>
      </c>
      <c r="AH380" s="50"/>
      <c r="AI380" s="59" t="str">
        <f>IF(OR(AF380="",AH380=""),"",IF(COUNTIFS(PHUONG_XA!$A$2:$A$3323,AH380,PHUONG_XA!$C$2:$C$3323,AF380)=0,"",INDEX(PHUONG_XA!$B$2:$B$3323,SUMPRODUCT((PHUONG_XA!$A$2:$A$3323&amp;""=AH380&amp;"")*(PHUONG_XA!$C$2:$C$3323&amp;""=AF380&amp;"")*(ROW(PHUONG_XA!$A$2:$A$3323)-ROW(PHUONG_XA!$A$2)+1)))))</f>
        <v/>
      </c>
      <c r="AJ380" s="14"/>
      <c r="AK380" s="14"/>
      <c r="AL380" s="57" t="str">
        <f t="shared" si="6"/>
        <v/>
      </c>
      <c r="AM380" s="14"/>
      <c r="AN380" s="15"/>
      <c r="AO380" s="15"/>
      <c r="AP380" s="48"/>
      <c r="AQ380" s="15"/>
      <c r="AR380" s="15"/>
      <c r="AS380" s="15"/>
      <c r="AT380" s="60" t="str">
        <f>IF(ISNUMBER(MATCH(AU380,LOAI_THE!$B:$B,0)),INDEX(LOAI_THE!$A:$A,MATCH(AU380,LOAI_THE!$B:$B,0)),"")</f>
        <v/>
      </c>
      <c r="AU380" s="48"/>
      <c r="AV380" s="15"/>
      <c r="AW380" s="15"/>
      <c r="AX380" s="15"/>
      <c r="AY380" s="48"/>
    </row>
    <row r="381" spans="1:51" x14ac:dyDescent="0.3">
      <c r="A381" s="13" t="s">
        <v>761</v>
      </c>
      <c r="B381" s="48"/>
      <c r="C381" s="48"/>
      <c r="D381" s="48"/>
      <c r="E381" s="48"/>
      <c r="F381" s="48"/>
      <c r="G381" s="58" t="str">
        <f>IF(ISNUMBER(MATCH(H381,GIOI_TINH!$B:$B,0)),INDEX(GIOI_TINH!$A:$A,MATCH(H381,GIOI_TINH!$B:$B,0)),"")</f>
        <v/>
      </c>
      <c r="H381" s="15"/>
      <c r="I381" s="15"/>
      <c r="J381" s="58" t="str">
        <f>IF(ISNUMBER(MATCH(K381,QUOC_GIA!$B:$B,0)),INDEX(QUOC_GIA!$A:$A,MATCH(K381,QUOC_GIA!$B:$B,0)),"")</f>
        <v/>
      </c>
      <c r="K381" s="50"/>
      <c r="L381" s="15"/>
      <c r="M381" s="58" t="str">
        <f>IF(ISNUMBER(MATCH(N381,LOAI_THUE!$B:$B,0)),INDEX(LOAI_THUE!$A:$A,MATCH(N381,LOAI_THUE!$B:$B,0)),"")</f>
        <v/>
      </c>
      <c r="N381" s="50"/>
      <c r="O381" s="58" t="str">
        <f>IF(ISNUMBER(MATCH(P381,CHI_TIET_LOAI_KH!$B:$B,0)),INDEX(CHI_TIET_LOAI_KH!$A:$A,MATCH(P381,CHI_TIET_LOAI_KH!$B:$B,0)),"")</f>
        <v/>
      </c>
      <c r="P381" s="50"/>
      <c r="Q381" s="58" t="str">
        <f>IF(ISNUMBER(MATCH(R381,NGHE_NGHIEP!$B:$B,0)),INDEX(NGHE_NGHIEP!$A:$A,MATCH(R381,NGHE_NGHIEP!$B:$B,0)),"")</f>
        <v/>
      </c>
      <c r="R381" s="50"/>
      <c r="S381" s="58" t="str">
        <f>IF(ISNUMBER(MATCH(T381,LOAI_ID!$B:$B,0)),INDEX(LOAI_ID!$A:$A,MATCH(T381,LOAI_ID!$B:$B,0)),"")</f>
        <v/>
      </c>
      <c r="T381" s="16"/>
      <c r="U381" s="48"/>
      <c r="V381" s="48"/>
      <c r="W381" s="17"/>
      <c r="X381" s="17"/>
      <c r="Y381" s="15"/>
      <c r="Z381" s="15"/>
      <c r="AA381" s="59" t="str">
        <f>IFERROR(INDEX(NOI_CAP!$B:$B,MATCH(Z381,NOI_CAP!$A:$A,0)),"")</f>
        <v/>
      </c>
      <c r="AB381" s="58" t="str">
        <f>IF(ISNUMBER(MATCH(AC381,LOAI_DIA_CHI!$B:$B,0)),INDEX(LOAI_DIA_CHI!$A:$A,MATCH(AC381,LOAI_DIA_CHI!$B:$B,0)),"")</f>
        <v/>
      </c>
      <c r="AC381" s="16"/>
      <c r="AD381" s="58" t="str">
        <f>IF(ISNUMBER(MATCH(AE381,QUOC_GIA!$B:$B,0)),INDEX(QUOC_GIA!$A:$A,MATCH(AE381,QUOC_GIA!$B:$B,0)),"")</f>
        <v/>
      </c>
      <c r="AE381" s="16"/>
      <c r="AF381" s="48"/>
      <c r="AG381" s="59" t="str">
        <f>IFERROR(INDEX(TINH_TP!$B:$B,MATCH(AF381,TINH_TP!$A:$A,0)),"")</f>
        <v/>
      </c>
      <c r="AH381" s="50"/>
      <c r="AI381" s="59" t="str">
        <f>IF(OR(AF381="",AH381=""),"",IF(COUNTIFS(PHUONG_XA!$A$2:$A$3323,AH381,PHUONG_XA!$C$2:$C$3323,AF381)=0,"",INDEX(PHUONG_XA!$B$2:$B$3323,SUMPRODUCT((PHUONG_XA!$A$2:$A$3323&amp;""=AH381&amp;"")*(PHUONG_XA!$C$2:$C$3323&amp;""=AF381&amp;"")*(ROW(PHUONG_XA!$A$2:$A$3323)-ROW(PHUONG_XA!$A$2)+1)))))</f>
        <v/>
      </c>
      <c r="AJ381" s="14"/>
      <c r="AK381" s="14"/>
      <c r="AL381" s="57" t="str">
        <f t="shared" si="6"/>
        <v/>
      </c>
      <c r="AM381" s="14"/>
      <c r="AN381" s="15"/>
      <c r="AO381" s="15"/>
      <c r="AP381" s="48"/>
      <c r="AQ381" s="15"/>
      <c r="AR381" s="15"/>
      <c r="AS381" s="15"/>
      <c r="AT381" s="60" t="str">
        <f>IF(ISNUMBER(MATCH(AU381,LOAI_THE!$B:$B,0)),INDEX(LOAI_THE!$A:$A,MATCH(AU381,LOAI_THE!$B:$B,0)),"")</f>
        <v/>
      </c>
      <c r="AU381" s="48"/>
      <c r="AV381" s="15"/>
      <c r="AW381" s="15"/>
      <c r="AX381" s="15"/>
      <c r="AY381" s="48"/>
    </row>
    <row r="382" spans="1:51" x14ac:dyDescent="0.3">
      <c r="A382" s="13" t="s">
        <v>762</v>
      </c>
      <c r="B382" s="48"/>
      <c r="C382" s="48"/>
      <c r="D382" s="48"/>
      <c r="E382" s="48"/>
      <c r="F382" s="48"/>
      <c r="G382" s="58" t="str">
        <f>IF(ISNUMBER(MATCH(H382,GIOI_TINH!$B:$B,0)),INDEX(GIOI_TINH!$A:$A,MATCH(H382,GIOI_TINH!$B:$B,0)),"")</f>
        <v/>
      </c>
      <c r="H382" s="15"/>
      <c r="I382" s="15"/>
      <c r="J382" s="58" t="str">
        <f>IF(ISNUMBER(MATCH(K382,QUOC_GIA!$B:$B,0)),INDEX(QUOC_GIA!$A:$A,MATCH(K382,QUOC_GIA!$B:$B,0)),"")</f>
        <v/>
      </c>
      <c r="K382" s="50"/>
      <c r="L382" s="15"/>
      <c r="M382" s="58" t="str">
        <f>IF(ISNUMBER(MATCH(N382,LOAI_THUE!$B:$B,0)),INDEX(LOAI_THUE!$A:$A,MATCH(N382,LOAI_THUE!$B:$B,0)),"")</f>
        <v/>
      </c>
      <c r="N382" s="50"/>
      <c r="O382" s="58" t="str">
        <f>IF(ISNUMBER(MATCH(P382,CHI_TIET_LOAI_KH!$B:$B,0)),INDEX(CHI_TIET_LOAI_KH!$A:$A,MATCH(P382,CHI_TIET_LOAI_KH!$B:$B,0)),"")</f>
        <v/>
      </c>
      <c r="P382" s="50"/>
      <c r="Q382" s="58" t="str">
        <f>IF(ISNUMBER(MATCH(R382,NGHE_NGHIEP!$B:$B,0)),INDEX(NGHE_NGHIEP!$A:$A,MATCH(R382,NGHE_NGHIEP!$B:$B,0)),"")</f>
        <v/>
      </c>
      <c r="R382" s="50"/>
      <c r="S382" s="58" t="str">
        <f>IF(ISNUMBER(MATCH(T382,LOAI_ID!$B:$B,0)),INDEX(LOAI_ID!$A:$A,MATCH(T382,LOAI_ID!$B:$B,0)),"")</f>
        <v/>
      </c>
      <c r="T382" s="16"/>
      <c r="U382" s="48"/>
      <c r="V382" s="48"/>
      <c r="W382" s="17"/>
      <c r="X382" s="17"/>
      <c r="Y382" s="15"/>
      <c r="Z382" s="15"/>
      <c r="AA382" s="59" t="str">
        <f>IFERROR(INDEX(NOI_CAP!$B:$B,MATCH(Z382,NOI_CAP!$A:$A,0)),"")</f>
        <v/>
      </c>
      <c r="AB382" s="58" t="str">
        <f>IF(ISNUMBER(MATCH(AC382,LOAI_DIA_CHI!$B:$B,0)),INDEX(LOAI_DIA_CHI!$A:$A,MATCH(AC382,LOAI_DIA_CHI!$B:$B,0)),"")</f>
        <v/>
      </c>
      <c r="AC382" s="16"/>
      <c r="AD382" s="58" t="str">
        <f>IF(ISNUMBER(MATCH(AE382,QUOC_GIA!$B:$B,0)),INDEX(QUOC_GIA!$A:$A,MATCH(AE382,QUOC_GIA!$B:$B,0)),"")</f>
        <v/>
      </c>
      <c r="AE382" s="16"/>
      <c r="AF382" s="48"/>
      <c r="AG382" s="59" t="str">
        <f>IFERROR(INDEX(TINH_TP!$B:$B,MATCH(AF382,TINH_TP!$A:$A,0)),"")</f>
        <v/>
      </c>
      <c r="AH382" s="50"/>
      <c r="AI382" s="59" t="str">
        <f>IF(OR(AF382="",AH382=""),"",IF(COUNTIFS(PHUONG_XA!$A$2:$A$3323,AH382,PHUONG_XA!$C$2:$C$3323,AF382)=0,"",INDEX(PHUONG_XA!$B$2:$B$3323,SUMPRODUCT((PHUONG_XA!$A$2:$A$3323&amp;""=AH382&amp;"")*(PHUONG_XA!$C$2:$C$3323&amp;""=AF382&amp;"")*(ROW(PHUONG_XA!$A$2:$A$3323)-ROW(PHUONG_XA!$A$2)+1)))))</f>
        <v/>
      </c>
      <c r="AJ382" s="14"/>
      <c r="AK382" s="14"/>
      <c r="AL382" s="57" t="str">
        <f t="shared" si="6"/>
        <v/>
      </c>
      <c r="AM382" s="14"/>
      <c r="AN382" s="15"/>
      <c r="AO382" s="15"/>
      <c r="AP382" s="48"/>
      <c r="AQ382" s="15"/>
      <c r="AR382" s="15"/>
      <c r="AS382" s="15"/>
      <c r="AT382" s="60" t="str">
        <f>IF(ISNUMBER(MATCH(AU382,LOAI_THE!$B:$B,0)),INDEX(LOAI_THE!$A:$A,MATCH(AU382,LOAI_THE!$B:$B,0)),"")</f>
        <v/>
      </c>
      <c r="AU382" s="48"/>
      <c r="AV382" s="15"/>
      <c r="AW382" s="15"/>
      <c r="AX382" s="15"/>
      <c r="AY382" s="48"/>
    </row>
    <row r="383" spans="1:51" x14ac:dyDescent="0.3">
      <c r="A383" s="13" t="s">
        <v>4382</v>
      </c>
      <c r="B383" s="48"/>
      <c r="C383" s="48"/>
      <c r="D383" s="48"/>
      <c r="E383" s="48"/>
      <c r="F383" s="48"/>
      <c r="G383" s="58" t="str">
        <f>IF(ISNUMBER(MATCH(H383,GIOI_TINH!$B:$B,0)),INDEX(GIOI_TINH!$A:$A,MATCH(H383,GIOI_TINH!$B:$B,0)),"")</f>
        <v/>
      </c>
      <c r="H383" s="15"/>
      <c r="I383" s="15"/>
      <c r="J383" s="58" t="str">
        <f>IF(ISNUMBER(MATCH(K383,QUOC_GIA!$B:$B,0)),INDEX(QUOC_GIA!$A:$A,MATCH(K383,QUOC_GIA!$B:$B,0)),"")</f>
        <v/>
      </c>
      <c r="K383" s="50"/>
      <c r="L383" s="15"/>
      <c r="M383" s="58" t="str">
        <f>IF(ISNUMBER(MATCH(N383,LOAI_THUE!$B:$B,0)),INDEX(LOAI_THUE!$A:$A,MATCH(N383,LOAI_THUE!$B:$B,0)),"")</f>
        <v/>
      </c>
      <c r="N383" s="50"/>
      <c r="O383" s="58" t="str">
        <f>IF(ISNUMBER(MATCH(P383,CHI_TIET_LOAI_KH!$B:$B,0)),INDEX(CHI_TIET_LOAI_KH!$A:$A,MATCH(P383,CHI_TIET_LOAI_KH!$B:$B,0)),"")</f>
        <v/>
      </c>
      <c r="P383" s="50"/>
      <c r="Q383" s="58" t="str">
        <f>IF(ISNUMBER(MATCH(R383,NGHE_NGHIEP!$B:$B,0)),INDEX(NGHE_NGHIEP!$A:$A,MATCH(R383,NGHE_NGHIEP!$B:$B,0)),"")</f>
        <v/>
      </c>
      <c r="R383" s="50"/>
      <c r="S383" s="58" t="str">
        <f>IF(ISNUMBER(MATCH(T383,LOAI_ID!$B:$B,0)),INDEX(LOAI_ID!$A:$A,MATCH(T383,LOAI_ID!$B:$B,0)),"")</f>
        <v/>
      </c>
      <c r="T383" s="16"/>
      <c r="U383" s="48"/>
      <c r="V383" s="48"/>
      <c r="W383" s="17"/>
      <c r="X383" s="17"/>
      <c r="Y383" s="15"/>
      <c r="Z383" s="15"/>
      <c r="AA383" s="59" t="str">
        <f>IFERROR(INDEX(NOI_CAP!$B:$B,MATCH(Z383,NOI_CAP!$A:$A,0)),"")</f>
        <v/>
      </c>
      <c r="AB383" s="58" t="str">
        <f>IF(ISNUMBER(MATCH(AC383,LOAI_DIA_CHI!$B:$B,0)),INDEX(LOAI_DIA_CHI!$A:$A,MATCH(AC383,LOAI_DIA_CHI!$B:$B,0)),"")</f>
        <v/>
      </c>
      <c r="AC383" s="16"/>
      <c r="AD383" s="58" t="str">
        <f>IF(ISNUMBER(MATCH(AE383,QUOC_GIA!$B:$B,0)),INDEX(QUOC_GIA!$A:$A,MATCH(AE383,QUOC_GIA!$B:$B,0)),"")</f>
        <v/>
      </c>
      <c r="AE383" s="16"/>
      <c r="AF383" s="48"/>
      <c r="AG383" s="59" t="str">
        <f>IFERROR(INDEX(TINH_TP!$B:$B,MATCH(AF383,TINH_TP!$A:$A,0)),"")</f>
        <v/>
      </c>
      <c r="AH383" s="50"/>
      <c r="AI383" s="59" t="str">
        <f>IF(OR(AF383="",AH383=""),"",IF(COUNTIFS(PHUONG_XA!$A$2:$A$3323,AH383,PHUONG_XA!$C$2:$C$3323,AF383)=0,"",INDEX(PHUONG_XA!$B$2:$B$3323,SUMPRODUCT((PHUONG_XA!$A$2:$A$3323&amp;""=AH383&amp;"")*(PHUONG_XA!$C$2:$C$3323&amp;""=AF383&amp;"")*(ROW(PHUONG_XA!$A$2:$A$3323)-ROW(PHUONG_XA!$A$2)+1)))))</f>
        <v/>
      </c>
      <c r="AJ383" s="14"/>
      <c r="AK383" s="14"/>
      <c r="AL383" s="57" t="str">
        <f t="shared" si="6"/>
        <v/>
      </c>
      <c r="AM383" s="14"/>
      <c r="AN383" s="15"/>
      <c r="AO383" s="15"/>
      <c r="AP383" s="48"/>
      <c r="AQ383" s="15"/>
      <c r="AR383" s="15"/>
      <c r="AS383" s="15"/>
      <c r="AT383" s="60" t="str">
        <f>IF(ISNUMBER(MATCH(AU383,LOAI_THE!$B:$B,0)),INDEX(LOAI_THE!$A:$A,MATCH(AU383,LOAI_THE!$B:$B,0)),"")</f>
        <v/>
      </c>
      <c r="AU383" s="48"/>
      <c r="AV383" s="15"/>
      <c r="AW383" s="15"/>
      <c r="AX383" s="15"/>
      <c r="AY383" s="48"/>
    </row>
    <row r="384" spans="1:51" x14ac:dyDescent="0.3">
      <c r="A384" s="13" t="s">
        <v>4383</v>
      </c>
      <c r="B384" s="48"/>
      <c r="C384" s="48"/>
      <c r="D384" s="48"/>
      <c r="E384" s="48"/>
      <c r="F384" s="48"/>
      <c r="G384" s="58" t="str">
        <f>IF(ISNUMBER(MATCH(H384,GIOI_TINH!$B:$B,0)),INDEX(GIOI_TINH!$A:$A,MATCH(H384,GIOI_TINH!$B:$B,0)),"")</f>
        <v/>
      </c>
      <c r="H384" s="15"/>
      <c r="I384" s="15"/>
      <c r="J384" s="58" t="str">
        <f>IF(ISNUMBER(MATCH(K384,QUOC_GIA!$B:$B,0)),INDEX(QUOC_GIA!$A:$A,MATCH(K384,QUOC_GIA!$B:$B,0)),"")</f>
        <v/>
      </c>
      <c r="K384" s="50"/>
      <c r="L384" s="15"/>
      <c r="M384" s="58" t="str">
        <f>IF(ISNUMBER(MATCH(N384,LOAI_THUE!$B:$B,0)),INDEX(LOAI_THUE!$A:$A,MATCH(N384,LOAI_THUE!$B:$B,0)),"")</f>
        <v/>
      </c>
      <c r="N384" s="50"/>
      <c r="O384" s="58" t="str">
        <f>IF(ISNUMBER(MATCH(P384,CHI_TIET_LOAI_KH!$B:$B,0)),INDEX(CHI_TIET_LOAI_KH!$A:$A,MATCH(P384,CHI_TIET_LOAI_KH!$B:$B,0)),"")</f>
        <v/>
      </c>
      <c r="P384" s="50"/>
      <c r="Q384" s="58" t="str">
        <f>IF(ISNUMBER(MATCH(R384,NGHE_NGHIEP!$B:$B,0)),INDEX(NGHE_NGHIEP!$A:$A,MATCH(R384,NGHE_NGHIEP!$B:$B,0)),"")</f>
        <v/>
      </c>
      <c r="R384" s="50"/>
      <c r="S384" s="58" t="str">
        <f>IF(ISNUMBER(MATCH(T384,LOAI_ID!$B:$B,0)),INDEX(LOAI_ID!$A:$A,MATCH(T384,LOAI_ID!$B:$B,0)),"")</f>
        <v/>
      </c>
      <c r="T384" s="16"/>
      <c r="U384" s="48"/>
      <c r="V384" s="48"/>
      <c r="W384" s="17"/>
      <c r="X384" s="17"/>
      <c r="Y384" s="15"/>
      <c r="Z384" s="15"/>
      <c r="AA384" s="59" t="str">
        <f>IFERROR(INDEX(NOI_CAP!$B:$B,MATCH(Z384,NOI_CAP!$A:$A,0)),"")</f>
        <v/>
      </c>
      <c r="AB384" s="58" t="str">
        <f>IF(ISNUMBER(MATCH(AC384,LOAI_DIA_CHI!$B:$B,0)),INDEX(LOAI_DIA_CHI!$A:$A,MATCH(AC384,LOAI_DIA_CHI!$B:$B,0)),"")</f>
        <v/>
      </c>
      <c r="AC384" s="16"/>
      <c r="AD384" s="58" t="str">
        <f>IF(ISNUMBER(MATCH(AE384,QUOC_GIA!$B:$B,0)),INDEX(QUOC_GIA!$A:$A,MATCH(AE384,QUOC_GIA!$B:$B,0)),"")</f>
        <v/>
      </c>
      <c r="AE384" s="16"/>
      <c r="AF384" s="48"/>
      <c r="AG384" s="59" t="str">
        <f>IFERROR(INDEX(TINH_TP!$B:$B,MATCH(AF384,TINH_TP!$A:$A,0)),"")</f>
        <v/>
      </c>
      <c r="AH384" s="50"/>
      <c r="AI384" s="59" t="str">
        <f>IF(OR(AF384="",AH384=""),"",IF(COUNTIFS(PHUONG_XA!$A$2:$A$3323,AH384,PHUONG_XA!$C$2:$C$3323,AF384)=0,"",INDEX(PHUONG_XA!$B$2:$B$3323,SUMPRODUCT((PHUONG_XA!$A$2:$A$3323&amp;""=AH384&amp;"")*(PHUONG_XA!$C$2:$C$3323&amp;""=AF384&amp;"")*(ROW(PHUONG_XA!$A$2:$A$3323)-ROW(PHUONG_XA!$A$2)+1)))))</f>
        <v/>
      </c>
      <c r="AJ384" s="14"/>
      <c r="AK384" s="14"/>
      <c r="AL384" s="57" t="str">
        <f t="shared" si="6"/>
        <v/>
      </c>
      <c r="AM384" s="14"/>
      <c r="AN384" s="15"/>
      <c r="AO384" s="15"/>
      <c r="AP384" s="48"/>
      <c r="AQ384" s="15"/>
      <c r="AR384" s="15"/>
      <c r="AS384" s="15"/>
      <c r="AT384" s="60" t="str">
        <f>IF(ISNUMBER(MATCH(AU384,LOAI_THE!$B:$B,0)),INDEX(LOAI_THE!$A:$A,MATCH(AU384,LOAI_THE!$B:$B,0)),"")</f>
        <v/>
      </c>
      <c r="AU384" s="48"/>
      <c r="AV384" s="15"/>
      <c r="AW384" s="15"/>
      <c r="AX384" s="15"/>
      <c r="AY384" s="48"/>
    </row>
    <row r="385" spans="1:51" x14ac:dyDescent="0.3">
      <c r="A385" s="13" t="s">
        <v>4384</v>
      </c>
      <c r="B385" s="48"/>
      <c r="C385" s="48"/>
      <c r="D385" s="48"/>
      <c r="E385" s="48"/>
      <c r="F385" s="48"/>
      <c r="G385" s="58" t="str">
        <f>IF(ISNUMBER(MATCH(H385,GIOI_TINH!$B:$B,0)),INDEX(GIOI_TINH!$A:$A,MATCH(H385,GIOI_TINH!$B:$B,0)),"")</f>
        <v/>
      </c>
      <c r="H385" s="15"/>
      <c r="I385" s="15"/>
      <c r="J385" s="58" t="str">
        <f>IF(ISNUMBER(MATCH(K385,QUOC_GIA!$B:$B,0)),INDEX(QUOC_GIA!$A:$A,MATCH(K385,QUOC_GIA!$B:$B,0)),"")</f>
        <v/>
      </c>
      <c r="K385" s="50"/>
      <c r="L385" s="15"/>
      <c r="M385" s="58" t="str">
        <f>IF(ISNUMBER(MATCH(N385,LOAI_THUE!$B:$B,0)),INDEX(LOAI_THUE!$A:$A,MATCH(N385,LOAI_THUE!$B:$B,0)),"")</f>
        <v/>
      </c>
      <c r="N385" s="50"/>
      <c r="O385" s="58" t="str">
        <f>IF(ISNUMBER(MATCH(P385,CHI_TIET_LOAI_KH!$B:$B,0)),INDEX(CHI_TIET_LOAI_KH!$A:$A,MATCH(P385,CHI_TIET_LOAI_KH!$B:$B,0)),"")</f>
        <v/>
      </c>
      <c r="P385" s="50"/>
      <c r="Q385" s="58" t="str">
        <f>IF(ISNUMBER(MATCH(R385,NGHE_NGHIEP!$B:$B,0)),INDEX(NGHE_NGHIEP!$A:$A,MATCH(R385,NGHE_NGHIEP!$B:$B,0)),"")</f>
        <v/>
      </c>
      <c r="R385" s="50"/>
      <c r="S385" s="58" t="str">
        <f>IF(ISNUMBER(MATCH(T385,LOAI_ID!$B:$B,0)),INDEX(LOAI_ID!$A:$A,MATCH(T385,LOAI_ID!$B:$B,0)),"")</f>
        <v/>
      </c>
      <c r="T385" s="16"/>
      <c r="U385" s="48"/>
      <c r="V385" s="48"/>
      <c r="W385" s="17"/>
      <c r="X385" s="17"/>
      <c r="Y385" s="15"/>
      <c r="Z385" s="15"/>
      <c r="AA385" s="59" t="str">
        <f>IFERROR(INDEX(NOI_CAP!$B:$B,MATCH(Z385,NOI_CAP!$A:$A,0)),"")</f>
        <v/>
      </c>
      <c r="AB385" s="58" t="str">
        <f>IF(ISNUMBER(MATCH(AC385,LOAI_DIA_CHI!$B:$B,0)),INDEX(LOAI_DIA_CHI!$A:$A,MATCH(AC385,LOAI_DIA_CHI!$B:$B,0)),"")</f>
        <v/>
      </c>
      <c r="AC385" s="16"/>
      <c r="AD385" s="58" t="str">
        <f>IF(ISNUMBER(MATCH(AE385,QUOC_GIA!$B:$B,0)),INDEX(QUOC_GIA!$A:$A,MATCH(AE385,QUOC_GIA!$B:$B,0)),"")</f>
        <v/>
      </c>
      <c r="AE385" s="16"/>
      <c r="AF385" s="48"/>
      <c r="AG385" s="59" t="str">
        <f>IFERROR(INDEX(TINH_TP!$B:$B,MATCH(AF385,TINH_TP!$A:$A,0)),"")</f>
        <v/>
      </c>
      <c r="AH385" s="50"/>
      <c r="AI385" s="59" t="str">
        <f>IF(OR(AF385="",AH385=""),"",IF(COUNTIFS(PHUONG_XA!$A$2:$A$3323,AH385,PHUONG_XA!$C$2:$C$3323,AF385)=0,"",INDEX(PHUONG_XA!$B$2:$B$3323,SUMPRODUCT((PHUONG_XA!$A$2:$A$3323&amp;""=AH385&amp;"")*(PHUONG_XA!$C$2:$C$3323&amp;""=AF385&amp;"")*(ROW(PHUONG_XA!$A$2:$A$3323)-ROW(PHUONG_XA!$A$2)+1)))))</f>
        <v/>
      </c>
      <c r="AJ385" s="14"/>
      <c r="AK385" s="14"/>
      <c r="AL385" s="57" t="str">
        <f t="shared" si="6"/>
        <v/>
      </c>
      <c r="AM385" s="14"/>
      <c r="AN385" s="15"/>
      <c r="AO385" s="15"/>
      <c r="AP385" s="48"/>
      <c r="AQ385" s="15"/>
      <c r="AR385" s="15"/>
      <c r="AS385" s="15"/>
      <c r="AT385" s="60" t="str">
        <f>IF(ISNUMBER(MATCH(AU385,LOAI_THE!$B:$B,0)),INDEX(LOAI_THE!$A:$A,MATCH(AU385,LOAI_THE!$B:$B,0)),"")</f>
        <v/>
      </c>
      <c r="AU385" s="48"/>
      <c r="AV385" s="15"/>
      <c r="AW385" s="15"/>
      <c r="AX385" s="15"/>
      <c r="AY385" s="48"/>
    </row>
    <row r="386" spans="1:51" x14ac:dyDescent="0.3">
      <c r="A386" s="13" t="s">
        <v>4385</v>
      </c>
      <c r="B386" s="48"/>
      <c r="C386" s="48"/>
      <c r="D386" s="48"/>
      <c r="E386" s="48"/>
      <c r="F386" s="48"/>
      <c r="G386" s="58" t="str">
        <f>IF(ISNUMBER(MATCH(H386,GIOI_TINH!$B:$B,0)),INDEX(GIOI_TINH!$A:$A,MATCH(H386,GIOI_TINH!$B:$B,0)),"")</f>
        <v/>
      </c>
      <c r="H386" s="15"/>
      <c r="I386" s="15"/>
      <c r="J386" s="58" t="str">
        <f>IF(ISNUMBER(MATCH(K386,QUOC_GIA!$B:$B,0)),INDEX(QUOC_GIA!$A:$A,MATCH(K386,QUOC_GIA!$B:$B,0)),"")</f>
        <v/>
      </c>
      <c r="K386" s="50"/>
      <c r="L386" s="15"/>
      <c r="M386" s="58" t="str">
        <f>IF(ISNUMBER(MATCH(N386,LOAI_THUE!$B:$B,0)),INDEX(LOAI_THUE!$A:$A,MATCH(N386,LOAI_THUE!$B:$B,0)),"")</f>
        <v/>
      </c>
      <c r="N386" s="50"/>
      <c r="O386" s="58" t="str">
        <f>IF(ISNUMBER(MATCH(P386,CHI_TIET_LOAI_KH!$B:$B,0)),INDEX(CHI_TIET_LOAI_KH!$A:$A,MATCH(P386,CHI_TIET_LOAI_KH!$B:$B,0)),"")</f>
        <v/>
      </c>
      <c r="P386" s="50"/>
      <c r="Q386" s="58" t="str">
        <f>IF(ISNUMBER(MATCH(R386,NGHE_NGHIEP!$B:$B,0)),INDEX(NGHE_NGHIEP!$A:$A,MATCH(R386,NGHE_NGHIEP!$B:$B,0)),"")</f>
        <v/>
      </c>
      <c r="R386" s="50"/>
      <c r="S386" s="58" t="str">
        <f>IF(ISNUMBER(MATCH(T386,LOAI_ID!$B:$B,0)),INDEX(LOAI_ID!$A:$A,MATCH(T386,LOAI_ID!$B:$B,0)),"")</f>
        <v/>
      </c>
      <c r="T386" s="16"/>
      <c r="U386" s="48"/>
      <c r="V386" s="48"/>
      <c r="W386" s="17"/>
      <c r="X386" s="17"/>
      <c r="Y386" s="15"/>
      <c r="Z386" s="15"/>
      <c r="AA386" s="59" t="str">
        <f>IFERROR(INDEX(NOI_CAP!$B:$B,MATCH(Z386,NOI_CAP!$A:$A,0)),"")</f>
        <v/>
      </c>
      <c r="AB386" s="58" t="str">
        <f>IF(ISNUMBER(MATCH(AC386,LOAI_DIA_CHI!$B:$B,0)),INDEX(LOAI_DIA_CHI!$A:$A,MATCH(AC386,LOAI_DIA_CHI!$B:$B,0)),"")</f>
        <v/>
      </c>
      <c r="AC386" s="16"/>
      <c r="AD386" s="58" t="str">
        <f>IF(ISNUMBER(MATCH(AE386,QUOC_GIA!$B:$B,0)),INDEX(QUOC_GIA!$A:$A,MATCH(AE386,QUOC_GIA!$B:$B,0)),"")</f>
        <v/>
      </c>
      <c r="AE386" s="16"/>
      <c r="AF386" s="48"/>
      <c r="AG386" s="59" t="str">
        <f>IFERROR(INDEX(TINH_TP!$B:$B,MATCH(AF386,TINH_TP!$A:$A,0)),"")</f>
        <v/>
      </c>
      <c r="AH386" s="50"/>
      <c r="AI386" s="59" t="str">
        <f>IF(OR(AF386="",AH386=""),"",IF(COUNTIFS(PHUONG_XA!$A$2:$A$3323,AH386,PHUONG_XA!$C$2:$C$3323,AF386)=0,"",INDEX(PHUONG_XA!$B$2:$B$3323,SUMPRODUCT((PHUONG_XA!$A$2:$A$3323&amp;""=AH386&amp;"")*(PHUONG_XA!$C$2:$C$3323&amp;""=AF386&amp;"")*(ROW(PHUONG_XA!$A$2:$A$3323)-ROW(PHUONG_XA!$A$2)+1)))))</f>
        <v/>
      </c>
      <c r="AJ386" s="14"/>
      <c r="AK386" s="14"/>
      <c r="AL386" s="57" t="str">
        <f t="shared" si="6"/>
        <v/>
      </c>
      <c r="AM386" s="14"/>
      <c r="AN386" s="15"/>
      <c r="AO386" s="15"/>
      <c r="AP386" s="48"/>
      <c r="AQ386" s="15"/>
      <c r="AR386" s="15"/>
      <c r="AS386" s="15"/>
      <c r="AT386" s="60" t="str">
        <f>IF(ISNUMBER(MATCH(AU386,LOAI_THE!$B:$B,0)),INDEX(LOAI_THE!$A:$A,MATCH(AU386,LOAI_THE!$B:$B,0)),"")</f>
        <v/>
      </c>
      <c r="AU386" s="48"/>
      <c r="AV386" s="15"/>
      <c r="AW386" s="15"/>
      <c r="AX386" s="15"/>
      <c r="AY386" s="48"/>
    </row>
    <row r="387" spans="1:51" x14ac:dyDescent="0.3">
      <c r="A387" s="13" t="s">
        <v>4386</v>
      </c>
      <c r="B387" s="48"/>
      <c r="C387" s="48"/>
      <c r="D387" s="48"/>
      <c r="E387" s="48"/>
      <c r="F387" s="48"/>
      <c r="G387" s="58" t="str">
        <f>IF(ISNUMBER(MATCH(H387,GIOI_TINH!$B:$B,0)),INDEX(GIOI_TINH!$A:$A,MATCH(H387,GIOI_TINH!$B:$B,0)),"")</f>
        <v/>
      </c>
      <c r="H387" s="15"/>
      <c r="I387" s="15"/>
      <c r="J387" s="58" t="str">
        <f>IF(ISNUMBER(MATCH(K387,QUOC_GIA!$B:$B,0)),INDEX(QUOC_GIA!$A:$A,MATCH(K387,QUOC_GIA!$B:$B,0)),"")</f>
        <v/>
      </c>
      <c r="K387" s="50"/>
      <c r="L387" s="15"/>
      <c r="M387" s="58" t="str">
        <f>IF(ISNUMBER(MATCH(N387,LOAI_THUE!$B:$B,0)),INDEX(LOAI_THUE!$A:$A,MATCH(N387,LOAI_THUE!$B:$B,0)),"")</f>
        <v/>
      </c>
      <c r="N387" s="50"/>
      <c r="O387" s="58" t="str">
        <f>IF(ISNUMBER(MATCH(P387,CHI_TIET_LOAI_KH!$B:$B,0)),INDEX(CHI_TIET_LOAI_KH!$A:$A,MATCH(P387,CHI_TIET_LOAI_KH!$B:$B,0)),"")</f>
        <v/>
      </c>
      <c r="P387" s="50"/>
      <c r="Q387" s="58" t="str">
        <f>IF(ISNUMBER(MATCH(R387,NGHE_NGHIEP!$B:$B,0)),INDEX(NGHE_NGHIEP!$A:$A,MATCH(R387,NGHE_NGHIEP!$B:$B,0)),"")</f>
        <v/>
      </c>
      <c r="R387" s="50"/>
      <c r="S387" s="58" t="str">
        <f>IF(ISNUMBER(MATCH(T387,LOAI_ID!$B:$B,0)),INDEX(LOAI_ID!$A:$A,MATCH(T387,LOAI_ID!$B:$B,0)),"")</f>
        <v/>
      </c>
      <c r="T387" s="16"/>
      <c r="U387" s="48"/>
      <c r="V387" s="48"/>
      <c r="W387" s="17"/>
      <c r="X387" s="17"/>
      <c r="Y387" s="15"/>
      <c r="Z387" s="15"/>
      <c r="AA387" s="59" t="str">
        <f>IFERROR(INDEX(NOI_CAP!$B:$B,MATCH(Z387,NOI_CAP!$A:$A,0)),"")</f>
        <v/>
      </c>
      <c r="AB387" s="58" t="str">
        <f>IF(ISNUMBER(MATCH(AC387,LOAI_DIA_CHI!$B:$B,0)),INDEX(LOAI_DIA_CHI!$A:$A,MATCH(AC387,LOAI_DIA_CHI!$B:$B,0)),"")</f>
        <v/>
      </c>
      <c r="AC387" s="16"/>
      <c r="AD387" s="58" t="str">
        <f>IF(ISNUMBER(MATCH(AE387,QUOC_GIA!$B:$B,0)),INDEX(QUOC_GIA!$A:$A,MATCH(AE387,QUOC_GIA!$B:$B,0)),"")</f>
        <v/>
      </c>
      <c r="AE387" s="16"/>
      <c r="AF387" s="48"/>
      <c r="AG387" s="59" t="str">
        <f>IFERROR(INDEX(TINH_TP!$B:$B,MATCH(AF387,TINH_TP!$A:$A,0)),"")</f>
        <v/>
      </c>
      <c r="AH387" s="50"/>
      <c r="AI387" s="59" t="str">
        <f>IF(OR(AF387="",AH387=""),"",IF(COUNTIFS(PHUONG_XA!$A$2:$A$3323,AH387,PHUONG_XA!$C$2:$C$3323,AF387)=0,"",INDEX(PHUONG_XA!$B$2:$B$3323,SUMPRODUCT((PHUONG_XA!$A$2:$A$3323&amp;""=AH387&amp;"")*(PHUONG_XA!$C$2:$C$3323&amp;""=AF387&amp;"")*(ROW(PHUONG_XA!$A$2:$A$3323)-ROW(PHUONG_XA!$A$2)+1)))))</f>
        <v/>
      </c>
      <c r="AJ387" s="14"/>
      <c r="AK387" s="14"/>
      <c r="AL387" s="57" t="str">
        <f t="shared" si="6"/>
        <v/>
      </c>
      <c r="AM387" s="14"/>
      <c r="AN387" s="15"/>
      <c r="AO387" s="15"/>
      <c r="AP387" s="48"/>
      <c r="AQ387" s="15"/>
      <c r="AR387" s="15"/>
      <c r="AS387" s="15"/>
      <c r="AT387" s="60" t="str">
        <f>IF(ISNUMBER(MATCH(AU387,LOAI_THE!$B:$B,0)),INDEX(LOAI_THE!$A:$A,MATCH(AU387,LOAI_THE!$B:$B,0)),"")</f>
        <v/>
      </c>
      <c r="AU387" s="48"/>
      <c r="AV387" s="15"/>
      <c r="AW387" s="15"/>
      <c r="AX387" s="15"/>
      <c r="AY387" s="48"/>
    </row>
    <row r="388" spans="1:51" x14ac:dyDescent="0.3">
      <c r="A388" s="13" t="s">
        <v>4387</v>
      </c>
      <c r="B388" s="48"/>
      <c r="C388" s="48"/>
      <c r="D388" s="48"/>
      <c r="E388" s="48"/>
      <c r="F388" s="48"/>
      <c r="G388" s="58" t="str">
        <f>IF(ISNUMBER(MATCH(H388,GIOI_TINH!$B:$B,0)),INDEX(GIOI_TINH!$A:$A,MATCH(H388,GIOI_TINH!$B:$B,0)),"")</f>
        <v/>
      </c>
      <c r="H388" s="15"/>
      <c r="I388" s="15"/>
      <c r="J388" s="58" t="str">
        <f>IF(ISNUMBER(MATCH(K388,QUOC_GIA!$B:$B,0)),INDEX(QUOC_GIA!$A:$A,MATCH(K388,QUOC_GIA!$B:$B,0)),"")</f>
        <v/>
      </c>
      <c r="K388" s="50"/>
      <c r="L388" s="15"/>
      <c r="M388" s="58" t="str">
        <f>IF(ISNUMBER(MATCH(N388,LOAI_THUE!$B:$B,0)),INDEX(LOAI_THUE!$A:$A,MATCH(N388,LOAI_THUE!$B:$B,0)),"")</f>
        <v/>
      </c>
      <c r="N388" s="50"/>
      <c r="O388" s="58" t="str">
        <f>IF(ISNUMBER(MATCH(P388,CHI_TIET_LOAI_KH!$B:$B,0)),INDEX(CHI_TIET_LOAI_KH!$A:$A,MATCH(P388,CHI_TIET_LOAI_KH!$B:$B,0)),"")</f>
        <v/>
      </c>
      <c r="P388" s="50"/>
      <c r="Q388" s="58" t="str">
        <f>IF(ISNUMBER(MATCH(R388,NGHE_NGHIEP!$B:$B,0)),INDEX(NGHE_NGHIEP!$A:$A,MATCH(R388,NGHE_NGHIEP!$B:$B,0)),"")</f>
        <v/>
      </c>
      <c r="R388" s="50"/>
      <c r="S388" s="58" t="str">
        <f>IF(ISNUMBER(MATCH(T388,LOAI_ID!$B:$B,0)),INDEX(LOAI_ID!$A:$A,MATCH(T388,LOAI_ID!$B:$B,0)),"")</f>
        <v/>
      </c>
      <c r="T388" s="16"/>
      <c r="U388" s="48"/>
      <c r="V388" s="48"/>
      <c r="W388" s="17"/>
      <c r="X388" s="17"/>
      <c r="Y388" s="15"/>
      <c r="Z388" s="15"/>
      <c r="AA388" s="59" t="str">
        <f>IFERROR(INDEX(NOI_CAP!$B:$B,MATCH(Z388,NOI_CAP!$A:$A,0)),"")</f>
        <v/>
      </c>
      <c r="AB388" s="58" t="str">
        <f>IF(ISNUMBER(MATCH(AC388,LOAI_DIA_CHI!$B:$B,0)),INDEX(LOAI_DIA_CHI!$A:$A,MATCH(AC388,LOAI_DIA_CHI!$B:$B,0)),"")</f>
        <v/>
      </c>
      <c r="AC388" s="16"/>
      <c r="AD388" s="58" t="str">
        <f>IF(ISNUMBER(MATCH(AE388,QUOC_GIA!$B:$B,0)),INDEX(QUOC_GIA!$A:$A,MATCH(AE388,QUOC_GIA!$B:$B,0)),"")</f>
        <v/>
      </c>
      <c r="AE388" s="16"/>
      <c r="AF388" s="48"/>
      <c r="AG388" s="59" t="str">
        <f>IFERROR(INDEX(TINH_TP!$B:$B,MATCH(AF388,TINH_TP!$A:$A,0)),"")</f>
        <v/>
      </c>
      <c r="AH388" s="50"/>
      <c r="AI388" s="59" t="str">
        <f>IF(OR(AF388="",AH388=""),"",IF(COUNTIFS(PHUONG_XA!$A$2:$A$3323,AH388,PHUONG_XA!$C$2:$C$3323,AF388)=0,"",INDEX(PHUONG_XA!$B$2:$B$3323,SUMPRODUCT((PHUONG_XA!$A$2:$A$3323&amp;""=AH388&amp;"")*(PHUONG_XA!$C$2:$C$3323&amp;""=AF388&amp;"")*(ROW(PHUONG_XA!$A$2:$A$3323)-ROW(PHUONG_XA!$A$2)+1)))))</f>
        <v/>
      </c>
      <c r="AJ388" s="14"/>
      <c r="AK388" s="14"/>
      <c r="AL388" s="57" t="str">
        <f t="shared" si="6"/>
        <v/>
      </c>
      <c r="AM388" s="14"/>
      <c r="AN388" s="15"/>
      <c r="AO388" s="15"/>
      <c r="AP388" s="48"/>
      <c r="AQ388" s="15"/>
      <c r="AR388" s="15"/>
      <c r="AS388" s="15"/>
      <c r="AT388" s="60" t="str">
        <f>IF(ISNUMBER(MATCH(AU388,LOAI_THE!$B:$B,0)),INDEX(LOAI_THE!$A:$A,MATCH(AU388,LOAI_THE!$B:$B,0)),"")</f>
        <v/>
      </c>
      <c r="AU388" s="48"/>
      <c r="AV388" s="15"/>
      <c r="AW388" s="15"/>
      <c r="AX388" s="15"/>
      <c r="AY388" s="48"/>
    </row>
    <row r="389" spans="1:51" x14ac:dyDescent="0.3">
      <c r="A389" s="13" t="s">
        <v>4388</v>
      </c>
      <c r="B389" s="48"/>
      <c r="C389" s="48"/>
      <c r="D389" s="48"/>
      <c r="E389" s="48"/>
      <c r="F389" s="48"/>
      <c r="G389" s="58" t="str">
        <f>IF(ISNUMBER(MATCH(H389,GIOI_TINH!$B:$B,0)),INDEX(GIOI_TINH!$A:$A,MATCH(H389,GIOI_TINH!$B:$B,0)),"")</f>
        <v/>
      </c>
      <c r="H389" s="15"/>
      <c r="I389" s="15"/>
      <c r="J389" s="58" t="str">
        <f>IF(ISNUMBER(MATCH(K389,QUOC_GIA!$B:$B,0)),INDEX(QUOC_GIA!$A:$A,MATCH(K389,QUOC_GIA!$B:$B,0)),"")</f>
        <v/>
      </c>
      <c r="K389" s="50"/>
      <c r="L389" s="15"/>
      <c r="M389" s="58" t="str">
        <f>IF(ISNUMBER(MATCH(N389,LOAI_THUE!$B:$B,0)),INDEX(LOAI_THUE!$A:$A,MATCH(N389,LOAI_THUE!$B:$B,0)),"")</f>
        <v/>
      </c>
      <c r="N389" s="50"/>
      <c r="O389" s="58" t="str">
        <f>IF(ISNUMBER(MATCH(P389,CHI_TIET_LOAI_KH!$B:$B,0)),INDEX(CHI_TIET_LOAI_KH!$A:$A,MATCH(P389,CHI_TIET_LOAI_KH!$B:$B,0)),"")</f>
        <v/>
      </c>
      <c r="P389" s="50"/>
      <c r="Q389" s="58" t="str">
        <f>IF(ISNUMBER(MATCH(R389,NGHE_NGHIEP!$B:$B,0)),INDEX(NGHE_NGHIEP!$A:$A,MATCH(R389,NGHE_NGHIEP!$B:$B,0)),"")</f>
        <v/>
      </c>
      <c r="R389" s="50"/>
      <c r="S389" s="58" t="str">
        <f>IF(ISNUMBER(MATCH(T389,LOAI_ID!$B:$B,0)),INDEX(LOAI_ID!$A:$A,MATCH(T389,LOAI_ID!$B:$B,0)),"")</f>
        <v/>
      </c>
      <c r="T389" s="16"/>
      <c r="U389" s="48"/>
      <c r="V389" s="48"/>
      <c r="W389" s="17"/>
      <c r="X389" s="17"/>
      <c r="Y389" s="15"/>
      <c r="Z389" s="15"/>
      <c r="AA389" s="59" t="str">
        <f>IFERROR(INDEX(NOI_CAP!$B:$B,MATCH(Z389,NOI_CAP!$A:$A,0)),"")</f>
        <v/>
      </c>
      <c r="AB389" s="58" t="str">
        <f>IF(ISNUMBER(MATCH(AC389,LOAI_DIA_CHI!$B:$B,0)),INDEX(LOAI_DIA_CHI!$A:$A,MATCH(AC389,LOAI_DIA_CHI!$B:$B,0)),"")</f>
        <v/>
      </c>
      <c r="AC389" s="16"/>
      <c r="AD389" s="58" t="str">
        <f>IF(ISNUMBER(MATCH(AE389,QUOC_GIA!$B:$B,0)),INDEX(QUOC_GIA!$A:$A,MATCH(AE389,QUOC_GIA!$B:$B,0)),"")</f>
        <v/>
      </c>
      <c r="AE389" s="16"/>
      <c r="AF389" s="48"/>
      <c r="AG389" s="59" t="str">
        <f>IFERROR(INDEX(TINH_TP!$B:$B,MATCH(AF389,TINH_TP!$A:$A,0)),"")</f>
        <v/>
      </c>
      <c r="AH389" s="50"/>
      <c r="AI389" s="59" t="str">
        <f>IF(OR(AF389="",AH389=""),"",IF(COUNTIFS(PHUONG_XA!$A$2:$A$3323,AH389,PHUONG_XA!$C$2:$C$3323,AF389)=0,"",INDEX(PHUONG_XA!$B$2:$B$3323,SUMPRODUCT((PHUONG_XA!$A$2:$A$3323&amp;""=AH389&amp;"")*(PHUONG_XA!$C$2:$C$3323&amp;""=AF389&amp;"")*(ROW(PHUONG_XA!$A$2:$A$3323)-ROW(PHUONG_XA!$A$2)+1)))))</f>
        <v/>
      </c>
      <c r="AJ389" s="14"/>
      <c r="AK389" s="14"/>
      <c r="AL389" s="57" t="str">
        <f t="shared" si="6"/>
        <v/>
      </c>
      <c r="AM389" s="14"/>
      <c r="AN389" s="15"/>
      <c r="AO389" s="15"/>
      <c r="AP389" s="48"/>
      <c r="AQ389" s="15"/>
      <c r="AR389" s="15"/>
      <c r="AS389" s="15"/>
      <c r="AT389" s="60" t="str">
        <f>IF(ISNUMBER(MATCH(AU389,LOAI_THE!$B:$B,0)),INDEX(LOAI_THE!$A:$A,MATCH(AU389,LOAI_THE!$B:$B,0)),"")</f>
        <v/>
      </c>
      <c r="AU389" s="48"/>
      <c r="AV389" s="15"/>
      <c r="AW389" s="15"/>
      <c r="AX389" s="15"/>
      <c r="AY389" s="48"/>
    </row>
    <row r="390" spans="1:51" x14ac:dyDescent="0.3">
      <c r="A390" s="13" t="s">
        <v>4389</v>
      </c>
      <c r="B390" s="48"/>
      <c r="C390" s="48"/>
      <c r="D390" s="48"/>
      <c r="E390" s="48"/>
      <c r="F390" s="48"/>
      <c r="G390" s="58" t="str">
        <f>IF(ISNUMBER(MATCH(H390,GIOI_TINH!$B:$B,0)),INDEX(GIOI_TINH!$A:$A,MATCH(H390,GIOI_TINH!$B:$B,0)),"")</f>
        <v/>
      </c>
      <c r="H390" s="15"/>
      <c r="I390" s="15"/>
      <c r="J390" s="58" t="str">
        <f>IF(ISNUMBER(MATCH(K390,QUOC_GIA!$B:$B,0)),INDEX(QUOC_GIA!$A:$A,MATCH(K390,QUOC_GIA!$B:$B,0)),"")</f>
        <v/>
      </c>
      <c r="K390" s="50"/>
      <c r="L390" s="15"/>
      <c r="M390" s="58" t="str">
        <f>IF(ISNUMBER(MATCH(N390,LOAI_THUE!$B:$B,0)),INDEX(LOAI_THUE!$A:$A,MATCH(N390,LOAI_THUE!$B:$B,0)),"")</f>
        <v/>
      </c>
      <c r="N390" s="50"/>
      <c r="O390" s="58" t="str">
        <f>IF(ISNUMBER(MATCH(P390,CHI_TIET_LOAI_KH!$B:$B,0)),INDEX(CHI_TIET_LOAI_KH!$A:$A,MATCH(P390,CHI_TIET_LOAI_KH!$B:$B,0)),"")</f>
        <v/>
      </c>
      <c r="P390" s="50"/>
      <c r="Q390" s="58" t="str">
        <f>IF(ISNUMBER(MATCH(R390,NGHE_NGHIEP!$B:$B,0)),INDEX(NGHE_NGHIEP!$A:$A,MATCH(R390,NGHE_NGHIEP!$B:$B,0)),"")</f>
        <v/>
      </c>
      <c r="R390" s="50"/>
      <c r="S390" s="58" t="str">
        <f>IF(ISNUMBER(MATCH(T390,LOAI_ID!$B:$B,0)),INDEX(LOAI_ID!$A:$A,MATCH(T390,LOAI_ID!$B:$B,0)),"")</f>
        <v/>
      </c>
      <c r="T390" s="16"/>
      <c r="U390" s="48"/>
      <c r="V390" s="48"/>
      <c r="W390" s="17"/>
      <c r="X390" s="17"/>
      <c r="Y390" s="15"/>
      <c r="Z390" s="15"/>
      <c r="AA390" s="59" t="str">
        <f>IFERROR(INDEX(NOI_CAP!$B:$B,MATCH(Z390,NOI_CAP!$A:$A,0)),"")</f>
        <v/>
      </c>
      <c r="AB390" s="58" t="str">
        <f>IF(ISNUMBER(MATCH(AC390,LOAI_DIA_CHI!$B:$B,0)),INDEX(LOAI_DIA_CHI!$A:$A,MATCH(AC390,LOAI_DIA_CHI!$B:$B,0)),"")</f>
        <v/>
      </c>
      <c r="AC390" s="16"/>
      <c r="AD390" s="58" t="str">
        <f>IF(ISNUMBER(MATCH(AE390,QUOC_GIA!$B:$B,0)),INDEX(QUOC_GIA!$A:$A,MATCH(AE390,QUOC_GIA!$B:$B,0)),"")</f>
        <v/>
      </c>
      <c r="AE390" s="16"/>
      <c r="AF390" s="48"/>
      <c r="AG390" s="59" t="str">
        <f>IFERROR(INDEX(TINH_TP!$B:$B,MATCH(AF390,TINH_TP!$A:$A,0)),"")</f>
        <v/>
      </c>
      <c r="AH390" s="50"/>
      <c r="AI390" s="59" t="str">
        <f>IF(OR(AF390="",AH390=""),"",IF(COUNTIFS(PHUONG_XA!$A$2:$A$3323,AH390,PHUONG_XA!$C$2:$C$3323,AF390)=0,"",INDEX(PHUONG_XA!$B$2:$B$3323,SUMPRODUCT((PHUONG_XA!$A$2:$A$3323&amp;""=AH390&amp;"")*(PHUONG_XA!$C$2:$C$3323&amp;""=AF390&amp;"")*(ROW(PHUONG_XA!$A$2:$A$3323)-ROW(PHUONG_XA!$A$2)+1)))))</f>
        <v/>
      </c>
      <c r="AJ390" s="14"/>
      <c r="AK390" s="14"/>
      <c r="AL390" s="57" t="str">
        <f t="shared" si="6"/>
        <v/>
      </c>
      <c r="AM390" s="14"/>
      <c r="AN390" s="15"/>
      <c r="AO390" s="15"/>
      <c r="AP390" s="48"/>
      <c r="AQ390" s="15"/>
      <c r="AR390" s="15"/>
      <c r="AS390" s="15"/>
      <c r="AT390" s="60" t="str">
        <f>IF(ISNUMBER(MATCH(AU390,LOAI_THE!$B:$B,0)),INDEX(LOAI_THE!$A:$A,MATCH(AU390,LOAI_THE!$B:$B,0)),"")</f>
        <v/>
      </c>
      <c r="AU390" s="48"/>
      <c r="AV390" s="15"/>
      <c r="AW390" s="15"/>
      <c r="AX390" s="15"/>
      <c r="AY390" s="48"/>
    </row>
    <row r="391" spans="1:51" x14ac:dyDescent="0.3">
      <c r="A391" s="13" t="s">
        <v>4390</v>
      </c>
      <c r="B391" s="48"/>
      <c r="C391" s="48"/>
      <c r="D391" s="48"/>
      <c r="E391" s="48"/>
      <c r="F391" s="48"/>
      <c r="G391" s="58" t="str">
        <f>IF(ISNUMBER(MATCH(H391,GIOI_TINH!$B:$B,0)),INDEX(GIOI_TINH!$A:$A,MATCH(H391,GIOI_TINH!$B:$B,0)),"")</f>
        <v/>
      </c>
      <c r="H391" s="15"/>
      <c r="I391" s="15"/>
      <c r="J391" s="58" t="str">
        <f>IF(ISNUMBER(MATCH(K391,QUOC_GIA!$B:$B,0)),INDEX(QUOC_GIA!$A:$A,MATCH(K391,QUOC_GIA!$B:$B,0)),"")</f>
        <v/>
      </c>
      <c r="K391" s="50"/>
      <c r="L391" s="15"/>
      <c r="M391" s="58" t="str">
        <f>IF(ISNUMBER(MATCH(N391,LOAI_THUE!$B:$B,0)),INDEX(LOAI_THUE!$A:$A,MATCH(N391,LOAI_THUE!$B:$B,0)),"")</f>
        <v/>
      </c>
      <c r="N391" s="50"/>
      <c r="O391" s="58" t="str">
        <f>IF(ISNUMBER(MATCH(P391,CHI_TIET_LOAI_KH!$B:$B,0)),INDEX(CHI_TIET_LOAI_KH!$A:$A,MATCH(P391,CHI_TIET_LOAI_KH!$B:$B,0)),"")</f>
        <v/>
      </c>
      <c r="P391" s="50"/>
      <c r="Q391" s="58" t="str">
        <f>IF(ISNUMBER(MATCH(R391,NGHE_NGHIEP!$B:$B,0)),INDEX(NGHE_NGHIEP!$A:$A,MATCH(R391,NGHE_NGHIEP!$B:$B,0)),"")</f>
        <v/>
      </c>
      <c r="R391" s="50"/>
      <c r="S391" s="58" t="str">
        <f>IF(ISNUMBER(MATCH(T391,LOAI_ID!$B:$B,0)),INDEX(LOAI_ID!$A:$A,MATCH(T391,LOAI_ID!$B:$B,0)),"")</f>
        <v/>
      </c>
      <c r="T391" s="16"/>
      <c r="U391" s="48"/>
      <c r="V391" s="48"/>
      <c r="W391" s="17"/>
      <c r="X391" s="17"/>
      <c r="Y391" s="15"/>
      <c r="Z391" s="15"/>
      <c r="AA391" s="59" t="str">
        <f>IFERROR(INDEX(NOI_CAP!$B:$B,MATCH(Z391,NOI_CAP!$A:$A,0)),"")</f>
        <v/>
      </c>
      <c r="AB391" s="58" t="str">
        <f>IF(ISNUMBER(MATCH(AC391,LOAI_DIA_CHI!$B:$B,0)),INDEX(LOAI_DIA_CHI!$A:$A,MATCH(AC391,LOAI_DIA_CHI!$B:$B,0)),"")</f>
        <v/>
      </c>
      <c r="AC391" s="16"/>
      <c r="AD391" s="58" t="str">
        <f>IF(ISNUMBER(MATCH(AE391,QUOC_GIA!$B:$B,0)),INDEX(QUOC_GIA!$A:$A,MATCH(AE391,QUOC_GIA!$B:$B,0)),"")</f>
        <v/>
      </c>
      <c r="AE391" s="16"/>
      <c r="AF391" s="48"/>
      <c r="AG391" s="59" t="str">
        <f>IFERROR(INDEX(TINH_TP!$B:$B,MATCH(AF391,TINH_TP!$A:$A,0)),"")</f>
        <v/>
      </c>
      <c r="AH391" s="50"/>
      <c r="AI391" s="59" t="str">
        <f>IF(OR(AF391="",AH391=""),"",IF(COUNTIFS(PHUONG_XA!$A$2:$A$3323,AH391,PHUONG_XA!$C$2:$C$3323,AF391)=0,"",INDEX(PHUONG_XA!$B$2:$B$3323,SUMPRODUCT((PHUONG_XA!$A$2:$A$3323&amp;""=AH391&amp;"")*(PHUONG_XA!$C$2:$C$3323&amp;""=AF391&amp;"")*(ROW(PHUONG_XA!$A$2:$A$3323)-ROW(PHUONG_XA!$A$2)+1)))))</f>
        <v/>
      </c>
      <c r="AJ391" s="14"/>
      <c r="AK391" s="14"/>
      <c r="AL391" s="57" t="str">
        <f t="shared" ref="AL391:AL454" si="7">IF(OR(AI391="",AG391=""),"",SUBSTITUTE(SUBSTITUTE(AI391,"Phường","P."),"Xã","X.")&amp;", "&amp;SUBSTITUTE(SUBSTITUTE(AG391,"Thành phố","TP."),"Tỉnh","T."))</f>
        <v/>
      </c>
      <c r="AM391" s="14"/>
      <c r="AN391" s="15"/>
      <c r="AO391" s="15"/>
      <c r="AP391" s="48"/>
      <c r="AQ391" s="15"/>
      <c r="AR391" s="15"/>
      <c r="AS391" s="15"/>
      <c r="AT391" s="60" t="str">
        <f>IF(ISNUMBER(MATCH(AU391,LOAI_THE!$B:$B,0)),INDEX(LOAI_THE!$A:$A,MATCH(AU391,LOAI_THE!$B:$B,0)),"")</f>
        <v/>
      </c>
      <c r="AU391" s="48"/>
      <c r="AV391" s="15"/>
      <c r="AW391" s="15"/>
      <c r="AX391" s="15"/>
      <c r="AY391" s="48"/>
    </row>
    <row r="392" spans="1:51" x14ac:dyDescent="0.3">
      <c r="A392" s="13" t="s">
        <v>4391</v>
      </c>
      <c r="B392" s="48"/>
      <c r="C392" s="48"/>
      <c r="D392" s="48"/>
      <c r="E392" s="48"/>
      <c r="F392" s="48"/>
      <c r="G392" s="58" t="str">
        <f>IF(ISNUMBER(MATCH(H392,GIOI_TINH!$B:$B,0)),INDEX(GIOI_TINH!$A:$A,MATCH(H392,GIOI_TINH!$B:$B,0)),"")</f>
        <v/>
      </c>
      <c r="H392" s="15"/>
      <c r="I392" s="15"/>
      <c r="J392" s="58" t="str">
        <f>IF(ISNUMBER(MATCH(K392,QUOC_GIA!$B:$B,0)),INDEX(QUOC_GIA!$A:$A,MATCH(K392,QUOC_GIA!$B:$B,0)),"")</f>
        <v/>
      </c>
      <c r="K392" s="50"/>
      <c r="L392" s="15"/>
      <c r="M392" s="58" t="str">
        <f>IF(ISNUMBER(MATCH(N392,LOAI_THUE!$B:$B,0)),INDEX(LOAI_THUE!$A:$A,MATCH(N392,LOAI_THUE!$B:$B,0)),"")</f>
        <v/>
      </c>
      <c r="N392" s="50"/>
      <c r="O392" s="58" t="str">
        <f>IF(ISNUMBER(MATCH(P392,CHI_TIET_LOAI_KH!$B:$B,0)),INDEX(CHI_TIET_LOAI_KH!$A:$A,MATCH(P392,CHI_TIET_LOAI_KH!$B:$B,0)),"")</f>
        <v/>
      </c>
      <c r="P392" s="50"/>
      <c r="Q392" s="58" t="str">
        <f>IF(ISNUMBER(MATCH(R392,NGHE_NGHIEP!$B:$B,0)),INDEX(NGHE_NGHIEP!$A:$A,MATCH(R392,NGHE_NGHIEP!$B:$B,0)),"")</f>
        <v/>
      </c>
      <c r="R392" s="50"/>
      <c r="S392" s="58" t="str">
        <f>IF(ISNUMBER(MATCH(T392,LOAI_ID!$B:$B,0)),INDEX(LOAI_ID!$A:$A,MATCH(T392,LOAI_ID!$B:$B,0)),"")</f>
        <v/>
      </c>
      <c r="T392" s="16"/>
      <c r="U392" s="48"/>
      <c r="V392" s="48"/>
      <c r="W392" s="17"/>
      <c r="X392" s="17"/>
      <c r="Y392" s="15"/>
      <c r="Z392" s="15"/>
      <c r="AA392" s="59" t="str">
        <f>IFERROR(INDEX(NOI_CAP!$B:$B,MATCH(Z392,NOI_CAP!$A:$A,0)),"")</f>
        <v/>
      </c>
      <c r="AB392" s="58" t="str">
        <f>IF(ISNUMBER(MATCH(AC392,LOAI_DIA_CHI!$B:$B,0)),INDEX(LOAI_DIA_CHI!$A:$A,MATCH(AC392,LOAI_DIA_CHI!$B:$B,0)),"")</f>
        <v/>
      </c>
      <c r="AC392" s="16"/>
      <c r="AD392" s="58" t="str">
        <f>IF(ISNUMBER(MATCH(AE392,QUOC_GIA!$B:$B,0)),INDEX(QUOC_GIA!$A:$A,MATCH(AE392,QUOC_GIA!$B:$B,0)),"")</f>
        <v/>
      </c>
      <c r="AE392" s="16"/>
      <c r="AF392" s="48"/>
      <c r="AG392" s="59" t="str">
        <f>IFERROR(INDEX(TINH_TP!$B:$B,MATCH(AF392,TINH_TP!$A:$A,0)),"")</f>
        <v/>
      </c>
      <c r="AH392" s="50"/>
      <c r="AI392" s="59" t="str">
        <f>IF(OR(AF392="",AH392=""),"",IF(COUNTIFS(PHUONG_XA!$A$2:$A$3323,AH392,PHUONG_XA!$C$2:$C$3323,AF392)=0,"",INDEX(PHUONG_XA!$B$2:$B$3323,SUMPRODUCT((PHUONG_XA!$A$2:$A$3323&amp;""=AH392&amp;"")*(PHUONG_XA!$C$2:$C$3323&amp;""=AF392&amp;"")*(ROW(PHUONG_XA!$A$2:$A$3323)-ROW(PHUONG_XA!$A$2)+1)))))</f>
        <v/>
      </c>
      <c r="AJ392" s="14"/>
      <c r="AK392" s="14"/>
      <c r="AL392" s="57" t="str">
        <f t="shared" si="7"/>
        <v/>
      </c>
      <c r="AM392" s="14"/>
      <c r="AN392" s="15"/>
      <c r="AO392" s="15"/>
      <c r="AP392" s="48"/>
      <c r="AQ392" s="15"/>
      <c r="AR392" s="15"/>
      <c r="AS392" s="15"/>
      <c r="AT392" s="60" t="str">
        <f>IF(ISNUMBER(MATCH(AU392,LOAI_THE!$B:$B,0)),INDEX(LOAI_THE!$A:$A,MATCH(AU392,LOAI_THE!$B:$B,0)),"")</f>
        <v/>
      </c>
      <c r="AU392" s="48"/>
      <c r="AV392" s="15"/>
      <c r="AW392" s="15"/>
      <c r="AX392" s="15"/>
      <c r="AY392" s="48"/>
    </row>
    <row r="393" spans="1:51" x14ac:dyDescent="0.3">
      <c r="A393" s="13" t="s">
        <v>4392</v>
      </c>
      <c r="B393" s="48"/>
      <c r="C393" s="48"/>
      <c r="D393" s="48"/>
      <c r="E393" s="48"/>
      <c r="F393" s="48"/>
      <c r="G393" s="58" t="str">
        <f>IF(ISNUMBER(MATCH(H393,GIOI_TINH!$B:$B,0)),INDEX(GIOI_TINH!$A:$A,MATCH(H393,GIOI_TINH!$B:$B,0)),"")</f>
        <v/>
      </c>
      <c r="H393" s="15"/>
      <c r="I393" s="15"/>
      <c r="J393" s="58" t="str">
        <f>IF(ISNUMBER(MATCH(K393,QUOC_GIA!$B:$B,0)),INDEX(QUOC_GIA!$A:$A,MATCH(K393,QUOC_GIA!$B:$B,0)),"")</f>
        <v/>
      </c>
      <c r="K393" s="50"/>
      <c r="L393" s="15"/>
      <c r="M393" s="58" t="str">
        <f>IF(ISNUMBER(MATCH(N393,LOAI_THUE!$B:$B,0)),INDEX(LOAI_THUE!$A:$A,MATCH(N393,LOAI_THUE!$B:$B,0)),"")</f>
        <v/>
      </c>
      <c r="N393" s="50"/>
      <c r="O393" s="58" t="str">
        <f>IF(ISNUMBER(MATCH(P393,CHI_TIET_LOAI_KH!$B:$B,0)),INDEX(CHI_TIET_LOAI_KH!$A:$A,MATCH(P393,CHI_TIET_LOAI_KH!$B:$B,0)),"")</f>
        <v/>
      </c>
      <c r="P393" s="50"/>
      <c r="Q393" s="58" t="str">
        <f>IF(ISNUMBER(MATCH(R393,NGHE_NGHIEP!$B:$B,0)),INDEX(NGHE_NGHIEP!$A:$A,MATCH(R393,NGHE_NGHIEP!$B:$B,0)),"")</f>
        <v/>
      </c>
      <c r="R393" s="50"/>
      <c r="S393" s="58" t="str">
        <f>IF(ISNUMBER(MATCH(T393,LOAI_ID!$B:$B,0)),INDEX(LOAI_ID!$A:$A,MATCH(T393,LOAI_ID!$B:$B,0)),"")</f>
        <v/>
      </c>
      <c r="T393" s="16"/>
      <c r="U393" s="48"/>
      <c r="V393" s="48"/>
      <c r="W393" s="17"/>
      <c r="X393" s="17"/>
      <c r="Y393" s="15"/>
      <c r="Z393" s="15"/>
      <c r="AA393" s="59" t="str">
        <f>IFERROR(INDEX(NOI_CAP!$B:$B,MATCH(Z393,NOI_CAP!$A:$A,0)),"")</f>
        <v/>
      </c>
      <c r="AB393" s="58" t="str">
        <f>IF(ISNUMBER(MATCH(AC393,LOAI_DIA_CHI!$B:$B,0)),INDEX(LOAI_DIA_CHI!$A:$A,MATCH(AC393,LOAI_DIA_CHI!$B:$B,0)),"")</f>
        <v/>
      </c>
      <c r="AC393" s="16"/>
      <c r="AD393" s="58" t="str">
        <f>IF(ISNUMBER(MATCH(AE393,QUOC_GIA!$B:$B,0)),INDEX(QUOC_GIA!$A:$A,MATCH(AE393,QUOC_GIA!$B:$B,0)),"")</f>
        <v/>
      </c>
      <c r="AE393" s="16"/>
      <c r="AF393" s="48"/>
      <c r="AG393" s="59" t="str">
        <f>IFERROR(INDEX(TINH_TP!$B:$B,MATCH(AF393,TINH_TP!$A:$A,0)),"")</f>
        <v/>
      </c>
      <c r="AH393" s="50"/>
      <c r="AI393" s="59" t="str">
        <f>IF(OR(AF393="",AH393=""),"",IF(COUNTIFS(PHUONG_XA!$A$2:$A$3323,AH393,PHUONG_XA!$C$2:$C$3323,AF393)=0,"",INDEX(PHUONG_XA!$B$2:$B$3323,SUMPRODUCT((PHUONG_XA!$A$2:$A$3323&amp;""=AH393&amp;"")*(PHUONG_XA!$C$2:$C$3323&amp;""=AF393&amp;"")*(ROW(PHUONG_XA!$A$2:$A$3323)-ROW(PHUONG_XA!$A$2)+1)))))</f>
        <v/>
      </c>
      <c r="AJ393" s="14"/>
      <c r="AK393" s="14"/>
      <c r="AL393" s="57" t="str">
        <f t="shared" si="7"/>
        <v/>
      </c>
      <c r="AM393" s="14"/>
      <c r="AN393" s="15"/>
      <c r="AO393" s="15"/>
      <c r="AP393" s="48"/>
      <c r="AQ393" s="15"/>
      <c r="AR393" s="15"/>
      <c r="AS393" s="15"/>
      <c r="AT393" s="60" t="str">
        <f>IF(ISNUMBER(MATCH(AU393,LOAI_THE!$B:$B,0)),INDEX(LOAI_THE!$A:$A,MATCH(AU393,LOAI_THE!$B:$B,0)),"")</f>
        <v/>
      </c>
      <c r="AU393" s="48"/>
      <c r="AV393" s="15"/>
      <c r="AW393" s="15"/>
      <c r="AX393" s="15"/>
      <c r="AY393" s="48"/>
    </row>
    <row r="394" spans="1:51" x14ac:dyDescent="0.3">
      <c r="A394" s="13" t="s">
        <v>811</v>
      </c>
      <c r="B394" s="48"/>
      <c r="C394" s="48"/>
      <c r="D394" s="48"/>
      <c r="E394" s="48"/>
      <c r="F394" s="48"/>
      <c r="G394" s="58" t="str">
        <f>IF(ISNUMBER(MATCH(H394,GIOI_TINH!$B:$B,0)),INDEX(GIOI_TINH!$A:$A,MATCH(H394,GIOI_TINH!$B:$B,0)),"")</f>
        <v/>
      </c>
      <c r="H394" s="15"/>
      <c r="I394" s="15"/>
      <c r="J394" s="58" t="str">
        <f>IF(ISNUMBER(MATCH(K394,QUOC_GIA!$B:$B,0)),INDEX(QUOC_GIA!$A:$A,MATCH(K394,QUOC_GIA!$B:$B,0)),"")</f>
        <v/>
      </c>
      <c r="K394" s="50"/>
      <c r="L394" s="15"/>
      <c r="M394" s="58" t="str">
        <f>IF(ISNUMBER(MATCH(N394,LOAI_THUE!$B:$B,0)),INDEX(LOAI_THUE!$A:$A,MATCH(N394,LOAI_THUE!$B:$B,0)),"")</f>
        <v/>
      </c>
      <c r="N394" s="50"/>
      <c r="O394" s="58" t="str">
        <f>IF(ISNUMBER(MATCH(P394,CHI_TIET_LOAI_KH!$B:$B,0)),INDEX(CHI_TIET_LOAI_KH!$A:$A,MATCH(P394,CHI_TIET_LOAI_KH!$B:$B,0)),"")</f>
        <v/>
      </c>
      <c r="P394" s="50"/>
      <c r="Q394" s="58" t="str">
        <f>IF(ISNUMBER(MATCH(R394,NGHE_NGHIEP!$B:$B,0)),INDEX(NGHE_NGHIEP!$A:$A,MATCH(R394,NGHE_NGHIEP!$B:$B,0)),"")</f>
        <v/>
      </c>
      <c r="R394" s="50"/>
      <c r="S394" s="58" t="str">
        <f>IF(ISNUMBER(MATCH(T394,LOAI_ID!$B:$B,0)),INDEX(LOAI_ID!$A:$A,MATCH(T394,LOAI_ID!$B:$B,0)),"")</f>
        <v/>
      </c>
      <c r="T394" s="16"/>
      <c r="U394" s="48"/>
      <c r="V394" s="48"/>
      <c r="W394" s="17"/>
      <c r="X394" s="17"/>
      <c r="Y394" s="15"/>
      <c r="Z394" s="15"/>
      <c r="AA394" s="59" t="str">
        <f>IFERROR(INDEX(NOI_CAP!$B:$B,MATCH(Z394,NOI_CAP!$A:$A,0)),"")</f>
        <v/>
      </c>
      <c r="AB394" s="58" t="str">
        <f>IF(ISNUMBER(MATCH(AC394,LOAI_DIA_CHI!$B:$B,0)),INDEX(LOAI_DIA_CHI!$A:$A,MATCH(AC394,LOAI_DIA_CHI!$B:$B,0)),"")</f>
        <v/>
      </c>
      <c r="AC394" s="16"/>
      <c r="AD394" s="58" t="str">
        <f>IF(ISNUMBER(MATCH(AE394,QUOC_GIA!$B:$B,0)),INDEX(QUOC_GIA!$A:$A,MATCH(AE394,QUOC_GIA!$B:$B,0)),"")</f>
        <v/>
      </c>
      <c r="AE394" s="16"/>
      <c r="AF394" s="48"/>
      <c r="AG394" s="59" t="str">
        <f>IFERROR(INDEX(TINH_TP!$B:$B,MATCH(AF394,TINH_TP!$A:$A,0)),"")</f>
        <v/>
      </c>
      <c r="AH394" s="50"/>
      <c r="AI394" s="59" t="str">
        <f>IF(OR(AF394="",AH394=""),"",IF(COUNTIFS(PHUONG_XA!$A$2:$A$3323,AH394,PHUONG_XA!$C$2:$C$3323,AF394)=0,"",INDEX(PHUONG_XA!$B$2:$B$3323,SUMPRODUCT((PHUONG_XA!$A$2:$A$3323&amp;""=AH394&amp;"")*(PHUONG_XA!$C$2:$C$3323&amp;""=AF394&amp;"")*(ROW(PHUONG_XA!$A$2:$A$3323)-ROW(PHUONG_XA!$A$2)+1)))))</f>
        <v/>
      </c>
      <c r="AJ394" s="14"/>
      <c r="AK394" s="14"/>
      <c r="AL394" s="57" t="str">
        <f t="shared" si="7"/>
        <v/>
      </c>
      <c r="AM394" s="14"/>
      <c r="AN394" s="15"/>
      <c r="AO394" s="15"/>
      <c r="AP394" s="48"/>
      <c r="AQ394" s="15"/>
      <c r="AR394" s="15"/>
      <c r="AS394" s="15"/>
      <c r="AT394" s="60" t="str">
        <f>IF(ISNUMBER(MATCH(AU394,LOAI_THE!$B:$B,0)),INDEX(LOAI_THE!$A:$A,MATCH(AU394,LOAI_THE!$B:$B,0)),"")</f>
        <v/>
      </c>
      <c r="AU394" s="48"/>
      <c r="AV394" s="15"/>
      <c r="AW394" s="15"/>
      <c r="AX394" s="15"/>
      <c r="AY394" s="48"/>
    </row>
    <row r="395" spans="1:51" x14ac:dyDescent="0.3">
      <c r="A395" s="13" t="s">
        <v>4393</v>
      </c>
      <c r="B395" s="48"/>
      <c r="C395" s="48"/>
      <c r="D395" s="48"/>
      <c r="E395" s="48"/>
      <c r="F395" s="48"/>
      <c r="G395" s="58" t="str">
        <f>IF(ISNUMBER(MATCH(H395,GIOI_TINH!$B:$B,0)),INDEX(GIOI_TINH!$A:$A,MATCH(H395,GIOI_TINH!$B:$B,0)),"")</f>
        <v/>
      </c>
      <c r="H395" s="15"/>
      <c r="I395" s="15"/>
      <c r="J395" s="58" t="str">
        <f>IF(ISNUMBER(MATCH(K395,QUOC_GIA!$B:$B,0)),INDEX(QUOC_GIA!$A:$A,MATCH(K395,QUOC_GIA!$B:$B,0)),"")</f>
        <v/>
      </c>
      <c r="K395" s="50"/>
      <c r="L395" s="15"/>
      <c r="M395" s="58" t="str">
        <f>IF(ISNUMBER(MATCH(N395,LOAI_THUE!$B:$B,0)),INDEX(LOAI_THUE!$A:$A,MATCH(N395,LOAI_THUE!$B:$B,0)),"")</f>
        <v/>
      </c>
      <c r="N395" s="50"/>
      <c r="O395" s="58" t="str">
        <f>IF(ISNUMBER(MATCH(P395,CHI_TIET_LOAI_KH!$B:$B,0)),INDEX(CHI_TIET_LOAI_KH!$A:$A,MATCH(P395,CHI_TIET_LOAI_KH!$B:$B,0)),"")</f>
        <v/>
      </c>
      <c r="P395" s="50"/>
      <c r="Q395" s="58" t="str">
        <f>IF(ISNUMBER(MATCH(R395,NGHE_NGHIEP!$B:$B,0)),INDEX(NGHE_NGHIEP!$A:$A,MATCH(R395,NGHE_NGHIEP!$B:$B,0)),"")</f>
        <v/>
      </c>
      <c r="R395" s="50"/>
      <c r="S395" s="58" t="str">
        <f>IF(ISNUMBER(MATCH(T395,LOAI_ID!$B:$B,0)),INDEX(LOAI_ID!$A:$A,MATCH(T395,LOAI_ID!$B:$B,0)),"")</f>
        <v/>
      </c>
      <c r="T395" s="16"/>
      <c r="U395" s="48"/>
      <c r="V395" s="48"/>
      <c r="W395" s="17"/>
      <c r="X395" s="17"/>
      <c r="Y395" s="15"/>
      <c r="Z395" s="15"/>
      <c r="AA395" s="59" t="str">
        <f>IFERROR(INDEX(NOI_CAP!$B:$B,MATCH(Z395,NOI_CAP!$A:$A,0)),"")</f>
        <v/>
      </c>
      <c r="AB395" s="58" t="str">
        <f>IF(ISNUMBER(MATCH(AC395,LOAI_DIA_CHI!$B:$B,0)),INDEX(LOAI_DIA_CHI!$A:$A,MATCH(AC395,LOAI_DIA_CHI!$B:$B,0)),"")</f>
        <v/>
      </c>
      <c r="AC395" s="16"/>
      <c r="AD395" s="58" t="str">
        <f>IF(ISNUMBER(MATCH(AE395,QUOC_GIA!$B:$B,0)),INDEX(QUOC_GIA!$A:$A,MATCH(AE395,QUOC_GIA!$B:$B,0)),"")</f>
        <v/>
      </c>
      <c r="AE395" s="16"/>
      <c r="AF395" s="48"/>
      <c r="AG395" s="59" t="str">
        <f>IFERROR(INDEX(TINH_TP!$B:$B,MATCH(AF395,TINH_TP!$A:$A,0)),"")</f>
        <v/>
      </c>
      <c r="AH395" s="50"/>
      <c r="AI395" s="59" t="str">
        <f>IF(OR(AF395="",AH395=""),"",IF(COUNTIFS(PHUONG_XA!$A$2:$A$3323,AH395,PHUONG_XA!$C$2:$C$3323,AF395)=0,"",INDEX(PHUONG_XA!$B$2:$B$3323,SUMPRODUCT((PHUONG_XA!$A$2:$A$3323&amp;""=AH395&amp;"")*(PHUONG_XA!$C$2:$C$3323&amp;""=AF395&amp;"")*(ROW(PHUONG_XA!$A$2:$A$3323)-ROW(PHUONG_XA!$A$2)+1)))))</f>
        <v/>
      </c>
      <c r="AJ395" s="14"/>
      <c r="AK395" s="14"/>
      <c r="AL395" s="57" t="str">
        <f t="shared" si="7"/>
        <v/>
      </c>
      <c r="AM395" s="14"/>
      <c r="AN395" s="15"/>
      <c r="AO395" s="15"/>
      <c r="AP395" s="48"/>
      <c r="AQ395" s="15"/>
      <c r="AR395" s="15"/>
      <c r="AS395" s="15"/>
      <c r="AT395" s="60" t="str">
        <f>IF(ISNUMBER(MATCH(AU395,LOAI_THE!$B:$B,0)),INDEX(LOAI_THE!$A:$A,MATCH(AU395,LOAI_THE!$B:$B,0)),"")</f>
        <v/>
      </c>
      <c r="AU395" s="48"/>
      <c r="AV395" s="15"/>
      <c r="AW395" s="15"/>
      <c r="AX395" s="15"/>
      <c r="AY395" s="48"/>
    </row>
    <row r="396" spans="1:51" x14ac:dyDescent="0.3">
      <c r="A396" s="13" t="s">
        <v>4394</v>
      </c>
      <c r="B396" s="48"/>
      <c r="C396" s="48"/>
      <c r="D396" s="48"/>
      <c r="E396" s="48"/>
      <c r="F396" s="48"/>
      <c r="G396" s="58" t="str">
        <f>IF(ISNUMBER(MATCH(H396,GIOI_TINH!$B:$B,0)),INDEX(GIOI_TINH!$A:$A,MATCH(H396,GIOI_TINH!$B:$B,0)),"")</f>
        <v/>
      </c>
      <c r="H396" s="15"/>
      <c r="I396" s="15"/>
      <c r="J396" s="58" t="str">
        <f>IF(ISNUMBER(MATCH(K396,QUOC_GIA!$B:$B,0)),INDEX(QUOC_GIA!$A:$A,MATCH(K396,QUOC_GIA!$B:$B,0)),"")</f>
        <v/>
      </c>
      <c r="K396" s="50"/>
      <c r="L396" s="15"/>
      <c r="M396" s="58" t="str">
        <f>IF(ISNUMBER(MATCH(N396,LOAI_THUE!$B:$B,0)),INDEX(LOAI_THUE!$A:$A,MATCH(N396,LOAI_THUE!$B:$B,0)),"")</f>
        <v/>
      </c>
      <c r="N396" s="50"/>
      <c r="O396" s="58" t="str">
        <f>IF(ISNUMBER(MATCH(P396,CHI_TIET_LOAI_KH!$B:$B,0)),INDEX(CHI_TIET_LOAI_KH!$A:$A,MATCH(P396,CHI_TIET_LOAI_KH!$B:$B,0)),"")</f>
        <v/>
      </c>
      <c r="P396" s="50"/>
      <c r="Q396" s="58" t="str">
        <f>IF(ISNUMBER(MATCH(R396,NGHE_NGHIEP!$B:$B,0)),INDEX(NGHE_NGHIEP!$A:$A,MATCH(R396,NGHE_NGHIEP!$B:$B,0)),"")</f>
        <v/>
      </c>
      <c r="R396" s="50"/>
      <c r="S396" s="58" t="str">
        <f>IF(ISNUMBER(MATCH(T396,LOAI_ID!$B:$B,0)),INDEX(LOAI_ID!$A:$A,MATCH(T396,LOAI_ID!$B:$B,0)),"")</f>
        <v/>
      </c>
      <c r="T396" s="16"/>
      <c r="U396" s="48"/>
      <c r="V396" s="48"/>
      <c r="W396" s="17"/>
      <c r="X396" s="17"/>
      <c r="Y396" s="15"/>
      <c r="Z396" s="15"/>
      <c r="AA396" s="59" t="str">
        <f>IFERROR(INDEX(NOI_CAP!$B:$B,MATCH(Z396,NOI_CAP!$A:$A,0)),"")</f>
        <v/>
      </c>
      <c r="AB396" s="58" t="str">
        <f>IF(ISNUMBER(MATCH(AC396,LOAI_DIA_CHI!$B:$B,0)),INDEX(LOAI_DIA_CHI!$A:$A,MATCH(AC396,LOAI_DIA_CHI!$B:$B,0)),"")</f>
        <v/>
      </c>
      <c r="AC396" s="16"/>
      <c r="AD396" s="58" t="str">
        <f>IF(ISNUMBER(MATCH(AE396,QUOC_GIA!$B:$B,0)),INDEX(QUOC_GIA!$A:$A,MATCH(AE396,QUOC_GIA!$B:$B,0)),"")</f>
        <v/>
      </c>
      <c r="AE396" s="16"/>
      <c r="AF396" s="48"/>
      <c r="AG396" s="59" t="str">
        <f>IFERROR(INDEX(TINH_TP!$B:$B,MATCH(AF396,TINH_TP!$A:$A,0)),"")</f>
        <v/>
      </c>
      <c r="AH396" s="50"/>
      <c r="AI396" s="59" t="str">
        <f>IF(OR(AF396="",AH396=""),"",IF(COUNTIFS(PHUONG_XA!$A$2:$A$3323,AH396,PHUONG_XA!$C$2:$C$3323,AF396)=0,"",INDEX(PHUONG_XA!$B$2:$B$3323,SUMPRODUCT((PHUONG_XA!$A$2:$A$3323&amp;""=AH396&amp;"")*(PHUONG_XA!$C$2:$C$3323&amp;""=AF396&amp;"")*(ROW(PHUONG_XA!$A$2:$A$3323)-ROW(PHUONG_XA!$A$2)+1)))))</f>
        <v/>
      </c>
      <c r="AJ396" s="14"/>
      <c r="AK396" s="14"/>
      <c r="AL396" s="57" t="str">
        <f t="shared" si="7"/>
        <v/>
      </c>
      <c r="AM396" s="14"/>
      <c r="AN396" s="15"/>
      <c r="AO396" s="15"/>
      <c r="AP396" s="48"/>
      <c r="AQ396" s="15"/>
      <c r="AR396" s="15"/>
      <c r="AS396" s="15"/>
      <c r="AT396" s="60" t="str">
        <f>IF(ISNUMBER(MATCH(AU396,LOAI_THE!$B:$B,0)),INDEX(LOAI_THE!$A:$A,MATCH(AU396,LOAI_THE!$B:$B,0)),"")</f>
        <v/>
      </c>
      <c r="AU396" s="48"/>
      <c r="AV396" s="15"/>
      <c r="AW396" s="15"/>
      <c r="AX396" s="15"/>
      <c r="AY396" s="48"/>
    </row>
    <row r="397" spans="1:51" x14ac:dyDescent="0.3">
      <c r="A397" s="13" t="s">
        <v>4395</v>
      </c>
      <c r="B397" s="48"/>
      <c r="C397" s="48"/>
      <c r="D397" s="48"/>
      <c r="E397" s="48"/>
      <c r="F397" s="48"/>
      <c r="G397" s="58" t="str">
        <f>IF(ISNUMBER(MATCH(H397,GIOI_TINH!$B:$B,0)),INDEX(GIOI_TINH!$A:$A,MATCH(H397,GIOI_TINH!$B:$B,0)),"")</f>
        <v/>
      </c>
      <c r="H397" s="15"/>
      <c r="I397" s="15"/>
      <c r="J397" s="58" t="str">
        <f>IF(ISNUMBER(MATCH(K397,QUOC_GIA!$B:$B,0)),INDEX(QUOC_GIA!$A:$A,MATCH(K397,QUOC_GIA!$B:$B,0)),"")</f>
        <v/>
      </c>
      <c r="K397" s="50"/>
      <c r="L397" s="15"/>
      <c r="M397" s="58" t="str">
        <f>IF(ISNUMBER(MATCH(N397,LOAI_THUE!$B:$B,0)),INDEX(LOAI_THUE!$A:$A,MATCH(N397,LOAI_THUE!$B:$B,0)),"")</f>
        <v/>
      </c>
      <c r="N397" s="50"/>
      <c r="O397" s="58" t="str">
        <f>IF(ISNUMBER(MATCH(P397,CHI_TIET_LOAI_KH!$B:$B,0)),INDEX(CHI_TIET_LOAI_KH!$A:$A,MATCH(P397,CHI_TIET_LOAI_KH!$B:$B,0)),"")</f>
        <v/>
      </c>
      <c r="P397" s="50"/>
      <c r="Q397" s="58" t="str">
        <f>IF(ISNUMBER(MATCH(R397,NGHE_NGHIEP!$B:$B,0)),INDEX(NGHE_NGHIEP!$A:$A,MATCH(R397,NGHE_NGHIEP!$B:$B,0)),"")</f>
        <v/>
      </c>
      <c r="R397" s="50"/>
      <c r="S397" s="58" t="str">
        <f>IF(ISNUMBER(MATCH(T397,LOAI_ID!$B:$B,0)),INDEX(LOAI_ID!$A:$A,MATCH(T397,LOAI_ID!$B:$B,0)),"")</f>
        <v/>
      </c>
      <c r="T397" s="16"/>
      <c r="U397" s="48"/>
      <c r="V397" s="48"/>
      <c r="W397" s="17"/>
      <c r="X397" s="17"/>
      <c r="Y397" s="15"/>
      <c r="Z397" s="15"/>
      <c r="AA397" s="59" t="str">
        <f>IFERROR(INDEX(NOI_CAP!$B:$B,MATCH(Z397,NOI_CAP!$A:$A,0)),"")</f>
        <v/>
      </c>
      <c r="AB397" s="58" t="str">
        <f>IF(ISNUMBER(MATCH(AC397,LOAI_DIA_CHI!$B:$B,0)),INDEX(LOAI_DIA_CHI!$A:$A,MATCH(AC397,LOAI_DIA_CHI!$B:$B,0)),"")</f>
        <v/>
      </c>
      <c r="AC397" s="16"/>
      <c r="AD397" s="58" t="str">
        <f>IF(ISNUMBER(MATCH(AE397,QUOC_GIA!$B:$B,0)),INDEX(QUOC_GIA!$A:$A,MATCH(AE397,QUOC_GIA!$B:$B,0)),"")</f>
        <v/>
      </c>
      <c r="AE397" s="16"/>
      <c r="AF397" s="48"/>
      <c r="AG397" s="59" t="str">
        <f>IFERROR(INDEX(TINH_TP!$B:$B,MATCH(AF397,TINH_TP!$A:$A,0)),"")</f>
        <v/>
      </c>
      <c r="AH397" s="50"/>
      <c r="AI397" s="59" t="str">
        <f>IF(OR(AF397="",AH397=""),"",IF(COUNTIFS(PHUONG_XA!$A$2:$A$3323,AH397,PHUONG_XA!$C$2:$C$3323,AF397)=0,"",INDEX(PHUONG_XA!$B$2:$B$3323,SUMPRODUCT((PHUONG_XA!$A$2:$A$3323&amp;""=AH397&amp;"")*(PHUONG_XA!$C$2:$C$3323&amp;""=AF397&amp;"")*(ROW(PHUONG_XA!$A$2:$A$3323)-ROW(PHUONG_XA!$A$2)+1)))))</f>
        <v/>
      </c>
      <c r="AJ397" s="14"/>
      <c r="AK397" s="14"/>
      <c r="AL397" s="57" t="str">
        <f t="shared" si="7"/>
        <v/>
      </c>
      <c r="AM397" s="14"/>
      <c r="AN397" s="15"/>
      <c r="AO397" s="15"/>
      <c r="AP397" s="48"/>
      <c r="AQ397" s="15"/>
      <c r="AR397" s="15"/>
      <c r="AS397" s="15"/>
      <c r="AT397" s="60" t="str">
        <f>IF(ISNUMBER(MATCH(AU397,LOAI_THE!$B:$B,0)),INDEX(LOAI_THE!$A:$A,MATCH(AU397,LOAI_THE!$B:$B,0)),"")</f>
        <v/>
      </c>
      <c r="AU397" s="48"/>
      <c r="AV397" s="15"/>
      <c r="AW397" s="15"/>
      <c r="AX397" s="15"/>
      <c r="AY397" s="48"/>
    </row>
    <row r="398" spans="1:51" x14ac:dyDescent="0.3">
      <c r="A398" s="13" t="s">
        <v>4396</v>
      </c>
      <c r="B398" s="48"/>
      <c r="C398" s="48"/>
      <c r="D398" s="48"/>
      <c r="E398" s="48"/>
      <c r="F398" s="48"/>
      <c r="G398" s="58" t="str">
        <f>IF(ISNUMBER(MATCH(H398,GIOI_TINH!$B:$B,0)),INDEX(GIOI_TINH!$A:$A,MATCH(H398,GIOI_TINH!$B:$B,0)),"")</f>
        <v/>
      </c>
      <c r="H398" s="15"/>
      <c r="I398" s="15"/>
      <c r="J398" s="58" t="str">
        <f>IF(ISNUMBER(MATCH(K398,QUOC_GIA!$B:$B,0)),INDEX(QUOC_GIA!$A:$A,MATCH(K398,QUOC_GIA!$B:$B,0)),"")</f>
        <v/>
      </c>
      <c r="K398" s="50"/>
      <c r="L398" s="15"/>
      <c r="M398" s="58" t="str">
        <f>IF(ISNUMBER(MATCH(N398,LOAI_THUE!$B:$B,0)),INDEX(LOAI_THUE!$A:$A,MATCH(N398,LOAI_THUE!$B:$B,0)),"")</f>
        <v/>
      </c>
      <c r="N398" s="50"/>
      <c r="O398" s="58" t="str">
        <f>IF(ISNUMBER(MATCH(P398,CHI_TIET_LOAI_KH!$B:$B,0)),INDEX(CHI_TIET_LOAI_KH!$A:$A,MATCH(P398,CHI_TIET_LOAI_KH!$B:$B,0)),"")</f>
        <v/>
      </c>
      <c r="P398" s="50"/>
      <c r="Q398" s="58" t="str">
        <f>IF(ISNUMBER(MATCH(R398,NGHE_NGHIEP!$B:$B,0)),INDEX(NGHE_NGHIEP!$A:$A,MATCH(R398,NGHE_NGHIEP!$B:$B,0)),"")</f>
        <v/>
      </c>
      <c r="R398" s="50"/>
      <c r="S398" s="58" t="str">
        <f>IF(ISNUMBER(MATCH(T398,LOAI_ID!$B:$B,0)),INDEX(LOAI_ID!$A:$A,MATCH(T398,LOAI_ID!$B:$B,0)),"")</f>
        <v/>
      </c>
      <c r="T398" s="16"/>
      <c r="U398" s="48"/>
      <c r="V398" s="48"/>
      <c r="W398" s="17"/>
      <c r="X398" s="17"/>
      <c r="Y398" s="15"/>
      <c r="Z398" s="15"/>
      <c r="AA398" s="59" t="str">
        <f>IFERROR(INDEX(NOI_CAP!$B:$B,MATCH(Z398,NOI_CAP!$A:$A,0)),"")</f>
        <v/>
      </c>
      <c r="AB398" s="58" t="str">
        <f>IF(ISNUMBER(MATCH(AC398,LOAI_DIA_CHI!$B:$B,0)),INDEX(LOAI_DIA_CHI!$A:$A,MATCH(AC398,LOAI_DIA_CHI!$B:$B,0)),"")</f>
        <v/>
      </c>
      <c r="AC398" s="16"/>
      <c r="AD398" s="58" t="str">
        <f>IF(ISNUMBER(MATCH(AE398,QUOC_GIA!$B:$B,0)),INDEX(QUOC_GIA!$A:$A,MATCH(AE398,QUOC_GIA!$B:$B,0)),"")</f>
        <v/>
      </c>
      <c r="AE398" s="16"/>
      <c r="AF398" s="48"/>
      <c r="AG398" s="59" t="str">
        <f>IFERROR(INDEX(TINH_TP!$B:$B,MATCH(AF398,TINH_TP!$A:$A,0)),"")</f>
        <v/>
      </c>
      <c r="AH398" s="50"/>
      <c r="AI398" s="59" t="str">
        <f>IF(OR(AF398="",AH398=""),"",IF(COUNTIFS(PHUONG_XA!$A$2:$A$3323,AH398,PHUONG_XA!$C$2:$C$3323,AF398)=0,"",INDEX(PHUONG_XA!$B$2:$B$3323,SUMPRODUCT((PHUONG_XA!$A$2:$A$3323&amp;""=AH398&amp;"")*(PHUONG_XA!$C$2:$C$3323&amp;""=AF398&amp;"")*(ROW(PHUONG_XA!$A$2:$A$3323)-ROW(PHUONG_XA!$A$2)+1)))))</f>
        <v/>
      </c>
      <c r="AJ398" s="14"/>
      <c r="AK398" s="14"/>
      <c r="AL398" s="57" t="str">
        <f t="shared" si="7"/>
        <v/>
      </c>
      <c r="AM398" s="14"/>
      <c r="AN398" s="15"/>
      <c r="AO398" s="15"/>
      <c r="AP398" s="48"/>
      <c r="AQ398" s="15"/>
      <c r="AR398" s="15"/>
      <c r="AS398" s="15"/>
      <c r="AT398" s="60" t="str">
        <f>IF(ISNUMBER(MATCH(AU398,LOAI_THE!$B:$B,0)),INDEX(LOAI_THE!$A:$A,MATCH(AU398,LOAI_THE!$B:$B,0)),"")</f>
        <v/>
      </c>
      <c r="AU398" s="48"/>
      <c r="AV398" s="15"/>
      <c r="AW398" s="15"/>
      <c r="AX398" s="15"/>
      <c r="AY398" s="48"/>
    </row>
    <row r="399" spans="1:51" x14ac:dyDescent="0.3">
      <c r="A399" s="13" t="s">
        <v>4397</v>
      </c>
      <c r="B399" s="48"/>
      <c r="C399" s="48"/>
      <c r="D399" s="48"/>
      <c r="E399" s="48"/>
      <c r="F399" s="48"/>
      <c r="G399" s="58" t="str">
        <f>IF(ISNUMBER(MATCH(H399,GIOI_TINH!$B:$B,0)),INDEX(GIOI_TINH!$A:$A,MATCH(H399,GIOI_TINH!$B:$B,0)),"")</f>
        <v/>
      </c>
      <c r="H399" s="15"/>
      <c r="I399" s="15"/>
      <c r="J399" s="58" t="str">
        <f>IF(ISNUMBER(MATCH(K399,QUOC_GIA!$B:$B,0)),INDEX(QUOC_GIA!$A:$A,MATCH(K399,QUOC_GIA!$B:$B,0)),"")</f>
        <v/>
      </c>
      <c r="K399" s="50"/>
      <c r="L399" s="15"/>
      <c r="M399" s="58" t="str">
        <f>IF(ISNUMBER(MATCH(N399,LOAI_THUE!$B:$B,0)),INDEX(LOAI_THUE!$A:$A,MATCH(N399,LOAI_THUE!$B:$B,0)),"")</f>
        <v/>
      </c>
      <c r="N399" s="50"/>
      <c r="O399" s="58" t="str">
        <f>IF(ISNUMBER(MATCH(P399,CHI_TIET_LOAI_KH!$B:$B,0)),INDEX(CHI_TIET_LOAI_KH!$A:$A,MATCH(P399,CHI_TIET_LOAI_KH!$B:$B,0)),"")</f>
        <v/>
      </c>
      <c r="P399" s="50"/>
      <c r="Q399" s="58" t="str">
        <f>IF(ISNUMBER(MATCH(R399,NGHE_NGHIEP!$B:$B,0)),INDEX(NGHE_NGHIEP!$A:$A,MATCH(R399,NGHE_NGHIEP!$B:$B,0)),"")</f>
        <v/>
      </c>
      <c r="R399" s="50"/>
      <c r="S399" s="58" t="str">
        <f>IF(ISNUMBER(MATCH(T399,LOAI_ID!$B:$B,0)),INDEX(LOAI_ID!$A:$A,MATCH(T399,LOAI_ID!$B:$B,0)),"")</f>
        <v/>
      </c>
      <c r="T399" s="16"/>
      <c r="U399" s="48"/>
      <c r="V399" s="48"/>
      <c r="W399" s="17"/>
      <c r="X399" s="17"/>
      <c r="Y399" s="15"/>
      <c r="Z399" s="15"/>
      <c r="AA399" s="59" t="str">
        <f>IFERROR(INDEX(NOI_CAP!$B:$B,MATCH(Z399,NOI_CAP!$A:$A,0)),"")</f>
        <v/>
      </c>
      <c r="AB399" s="58" t="str">
        <f>IF(ISNUMBER(MATCH(AC399,LOAI_DIA_CHI!$B:$B,0)),INDEX(LOAI_DIA_CHI!$A:$A,MATCH(AC399,LOAI_DIA_CHI!$B:$B,0)),"")</f>
        <v/>
      </c>
      <c r="AC399" s="16"/>
      <c r="AD399" s="58" t="str">
        <f>IF(ISNUMBER(MATCH(AE399,QUOC_GIA!$B:$B,0)),INDEX(QUOC_GIA!$A:$A,MATCH(AE399,QUOC_GIA!$B:$B,0)),"")</f>
        <v/>
      </c>
      <c r="AE399" s="16"/>
      <c r="AF399" s="48"/>
      <c r="AG399" s="59" t="str">
        <f>IFERROR(INDEX(TINH_TP!$B:$B,MATCH(AF399,TINH_TP!$A:$A,0)),"")</f>
        <v/>
      </c>
      <c r="AH399" s="50"/>
      <c r="AI399" s="59" t="str">
        <f>IF(OR(AF399="",AH399=""),"",IF(COUNTIFS(PHUONG_XA!$A$2:$A$3323,AH399,PHUONG_XA!$C$2:$C$3323,AF399)=0,"",INDEX(PHUONG_XA!$B$2:$B$3323,SUMPRODUCT((PHUONG_XA!$A$2:$A$3323&amp;""=AH399&amp;"")*(PHUONG_XA!$C$2:$C$3323&amp;""=AF399&amp;"")*(ROW(PHUONG_XA!$A$2:$A$3323)-ROW(PHUONG_XA!$A$2)+1)))))</f>
        <v/>
      </c>
      <c r="AJ399" s="14"/>
      <c r="AK399" s="14"/>
      <c r="AL399" s="57" t="str">
        <f t="shared" si="7"/>
        <v/>
      </c>
      <c r="AM399" s="14"/>
      <c r="AN399" s="15"/>
      <c r="AO399" s="15"/>
      <c r="AP399" s="48"/>
      <c r="AQ399" s="15"/>
      <c r="AR399" s="15"/>
      <c r="AS399" s="15"/>
      <c r="AT399" s="60" t="str">
        <f>IF(ISNUMBER(MATCH(AU399,LOAI_THE!$B:$B,0)),INDEX(LOAI_THE!$A:$A,MATCH(AU399,LOAI_THE!$B:$B,0)),"")</f>
        <v/>
      </c>
      <c r="AU399" s="48"/>
      <c r="AV399" s="15"/>
      <c r="AW399" s="15"/>
      <c r="AX399" s="15"/>
      <c r="AY399" s="48"/>
    </row>
    <row r="400" spans="1:51" x14ac:dyDescent="0.3">
      <c r="A400" s="13" t="s">
        <v>4398</v>
      </c>
      <c r="B400" s="48"/>
      <c r="C400" s="48"/>
      <c r="D400" s="48"/>
      <c r="E400" s="48"/>
      <c r="F400" s="48"/>
      <c r="G400" s="58" t="str">
        <f>IF(ISNUMBER(MATCH(H400,GIOI_TINH!$B:$B,0)),INDEX(GIOI_TINH!$A:$A,MATCH(H400,GIOI_TINH!$B:$B,0)),"")</f>
        <v/>
      </c>
      <c r="H400" s="15"/>
      <c r="I400" s="15"/>
      <c r="J400" s="58" t="str">
        <f>IF(ISNUMBER(MATCH(K400,QUOC_GIA!$B:$B,0)),INDEX(QUOC_GIA!$A:$A,MATCH(K400,QUOC_GIA!$B:$B,0)),"")</f>
        <v/>
      </c>
      <c r="K400" s="50"/>
      <c r="L400" s="15"/>
      <c r="M400" s="58" t="str">
        <f>IF(ISNUMBER(MATCH(N400,LOAI_THUE!$B:$B,0)),INDEX(LOAI_THUE!$A:$A,MATCH(N400,LOAI_THUE!$B:$B,0)),"")</f>
        <v/>
      </c>
      <c r="N400" s="50"/>
      <c r="O400" s="58" t="str">
        <f>IF(ISNUMBER(MATCH(P400,CHI_TIET_LOAI_KH!$B:$B,0)),INDEX(CHI_TIET_LOAI_KH!$A:$A,MATCH(P400,CHI_TIET_LOAI_KH!$B:$B,0)),"")</f>
        <v/>
      </c>
      <c r="P400" s="50"/>
      <c r="Q400" s="58" t="str">
        <f>IF(ISNUMBER(MATCH(R400,NGHE_NGHIEP!$B:$B,0)),INDEX(NGHE_NGHIEP!$A:$A,MATCH(R400,NGHE_NGHIEP!$B:$B,0)),"")</f>
        <v/>
      </c>
      <c r="R400" s="50"/>
      <c r="S400" s="58" t="str">
        <f>IF(ISNUMBER(MATCH(T400,LOAI_ID!$B:$B,0)),INDEX(LOAI_ID!$A:$A,MATCH(T400,LOAI_ID!$B:$B,0)),"")</f>
        <v/>
      </c>
      <c r="T400" s="16"/>
      <c r="U400" s="48"/>
      <c r="V400" s="48"/>
      <c r="W400" s="17"/>
      <c r="X400" s="17"/>
      <c r="Y400" s="15"/>
      <c r="Z400" s="15"/>
      <c r="AA400" s="59" t="str">
        <f>IFERROR(INDEX(NOI_CAP!$B:$B,MATCH(Z400,NOI_CAP!$A:$A,0)),"")</f>
        <v/>
      </c>
      <c r="AB400" s="58" t="str">
        <f>IF(ISNUMBER(MATCH(AC400,LOAI_DIA_CHI!$B:$B,0)),INDEX(LOAI_DIA_CHI!$A:$A,MATCH(AC400,LOAI_DIA_CHI!$B:$B,0)),"")</f>
        <v/>
      </c>
      <c r="AC400" s="16"/>
      <c r="AD400" s="58" t="str">
        <f>IF(ISNUMBER(MATCH(AE400,QUOC_GIA!$B:$B,0)),INDEX(QUOC_GIA!$A:$A,MATCH(AE400,QUOC_GIA!$B:$B,0)),"")</f>
        <v/>
      </c>
      <c r="AE400" s="16"/>
      <c r="AF400" s="48"/>
      <c r="AG400" s="59" t="str">
        <f>IFERROR(INDEX(TINH_TP!$B:$B,MATCH(AF400,TINH_TP!$A:$A,0)),"")</f>
        <v/>
      </c>
      <c r="AH400" s="50"/>
      <c r="AI400" s="59" t="str">
        <f>IF(OR(AF400="",AH400=""),"",IF(COUNTIFS(PHUONG_XA!$A$2:$A$3323,AH400,PHUONG_XA!$C$2:$C$3323,AF400)=0,"",INDEX(PHUONG_XA!$B$2:$B$3323,SUMPRODUCT((PHUONG_XA!$A$2:$A$3323&amp;""=AH400&amp;"")*(PHUONG_XA!$C$2:$C$3323&amp;""=AF400&amp;"")*(ROW(PHUONG_XA!$A$2:$A$3323)-ROW(PHUONG_XA!$A$2)+1)))))</f>
        <v/>
      </c>
      <c r="AJ400" s="14"/>
      <c r="AK400" s="14"/>
      <c r="AL400" s="57" t="str">
        <f t="shared" si="7"/>
        <v/>
      </c>
      <c r="AM400" s="14"/>
      <c r="AN400" s="15"/>
      <c r="AO400" s="15"/>
      <c r="AP400" s="48"/>
      <c r="AQ400" s="15"/>
      <c r="AR400" s="15"/>
      <c r="AS400" s="15"/>
      <c r="AT400" s="60" t="str">
        <f>IF(ISNUMBER(MATCH(AU400,LOAI_THE!$B:$B,0)),INDEX(LOAI_THE!$A:$A,MATCH(AU400,LOAI_THE!$B:$B,0)),"")</f>
        <v/>
      </c>
      <c r="AU400" s="48"/>
      <c r="AV400" s="15"/>
      <c r="AW400" s="15"/>
      <c r="AX400" s="15"/>
      <c r="AY400" s="48"/>
    </row>
    <row r="401" spans="1:51" x14ac:dyDescent="0.3">
      <c r="A401" s="13" t="s">
        <v>4399</v>
      </c>
      <c r="B401" s="48"/>
      <c r="C401" s="48"/>
      <c r="D401" s="48"/>
      <c r="E401" s="48"/>
      <c r="F401" s="48"/>
      <c r="G401" s="58" t="str">
        <f>IF(ISNUMBER(MATCH(H401,GIOI_TINH!$B:$B,0)),INDEX(GIOI_TINH!$A:$A,MATCH(H401,GIOI_TINH!$B:$B,0)),"")</f>
        <v/>
      </c>
      <c r="H401" s="15"/>
      <c r="I401" s="15"/>
      <c r="J401" s="58" t="str">
        <f>IF(ISNUMBER(MATCH(K401,QUOC_GIA!$B:$B,0)),INDEX(QUOC_GIA!$A:$A,MATCH(K401,QUOC_GIA!$B:$B,0)),"")</f>
        <v/>
      </c>
      <c r="K401" s="50"/>
      <c r="L401" s="15"/>
      <c r="M401" s="58" t="str">
        <f>IF(ISNUMBER(MATCH(N401,LOAI_THUE!$B:$B,0)),INDEX(LOAI_THUE!$A:$A,MATCH(N401,LOAI_THUE!$B:$B,0)),"")</f>
        <v/>
      </c>
      <c r="N401" s="50"/>
      <c r="O401" s="58" t="str">
        <f>IF(ISNUMBER(MATCH(P401,CHI_TIET_LOAI_KH!$B:$B,0)),INDEX(CHI_TIET_LOAI_KH!$A:$A,MATCH(P401,CHI_TIET_LOAI_KH!$B:$B,0)),"")</f>
        <v/>
      </c>
      <c r="P401" s="50"/>
      <c r="Q401" s="58" t="str">
        <f>IF(ISNUMBER(MATCH(R401,NGHE_NGHIEP!$B:$B,0)),INDEX(NGHE_NGHIEP!$A:$A,MATCH(R401,NGHE_NGHIEP!$B:$B,0)),"")</f>
        <v/>
      </c>
      <c r="R401" s="50"/>
      <c r="S401" s="58" t="str">
        <f>IF(ISNUMBER(MATCH(T401,LOAI_ID!$B:$B,0)),INDEX(LOAI_ID!$A:$A,MATCH(T401,LOAI_ID!$B:$B,0)),"")</f>
        <v/>
      </c>
      <c r="T401" s="16"/>
      <c r="U401" s="48"/>
      <c r="V401" s="48"/>
      <c r="W401" s="17"/>
      <c r="X401" s="17"/>
      <c r="Y401" s="15"/>
      <c r="Z401" s="15"/>
      <c r="AA401" s="59" t="str">
        <f>IFERROR(INDEX(NOI_CAP!$B:$B,MATCH(Z401,NOI_CAP!$A:$A,0)),"")</f>
        <v/>
      </c>
      <c r="AB401" s="58" t="str">
        <f>IF(ISNUMBER(MATCH(AC401,LOAI_DIA_CHI!$B:$B,0)),INDEX(LOAI_DIA_CHI!$A:$A,MATCH(AC401,LOAI_DIA_CHI!$B:$B,0)),"")</f>
        <v/>
      </c>
      <c r="AC401" s="16"/>
      <c r="AD401" s="58" t="str">
        <f>IF(ISNUMBER(MATCH(AE401,QUOC_GIA!$B:$B,0)),INDEX(QUOC_GIA!$A:$A,MATCH(AE401,QUOC_GIA!$B:$B,0)),"")</f>
        <v/>
      </c>
      <c r="AE401" s="16"/>
      <c r="AF401" s="48"/>
      <c r="AG401" s="59" t="str">
        <f>IFERROR(INDEX(TINH_TP!$B:$B,MATCH(AF401,TINH_TP!$A:$A,0)),"")</f>
        <v/>
      </c>
      <c r="AH401" s="50"/>
      <c r="AI401" s="59" t="str">
        <f>IF(OR(AF401="",AH401=""),"",IF(COUNTIFS(PHUONG_XA!$A$2:$A$3323,AH401,PHUONG_XA!$C$2:$C$3323,AF401)=0,"",INDEX(PHUONG_XA!$B$2:$B$3323,SUMPRODUCT((PHUONG_XA!$A$2:$A$3323&amp;""=AH401&amp;"")*(PHUONG_XA!$C$2:$C$3323&amp;""=AF401&amp;"")*(ROW(PHUONG_XA!$A$2:$A$3323)-ROW(PHUONG_XA!$A$2)+1)))))</f>
        <v/>
      </c>
      <c r="AJ401" s="14"/>
      <c r="AK401" s="14"/>
      <c r="AL401" s="57" t="str">
        <f t="shared" si="7"/>
        <v/>
      </c>
      <c r="AM401" s="14"/>
      <c r="AN401" s="15"/>
      <c r="AO401" s="15"/>
      <c r="AP401" s="48"/>
      <c r="AQ401" s="15"/>
      <c r="AR401" s="15"/>
      <c r="AS401" s="15"/>
      <c r="AT401" s="60" t="str">
        <f>IF(ISNUMBER(MATCH(AU401,LOAI_THE!$B:$B,0)),INDEX(LOAI_THE!$A:$A,MATCH(AU401,LOAI_THE!$B:$B,0)),"")</f>
        <v/>
      </c>
      <c r="AU401" s="48"/>
      <c r="AV401" s="15"/>
      <c r="AW401" s="15"/>
      <c r="AX401" s="15"/>
      <c r="AY401" s="48"/>
    </row>
    <row r="402" spans="1:51" x14ac:dyDescent="0.3">
      <c r="A402" s="13" t="s">
        <v>4400</v>
      </c>
      <c r="B402" s="48"/>
      <c r="C402" s="48"/>
      <c r="D402" s="48"/>
      <c r="E402" s="48"/>
      <c r="F402" s="48"/>
      <c r="G402" s="58" t="str">
        <f>IF(ISNUMBER(MATCH(H402,GIOI_TINH!$B:$B,0)),INDEX(GIOI_TINH!$A:$A,MATCH(H402,GIOI_TINH!$B:$B,0)),"")</f>
        <v/>
      </c>
      <c r="H402" s="15"/>
      <c r="I402" s="15"/>
      <c r="J402" s="58" t="str">
        <f>IF(ISNUMBER(MATCH(K402,QUOC_GIA!$B:$B,0)),INDEX(QUOC_GIA!$A:$A,MATCH(K402,QUOC_GIA!$B:$B,0)),"")</f>
        <v/>
      </c>
      <c r="K402" s="50"/>
      <c r="L402" s="15"/>
      <c r="M402" s="58" t="str">
        <f>IF(ISNUMBER(MATCH(N402,LOAI_THUE!$B:$B,0)),INDEX(LOAI_THUE!$A:$A,MATCH(N402,LOAI_THUE!$B:$B,0)),"")</f>
        <v/>
      </c>
      <c r="N402" s="50"/>
      <c r="O402" s="58" t="str">
        <f>IF(ISNUMBER(MATCH(P402,CHI_TIET_LOAI_KH!$B:$B,0)),INDEX(CHI_TIET_LOAI_KH!$A:$A,MATCH(P402,CHI_TIET_LOAI_KH!$B:$B,0)),"")</f>
        <v/>
      </c>
      <c r="P402" s="50"/>
      <c r="Q402" s="58" t="str">
        <f>IF(ISNUMBER(MATCH(R402,NGHE_NGHIEP!$B:$B,0)),INDEX(NGHE_NGHIEP!$A:$A,MATCH(R402,NGHE_NGHIEP!$B:$B,0)),"")</f>
        <v/>
      </c>
      <c r="R402" s="50"/>
      <c r="S402" s="58" t="str">
        <f>IF(ISNUMBER(MATCH(T402,LOAI_ID!$B:$B,0)),INDEX(LOAI_ID!$A:$A,MATCH(T402,LOAI_ID!$B:$B,0)),"")</f>
        <v/>
      </c>
      <c r="T402" s="16"/>
      <c r="U402" s="48"/>
      <c r="V402" s="48"/>
      <c r="W402" s="17"/>
      <c r="X402" s="17"/>
      <c r="Y402" s="15"/>
      <c r="Z402" s="15"/>
      <c r="AA402" s="59" t="str">
        <f>IFERROR(INDEX(NOI_CAP!$B:$B,MATCH(Z402,NOI_CAP!$A:$A,0)),"")</f>
        <v/>
      </c>
      <c r="AB402" s="58" t="str">
        <f>IF(ISNUMBER(MATCH(AC402,LOAI_DIA_CHI!$B:$B,0)),INDEX(LOAI_DIA_CHI!$A:$A,MATCH(AC402,LOAI_DIA_CHI!$B:$B,0)),"")</f>
        <v/>
      </c>
      <c r="AC402" s="16"/>
      <c r="AD402" s="58" t="str">
        <f>IF(ISNUMBER(MATCH(AE402,QUOC_GIA!$B:$B,0)),INDEX(QUOC_GIA!$A:$A,MATCH(AE402,QUOC_GIA!$B:$B,0)),"")</f>
        <v/>
      </c>
      <c r="AE402" s="16"/>
      <c r="AF402" s="48"/>
      <c r="AG402" s="59" t="str">
        <f>IFERROR(INDEX(TINH_TP!$B:$B,MATCH(AF402,TINH_TP!$A:$A,0)),"")</f>
        <v/>
      </c>
      <c r="AH402" s="50"/>
      <c r="AI402" s="59" t="str">
        <f>IF(OR(AF402="",AH402=""),"",IF(COUNTIFS(PHUONG_XA!$A$2:$A$3323,AH402,PHUONG_XA!$C$2:$C$3323,AF402)=0,"",INDEX(PHUONG_XA!$B$2:$B$3323,SUMPRODUCT((PHUONG_XA!$A$2:$A$3323&amp;""=AH402&amp;"")*(PHUONG_XA!$C$2:$C$3323&amp;""=AF402&amp;"")*(ROW(PHUONG_XA!$A$2:$A$3323)-ROW(PHUONG_XA!$A$2)+1)))))</f>
        <v/>
      </c>
      <c r="AJ402" s="14"/>
      <c r="AK402" s="14"/>
      <c r="AL402" s="57" t="str">
        <f t="shared" si="7"/>
        <v/>
      </c>
      <c r="AM402" s="14"/>
      <c r="AN402" s="15"/>
      <c r="AO402" s="15"/>
      <c r="AP402" s="48"/>
      <c r="AQ402" s="15"/>
      <c r="AR402" s="15"/>
      <c r="AS402" s="15"/>
      <c r="AT402" s="60" t="str">
        <f>IF(ISNUMBER(MATCH(AU402,LOAI_THE!$B:$B,0)),INDEX(LOAI_THE!$A:$A,MATCH(AU402,LOAI_THE!$B:$B,0)),"")</f>
        <v/>
      </c>
      <c r="AU402" s="48"/>
      <c r="AV402" s="15"/>
      <c r="AW402" s="15"/>
      <c r="AX402" s="15"/>
      <c r="AY402" s="48"/>
    </row>
    <row r="403" spans="1:51" x14ac:dyDescent="0.3">
      <c r="A403" s="13" t="s">
        <v>4401</v>
      </c>
      <c r="B403" s="48"/>
      <c r="C403" s="48"/>
      <c r="D403" s="48"/>
      <c r="E403" s="48"/>
      <c r="F403" s="48"/>
      <c r="G403" s="58" t="str">
        <f>IF(ISNUMBER(MATCH(H403,GIOI_TINH!$B:$B,0)),INDEX(GIOI_TINH!$A:$A,MATCH(H403,GIOI_TINH!$B:$B,0)),"")</f>
        <v/>
      </c>
      <c r="H403" s="15"/>
      <c r="I403" s="15"/>
      <c r="J403" s="58" t="str">
        <f>IF(ISNUMBER(MATCH(K403,QUOC_GIA!$B:$B,0)),INDEX(QUOC_GIA!$A:$A,MATCH(K403,QUOC_GIA!$B:$B,0)),"")</f>
        <v/>
      </c>
      <c r="K403" s="50"/>
      <c r="L403" s="15"/>
      <c r="M403" s="58" t="str">
        <f>IF(ISNUMBER(MATCH(N403,LOAI_THUE!$B:$B,0)),INDEX(LOAI_THUE!$A:$A,MATCH(N403,LOAI_THUE!$B:$B,0)),"")</f>
        <v/>
      </c>
      <c r="N403" s="50"/>
      <c r="O403" s="58" t="str">
        <f>IF(ISNUMBER(MATCH(P403,CHI_TIET_LOAI_KH!$B:$B,0)),INDEX(CHI_TIET_LOAI_KH!$A:$A,MATCH(P403,CHI_TIET_LOAI_KH!$B:$B,0)),"")</f>
        <v/>
      </c>
      <c r="P403" s="50"/>
      <c r="Q403" s="58" t="str">
        <f>IF(ISNUMBER(MATCH(R403,NGHE_NGHIEP!$B:$B,0)),INDEX(NGHE_NGHIEP!$A:$A,MATCH(R403,NGHE_NGHIEP!$B:$B,0)),"")</f>
        <v/>
      </c>
      <c r="R403" s="50"/>
      <c r="S403" s="58" t="str">
        <f>IF(ISNUMBER(MATCH(T403,LOAI_ID!$B:$B,0)),INDEX(LOAI_ID!$A:$A,MATCH(T403,LOAI_ID!$B:$B,0)),"")</f>
        <v/>
      </c>
      <c r="T403" s="16"/>
      <c r="U403" s="48"/>
      <c r="V403" s="48"/>
      <c r="W403" s="17"/>
      <c r="X403" s="17"/>
      <c r="Y403" s="15"/>
      <c r="Z403" s="15"/>
      <c r="AA403" s="59" t="str">
        <f>IFERROR(INDEX(NOI_CAP!$B:$B,MATCH(Z403,NOI_CAP!$A:$A,0)),"")</f>
        <v/>
      </c>
      <c r="AB403" s="58" t="str">
        <f>IF(ISNUMBER(MATCH(AC403,LOAI_DIA_CHI!$B:$B,0)),INDEX(LOAI_DIA_CHI!$A:$A,MATCH(AC403,LOAI_DIA_CHI!$B:$B,0)),"")</f>
        <v/>
      </c>
      <c r="AC403" s="16"/>
      <c r="AD403" s="58" t="str">
        <f>IF(ISNUMBER(MATCH(AE403,QUOC_GIA!$B:$B,0)),INDEX(QUOC_GIA!$A:$A,MATCH(AE403,QUOC_GIA!$B:$B,0)),"")</f>
        <v/>
      </c>
      <c r="AE403" s="16"/>
      <c r="AF403" s="48"/>
      <c r="AG403" s="59" t="str">
        <f>IFERROR(INDEX(TINH_TP!$B:$B,MATCH(AF403,TINH_TP!$A:$A,0)),"")</f>
        <v/>
      </c>
      <c r="AH403" s="50"/>
      <c r="AI403" s="59" t="str">
        <f>IF(OR(AF403="",AH403=""),"",IF(COUNTIFS(PHUONG_XA!$A$2:$A$3323,AH403,PHUONG_XA!$C$2:$C$3323,AF403)=0,"",INDEX(PHUONG_XA!$B$2:$B$3323,SUMPRODUCT((PHUONG_XA!$A$2:$A$3323&amp;""=AH403&amp;"")*(PHUONG_XA!$C$2:$C$3323&amp;""=AF403&amp;"")*(ROW(PHUONG_XA!$A$2:$A$3323)-ROW(PHUONG_XA!$A$2)+1)))))</f>
        <v/>
      </c>
      <c r="AJ403" s="14"/>
      <c r="AK403" s="14"/>
      <c r="AL403" s="57" t="str">
        <f t="shared" si="7"/>
        <v/>
      </c>
      <c r="AM403" s="14"/>
      <c r="AN403" s="15"/>
      <c r="AO403" s="15"/>
      <c r="AP403" s="48"/>
      <c r="AQ403" s="15"/>
      <c r="AR403" s="15"/>
      <c r="AS403" s="15"/>
      <c r="AT403" s="60" t="str">
        <f>IF(ISNUMBER(MATCH(AU403,LOAI_THE!$B:$B,0)),INDEX(LOAI_THE!$A:$A,MATCH(AU403,LOAI_THE!$B:$B,0)),"")</f>
        <v/>
      </c>
      <c r="AU403" s="48"/>
      <c r="AV403" s="15"/>
      <c r="AW403" s="15"/>
      <c r="AX403" s="15"/>
      <c r="AY403" s="48"/>
    </row>
    <row r="404" spans="1:51" x14ac:dyDescent="0.3">
      <c r="A404" s="13" t="s">
        <v>813</v>
      </c>
      <c r="B404" s="48"/>
      <c r="C404" s="48"/>
      <c r="D404" s="48"/>
      <c r="E404" s="48"/>
      <c r="F404" s="48"/>
      <c r="G404" s="58" t="str">
        <f>IF(ISNUMBER(MATCH(H404,GIOI_TINH!$B:$B,0)),INDEX(GIOI_TINH!$A:$A,MATCH(H404,GIOI_TINH!$B:$B,0)),"")</f>
        <v/>
      </c>
      <c r="H404" s="15"/>
      <c r="I404" s="15"/>
      <c r="J404" s="58" t="str">
        <f>IF(ISNUMBER(MATCH(K404,QUOC_GIA!$B:$B,0)),INDEX(QUOC_GIA!$A:$A,MATCH(K404,QUOC_GIA!$B:$B,0)),"")</f>
        <v/>
      </c>
      <c r="K404" s="50"/>
      <c r="L404" s="15"/>
      <c r="M404" s="58" t="str">
        <f>IF(ISNUMBER(MATCH(N404,LOAI_THUE!$B:$B,0)),INDEX(LOAI_THUE!$A:$A,MATCH(N404,LOAI_THUE!$B:$B,0)),"")</f>
        <v/>
      </c>
      <c r="N404" s="50"/>
      <c r="O404" s="58" t="str">
        <f>IF(ISNUMBER(MATCH(P404,CHI_TIET_LOAI_KH!$B:$B,0)),INDEX(CHI_TIET_LOAI_KH!$A:$A,MATCH(P404,CHI_TIET_LOAI_KH!$B:$B,0)),"")</f>
        <v/>
      </c>
      <c r="P404" s="50"/>
      <c r="Q404" s="58" t="str">
        <f>IF(ISNUMBER(MATCH(R404,NGHE_NGHIEP!$B:$B,0)),INDEX(NGHE_NGHIEP!$A:$A,MATCH(R404,NGHE_NGHIEP!$B:$B,0)),"")</f>
        <v/>
      </c>
      <c r="R404" s="50"/>
      <c r="S404" s="58" t="str">
        <f>IF(ISNUMBER(MATCH(T404,LOAI_ID!$B:$B,0)),INDEX(LOAI_ID!$A:$A,MATCH(T404,LOAI_ID!$B:$B,0)),"")</f>
        <v/>
      </c>
      <c r="T404" s="16"/>
      <c r="U404" s="48"/>
      <c r="V404" s="48"/>
      <c r="W404" s="17"/>
      <c r="X404" s="17"/>
      <c r="Y404" s="15"/>
      <c r="Z404" s="15"/>
      <c r="AA404" s="59" t="str">
        <f>IFERROR(INDEX(NOI_CAP!$B:$B,MATCH(Z404,NOI_CAP!$A:$A,0)),"")</f>
        <v/>
      </c>
      <c r="AB404" s="58" t="str">
        <f>IF(ISNUMBER(MATCH(AC404,LOAI_DIA_CHI!$B:$B,0)),INDEX(LOAI_DIA_CHI!$A:$A,MATCH(AC404,LOAI_DIA_CHI!$B:$B,0)),"")</f>
        <v/>
      </c>
      <c r="AC404" s="16"/>
      <c r="AD404" s="58" t="str">
        <f>IF(ISNUMBER(MATCH(AE404,QUOC_GIA!$B:$B,0)),INDEX(QUOC_GIA!$A:$A,MATCH(AE404,QUOC_GIA!$B:$B,0)),"")</f>
        <v/>
      </c>
      <c r="AE404" s="16"/>
      <c r="AF404" s="48"/>
      <c r="AG404" s="59" t="str">
        <f>IFERROR(INDEX(TINH_TP!$B:$B,MATCH(AF404,TINH_TP!$A:$A,0)),"")</f>
        <v/>
      </c>
      <c r="AH404" s="50"/>
      <c r="AI404" s="59" t="str">
        <f>IF(OR(AF404="",AH404=""),"",IF(COUNTIFS(PHUONG_XA!$A$2:$A$3323,AH404,PHUONG_XA!$C$2:$C$3323,AF404)=0,"",INDEX(PHUONG_XA!$B$2:$B$3323,SUMPRODUCT((PHUONG_XA!$A$2:$A$3323&amp;""=AH404&amp;"")*(PHUONG_XA!$C$2:$C$3323&amp;""=AF404&amp;"")*(ROW(PHUONG_XA!$A$2:$A$3323)-ROW(PHUONG_XA!$A$2)+1)))))</f>
        <v/>
      </c>
      <c r="AJ404" s="14"/>
      <c r="AK404" s="14"/>
      <c r="AL404" s="57" t="str">
        <f t="shared" si="7"/>
        <v/>
      </c>
      <c r="AM404" s="14"/>
      <c r="AN404" s="15"/>
      <c r="AO404" s="15"/>
      <c r="AP404" s="48"/>
      <c r="AQ404" s="15"/>
      <c r="AR404" s="15"/>
      <c r="AS404" s="15"/>
      <c r="AT404" s="60" t="str">
        <f>IF(ISNUMBER(MATCH(AU404,LOAI_THE!$B:$B,0)),INDEX(LOAI_THE!$A:$A,MATCH(AU404,LOAI_THE!$B:$B,0)),"")</f>
        <v/>
      </c>
      <c r="AU404" s="48"/>
      <c r="AV404" s="15"/>
      <c r="AW404" s="15"/>
      <c r="AX404" s="15"/>
      <c r="AY404" s="48"/>
    </row>
    <row r="405" spans="1:51" x14ac:dyDescent="0.3">
      <c r="A405" s="13" t="s">
        <v>4402</v>
      </c>
      <c r="B405" s="48"/>
      <c r="C405" s="48"/>
      <c r="D405" s="48"/>
      <c r="E405" s="48"/>
      <c r="F405" s="48"/>
      <c r="G405" s="58" t="str">
        <f>IF(ISNUMBER(MATCH(H405,GIOI_TINH!$B:$B,0)),INDEX(GIOI_TINH!$A:$A,MATCH(H405,GIOI_TINH!$B:$B,0)),"")</f>
        <v/>
      </c>
      <c r="H405" s="15"/>
      <c r="I405" s="15"/>
      <c r="J405" s="58" t="str">
        <f>IF(ISNUMBER(MATCH(K405,QUOC_GIA!$B:$B,0)),INDEX(QUOC_GIA!$A:$A,MATCH(K405,QUOC_GIA!$B:$B,0)),"")</f>
        <v/>
      </c>
      <c r="K405" s="50"/>
      <c r="L405" s="15"/>
      <c r="M405" s="58" t="str">
        <f>IF(ISNUMBER(MATCH(N405,LOAI_THUE!$B:$B,0)),INDEX(LOAI_THUE!$A:$A,MATCH(N405,LOAI_THUE!$B:$B,0)),"")</f>
        <v/>
      </c>
      <c r="N405" s="50"/>
      <c r="O405" s="58" t="str">
        <f>IF(ISNUMBER(MATCH(P405,CHI_TIET_LOAI_KH!$B:$B,0)),INDEX(CHI_TIET_LOAI_KH!$A:$A,MATCH(P405,CHI_TIET_LOAI_KH!$B:$B,0)),"")</f>
        <v/>
      </c>
      <c r="P405" s="50"/>
      <c r="Q405" s="58" t="str">
        <f>IF(ISNUMBER(MATCH(R405,NGHE_NGHIEP!$B:$B,0)),INDEX(NGHE_NGHIEP!$A:$A,MATCH(R405,NGHE_NGHIEP!$B:$B,0)),"")</f>
        <v/>
      </c>
      <c r="R405" s="50"/>
      <c r="S405" s="58" t="str">
        <f>IF(ISNUMBER(MATCH(T405,LOAI_ID!$B:$B,0)),INDEX(LOAI_ID!$A:$A,MATCH(T405,LOAI_ID!$B:$B,0)),"")</f>
        <v/>
      </c>
      <c r="T405" s="16"/>
      <c r="U405" s="48"/>
      <c r="V405" s="48"/>
      <c r="W405" s="17"/>
      <c r="X405" s="17"/>
      <c r="Y405" s="15"/>
      <c r="Z405" s="15"/>
      <c r="AA405" s="59" t="str">
        <f>IFERROR(INDEX(NOI_CAP!$B:$B,MATCH(Z405,NOI_CAP!$A:$A,0)),"")</f>
        <v/>
      </c>
      <c r="AB405" s="58" t="str">
        <f>IF(ISNUMBER(MATCH(AC405,LOAI_DIA_CHI!$B:$B,0)),INDEX(LOAI_DIA_CHI!$A:$A,MATCH(AC405,LOAI_DIA_CHI!$B:$B,0)),"")</f>
        <v/>
      </c>
      <c r="AC405" s="16"/>
      <c r="AD405" s="58" t="str">
        <f>IF(ISNUMBER(MATCH(AE405,QUOC_GIA!$B:$B,0)),INDEX(QUOC_GIA!$A:$A,MATCH(AE405,QUOC_GIA!$B:$B,0)),"")</f>
        <v/>
      </c>
      <c r="AE405" s="16"/>
      <c r="AF405" s="48"/>
      <c r="AG405" s="59" t="str">
        <f>IFERROR(INDEX(TINH_TP!$B:$B,MATCH(AF405,TINH_TP!$A:$A,0)),"")</f>
        <v/>
      </c>
      <c r="AH405" s="50"/>
      <c r="AI405" s="59" t="str">
        <f>IF(OR(AF405="",AH405=""),"",IF(COUNTIFS(PHUONG_XA!$A$2:$A$3323,AH405,PHUONG_XA!$C$2:$C$3323,AF405)=0,"",INDEX(PHUONG_XA!$B$2:$B$3323,SUMPRODUCT((PHUONG_XA!$A$2:$A$3323&amp;""=AH405&amp;"")*(PHUONG_XA!$C$2:$C$3323&amp;""=AF405&amp;"")*(ROW(PHUONG_XA!$A$2:$A$3323)-ROW(PHUONG_XA!$A$2)+1)))))</f>
        <v/>
      </c>
      <c r="AJ405" s="14"/>
      <c r="AK405" s="14"/>
      <c r="AL405" s="57" t="str">
        <f t="shared" si="7"/>
        <v/>
      </c>
      <c r="AM405" s="14"/>
      <c r="AN405" s="15"/>
      <c r="AO405" s="15"/>
      <c r="AP405" s="48"/>
      <c r="AQ405" s="15"/>
      <c r="AR405" s="15"/>
      <c r="AS405" s="15"/>
      <c r="AT405" s="60" t="str">
        <f>IF(ISNUMBER(MATCH(AU405,LOAI_THE!$B:$B,0)),INDEX(LOAI_THE!$A:$A,MATCH(AU405,LOAI_THE!$B:$B,0)),"")</f>
        <v/>
      </c>
      <c r="AU405" s="48"/>
      <c r="AV405" s="15"/>
      <c r="AW405" s="15"/>
      <c r="AX405" s="15"/>
      <c r="AY405" s="48"/>
    </row>
    <row r="406" spans="1:51" x14ac:dyDescent="0.3">
      <c r="A406" s="13" t="s">
        <v>4403</v>
      </c>
      <c r="B406" s="48"/>
      <c r="C406" s="48"/>
      <c r="D406" s="48"/>
      <c r="E406" s="48"/>
      <c r="F406" s="48"/>
      <c r="G406" s="58" t="str">
        <f>IF(ISNUMBER(MATCH(H406,GIOI_TINH!$B:$B,0)),INDEX(GIOI_TINH!$A:$A,MATCH(H406,GIOI_TINH!$B:$B,0)),"")</f>
        <v/>
      </c>
      <c r="H406" s="15"/>
      <c r="I406" s="15"/>
      <c r="J406" s="58" t="str">
        <f>IF(ISNUMBER(MATCH(K406,QUOC_GIA!$B:$B,0)),INDEX(QUOC_GIA!$A:$A,MATCH(K406,QUOC_GIA!$B:$B,0)),"")</f>
        <v/>
      </c>
      <c r="K406" s="50"/>
      <c r="L406" s="15"/>
      <c r="M406" s="58" t="str">
        <f>IF(ISNUMBER(MATCH(N406,LOAI_THUE!$B:$B,0)),INDEX(LOAI_THUE!$A:$A,MATCH(N406,LOAI_THUE!$B:$B,0)),"")</f>
        <v/>
      </c>
      <c r="N406" s="50"/>
      <c r="O406" s="58" t="str">
        <f>IF(ISNUMBER(MATCH(P406,CHI_TIET_LOAI_KH!$B:$B,0)),INDEX(CHI_TIET_LOAI_KH!$A:$A,MATCH(P406,CHI_TIET_LOAI_KH!$B:$B,0)),"")</f>
        <v/>
      </c>
      <c r="P406" s="50"/>
      <c r="Q406" s="58" t="str">
        <f>IF(ISNUMBER(MATCH(R406,NGHE_NGHIEP!$B:$B,0)),INDEX(NGHE_NGHIEP!$A:$A,MATCH(R406,NGHE_NGHIEP!$B:$B,0)),"")</f>
        <v/>
      </c>
      <c r="R406" s="50"/>
      <c r="S406" s="58" t="str">
        <f>IF(ISNUMBER(MATCH(T406,LOAI_ID!$B:$B,0)),INDEX(LOAI_ID!$A:$A,MATCH(T406,LOAI_ID!$B:$B,0)),"")</f>
        <v/>
      </c>
      <c r="T406" s="16"/>
      <c r="U406" s="48"/>
      <c r="V406" s="48"/>
      <c r="W406" s="17"/>
      <c r="X406" s="17"/>
      <c r="Y406" s="15"/>
      <c r="Z406" s="15"/>
      <c r="AA406" s="59" t="str">
        <f>IFERROR(INDEX(NOI_CAP!$B:$B,MATCH(Z406,NOI_CAP!$A:$A,0)),"")</f>
        <v/>
      </c>
      <c r="AB406" s="58" t="str">
        <f>IF(ISNUMBER(MATCH(AC406,LOAI_DIA_CHI!$B:$B,0)),INDEX(LOAI_DIA_CHI!$A:$A,MATCH(AC406,LOAI_DIA_CHI!$B:$B,0)),"")</f>
        <v/>
      </c>
      <c r="AC406" s="16"/>
      <c r="AD406" s="58" t="str">
        <f>IF(ISNUMBER(MATCH(AE406,QUOC_GIA!$B:$B,0)),INDEX(QUOC_GIA!$A:$A,MATCH(AE406,QUOC_GIA!$B:$B,0)),"")</f>
        <v/>
      </c>
      <c r="AE406" s="16"/>
      <c r="AF406" s="48"/>
      <c r="AG406" s="59" t="str">
        <f>IFERROR(INDEX(TINH_TP!$B:$B,MATCH(AF406,TINH_TP!$A:$A,0)),"")</f>
        <v/>
      </c>
      <c r="AH406" s="50"/>
      <c r="AI406" s="59" t="str">
        <f>IF(OR(AF406="",AH406=""),"",IF(COUNTIFS(PHUONG_XA!$A$2:$A$3323,AH406,PHUONG_XA!$C$2:$C$3323,AF406)=0,"",INDEX(PHUONG_XA!$B$2:$B$3323,SUMPRODUCT((PHUONG_XA!$A$2:$A$3323&amp;""=AH406&amp;"")*(PHUONG_XA!$C$2:$C$3323&amp;""=AF406&amp;"")*(ROW(PHUONG_XA!$A$2:$A$3323)-ROW(PHUONG_XA!$A$2)+1)))))</f>
        <v/>
      </c>
      <c r="AJ406" s="14"/>
      <c r="AK406" s="14"/>
      <c r="AL406" s="57" t="str">
        <f t="shared" si="7"/>
        <v/>
      </c>
      <c r="AM406" s="14"/>
      <c r="AN406" s="15"/>
      <c r="AO406" s="15"/>
      <c r="AP406" s="48"/>
      <c r="AQ406" s="15"/>
      <c r="AR406" s="15"/>
      <c r="AS406" s="15"/>
      <c r="AT406" s="60" t="str">
        <f>IF(ISNUMBER(MATCH(AU406,LOAI_THE!$B:$B,0)),INDEX(LOAI_THE!$A:$A,MATCH(AU406,LOAI_THE!$B:$B,0)),"")</f>
        <v/>
      </c>
      <c r="AU406" s="48"/>
      <c r="AV406" s="15"/>
      <c r="AW406" s="15"/>
      <c r="AX406" s="15"/>
      <c r="AY406" s="48"/>
    </row>
    <row r="407" spans="1:51" x14ac:dyDescent="0.3">
      <c r="A407" s="13" t="s">
        <v>4404</v>
      </c>
      <c r="B407" s="48"/>
      <c r="C407" s="48"/>
      <c r="D407" s="48"/>
      <c r="E407" s="48"/>
      <c r="F407" s="48"/>
      <c r="G407" s="58" t="str">
        <f>IF(ISNUMBER(MATCH(H407,GIOI_TINH!$B:$B,0)),INDEX(GIOI_TINH!$A:$A,MATCH(H407,GIOI_TINH!$B:$B,0)),"")</f>
        <v/>
      </c>
      <c r="H407" s="15"/>
      <c r="I407" s="15"/>
      <c r="J407" s="58" t="str">
        <f>IF(ISNUMBER(MATCH(K407,QUOC_GIA!$B:$B,0)),INDEX(QUOC_GIA!$A:$A,MATCH(K407,QUOC_GIA!$B:$B,0)),"")</f>
        <v/>
      </c>
      <c r="K407" s="50"/>
      <c r="L407" s="15"/>
      <c r="M407" s="58" t="str">
        <f>IF(ISNUMBER(MATCH(N407,LOAI_THUE!$B:$B,0)),INDEX(LOAI_THUE!$A:$A,MATCH(N407,LOAI_THUE!$B:$B,0)),"")</f>
        <v/>
      </c>
      <c r="N407" s="50"/>
      <c r="O407" s="58" t="str">
        <f>IF(ISNUMBER(MATCH(P407,CHI_TIET_LOAI_KH!$B:$B,0)),INDEX(CHI_TIET_LOAI_KH!$A:$A,MATCH(P407,CHI_TIET_LOAI_KH!$B:$B,0)),"")</f>
        <v/>
      </c>
      <c r="P407" s="50"/>
      <c r="Q407" s="58" t="str">
        <f>IF(ISNUMBER(MATCH(R407,NGHE_NGHIEP!$B:$B,0)),INDEX(NGHE_NGHIEP!$A:$A,MATCH(R407,NGHE_NGHIEP!$B:$B,0)),"")</f>
        <v/>
      </c>
      <c r="R407" s="50"/>
      <c r="S407" s="58" t="str">
        <f>IF(ISNUMBER(MATCH(T407,LOAI_ID!$B:$B,0)),INDEX(LOAI_ID!$A:$A,MATCH(T407,LOAI_ID!$B:$B,0)),"")</f>
        <v/>
      </c>
      <c r="T407" s="16"/>
      <c r="U407" s="48"/>
      <c r="V407" s="48"/>
      <c r="W407" s="17"/>
      <c r="X407" s="17"/>
      <c r="Y407" s="15"/>
      <c r="Z407" s="15"/>
      <c r="AA407" s="59" t="str">
        <f>IFERROR(INDEX(NOI_CAP!$B:$B,MATCH(Z407,NOI_CAP!$A:$A,0)),"")</f>
        <v/>
      </c>
      <c r="AB407" s="58" t="str">
        <f>IF(ISNUMBER(MATCH(AC407,LOAI_DIA_CHI!$B:$B,0)),INDEX(LOAI_DIA_CHI!$A:$A,MATCH(AC407,LOAI_DIA_CHI!$B:$B,0)),"")</f>
        <v/>
      </c>
      <c r="AC407" s="16"/>
      <c r="AD407" s="58" t="str">
        <f>IF(ISNUMBER(MATCH(AE407,QUOC_GIA!$B:$B,0)),INDEX(QUOC_GIA!$A:$A,MATCH(AE407,QUOC_GIA!$B:$B,0)),"")</f>
        <v/>
      </c>
      <c r="AE407" s="16"/>
      <c r="AF407" s="48"/>
      <c r="AG407" s="59" t="str">
        <f>IFERROR(INDEX(TINH_TP!$B:$B,MATCH(AF407,TINH_TP!$A:$A,0)),"")</f>
        <v/>
      </c>
      <c r="AH407" s="50"/>
      <c r="AI407" s="59" t="str">
        <f>IF(OR(AF407="",AH407=""),"",IF(COUNTIFS(PHUONG_XA!$A$2:$A$3323,AH407,PHUONG_XA!$C$2:$C$3323,AF407)=0,"",INDEX(PHUONG_XA!$B$2:$B$3323,SUMPRODUCT((PHUONG_XA!$A$2:$A$3323&amp;""=AH407&amp;"")*(PHUONG_XA!$C$2:$C$3323&amp;""=AF407&amp;"")*(ROW(PHUONG_XA!$A$2:$A$3323)-ROW(PHUONG_XA!$A$2)+1)))))</f>
        <v/>
      </c>
      <c r="AJ407" s="14"/>
      <c r="AK407" s="14"/>
      <c r="AL407" s="57" t="str">
        <f t="shared" si="7"/>
        <v/>
      </c>
      <c r="AM407" s="14"/>
      <c r="AN407" s="15"/>
      <c r="AO407" s="15"/>
      <c r="AP407" s="48"/>
      <c r="AQ407" s="15"/>
      <c r="AR407" s="15"/>
      <c r="AS407" s="15"/>
      <c r="AT407" s="60" t="str">
        <f>IF(ISNUMBER(MATCH(AU407,LOAI_THE!$B:$B,0)),INDEX(LOAI_THE!$A:$A,MATCH(AU407,LOAI_THE!$B:$B,0)),"")</f>
        <v/>
      </c>
      <c r="AU407" s="48"/>
      <c r="AV407" s="15"/>
      <c r="AW407" s="15"/>
      <c r="AX407" s="15"/>
      <c r="AY407" s="48"/>
    </row>
    <row r="408" spans="1:51" x14ac:dyDescent="0.3">
      <c r="A408" s="13" t="s">
        <v>4405</v>
      </c>
      <c r="B408" s="48"/>
      <c r="C408" s="48"/>
      <c r="D408" s="48"/>
      <c r="E408" s="48"/>
      <c r="F408" s="48"/>
      <c r="G408" s="58" t="str">
        <f>IF(ISNUMBER(MATCH(H408,GIOI_TINH!$B:$B,0)),INDEX(GIOI_TINH!$A:$A,MATCH(H408,GIOI_TINH!$B:$B,0)),"")</f>
        <v/>
      </c>
      <c r="H408" s="15"/>
      <c r="I408" s="15"/>
      <c r="J408" s="58" t="str">
        <f>IF(ISNUMBER(MATCH(K408,QUOC_GIA!$B:$B,0)),INDEX(QUOC_GIA!$A:$A,MATCH(K408,QUOC_GIA!$B:$B,0)),"")</f>
        <v/>
      </c>
      <c r="K408" s="50"/>
      <c r="L408" s="15"/>
      <c r="M408" s="58" t="str">
        <f>IF(ISNUMBER(MATCH(N408,LOAI_THUE!$B:$B,0)),INDEX(LOAI_THUE!$A:$A,MATCH(N408,LOAI_THUE!$B:$B,0)),"")</f>
        <v/>
      </c>
      <c r="N408" s="50"/>
      <c r="O408" s="58" t="str">
        <f>IF(ISNUMBER(MATCH(P408,CHI_TIET_LOAI_KH!$B:$B,0)),INDEX(CHI_TIET_LOAI_KH!$A:$A,MATCH(P408,CHI_TIET_LOAI_KH!$B:$B,0)),"")</f>
        <v/>
      </c>
      <c r="P408" s="50"/>
      <c r="Q408" s="58" t="str">
        <f>IF(ISNUMBER(MATCH(R408,NGHE_NGHIEP!$B:$B,0)),INDEX(NGHE_NGHIEP!$A:$A,MATCH(R408,NGHE_NGHIEP!$B:$B,0)),"")</f>
        <v/>
      </c>
      <c r="R408" s="50"/>
      <c r="S408" s="58" t="str">
        <f>IF(ISNUMBER(MATCH(T408,LOAI_ID!$B:$B,0)),INDEX(LOAI_ID!$A:$A,MATCH(T408,LOAI_ID!$B:$B,0)),"")</f>
        <v/>
      </c>
      <c r="T408" s="16"/>
      <c r="U408" s="48"/>
      <c r="V408" s="48"/>
      <c r="W408" s="17"/>
      <c r="X408" s="17"/>
      <c r="Y408" s="15"/>
      <c r="Z408" s="15"/>
      <c r="AA408" s="59" t="str">
        <f>IFERROR(INDEX(NOI_CAP!$B:$B,MATCH(Z408,NOI_CAP!$A:$A,0)),"")</f>
        <v/>
      </c>
      <c r="AB408" s="58" t="str">
        <f>IF(ISNUMBER(MATCH(AC408,LOAI_DIA_CHI!$B:$B,0)),INDEX(LOAI_DIA_CHI!$A:$A,MATCH(AC408,LOAI_DIA_CHI!$B:$B,0)),"")</f>
        <v/>
      </c>
      <c r="AC408" s="16"/>
      <c r="AD408" s="58" t="str">
        <f>IF(ISNUMBER(MATCH(AE408,QUOC_GIA!$B:$B,0)),INDEX(QUOC_GIA!$A:$A,MATCH(AE408,QUOC_GIA!$B:$B,0)),"")</f>
        <v/>
      </c>
      <c r="AE408" s="16"/>
      <c r="AF408" s="48"/>
      <c r="AG408" s="59" t="str">
        <f>IFERROR(INDEX(TINH_TP!$B:$B,MATCH(AF408,TINH_TP!$A:$A,0)),"")</f>
        <v/>
      </c>
      <c r="AH408" s="50"/>
      <c r="AI408" s="59" t="str">
        <f>IF(OR(AF408="",AH408=""),"",IF(COUNTIFS(PHUONG_XA!$A$2:$A$3323,AH408,PHUONG_XA!$C$2:$C$3323,AF408)=0,"",INDEX(PHUONG_XA!$B$2:$B$3323,SUMPRODUCT((PHUONG_XA!$A$2:$A$3323&amp;""=AH408&amp;"")*(PHUONG_XA!$C$2:$C$3323&amp;""=AF408&amp;"")*(ROW(PHUONG_XA!$A$2:$A$3323)-ROW(PHUONG_XA!$A$2)+1)))))</f>
        <v/>
      </c>
      <c r="AJ408" s="14"/>
      <c r="AK408" s="14"/>
      <c r="AL408" s="57" t="str">
        <f t="shared" si="7"/>
        <v/>
      </c>
      <c r="AM408" s="14"/>
      <c r="AN408" s="15"/>
      <c r="AO408" s="15"/>
      <c r="AP408" s="48"/>
      <c r="AQ408" s="15"/>
      <c r="AR408" s="15"/>
      <c r="AS408" s="15"/>
      <c r="AT408" s="60" t="str">
        <f>IF(ISNUMBER(MATCH(AU408,LOAI_THE!$B:$B,0)),INDEX(LOAI_THE!$A:$A,MATCH(AU408,LOAI_THE!$B:$B,0)),"")</f>
        <v/>
      </c>
      <c r="AU408" s="48"/>
      <c r="AV408" s="15"/>
      <c r="AW408" s="15"/>
      <c r="AX408" s="15"/>
      <c r="AY408" s="48"/>
    </row>
    <row r="409" spans="1:51" x14ac:dyDescent="0.3">
      <c r="A409" s="13" t="s">
        <v>4406</v>
      </c>
      <c r="B409" s="48"/>
      <c r="C409" s="48"/>
      <c r="D409" s="48"/>
      <c r="E409" s="48"/>
      <c r="F409" s="48"/>
      <c r="G409" s="58" t="str">
        <f>IF(ISNUMBER(MATCH(H409,GIOI_TINH!$B:$B,0)),INDEX(GIOI_TINH!$A:$A,MATCH(H409,GIOI_TINH!$B:$B,0)),"")</f>
        <v/>
      </c>
      <c r="H409" s="15"/>
      <c r="I409" s="15"/>
      <c r="J409" s="58" t="str">
        <f>IF(ISNUMBER(MATCH(K409,QUOC_GIA!$B:$B,0)),INDEX(QUOC_GIA!$A:$A,MATCH(K409,QUOC_GIA!$B:$B,0)),"")</f>
        <v/>
      </c>
      <c r="K409" s="50"/>
      <c r="L409" s="15"/>
      <c r="M409" s="58" t="str">
        <f>IF(ISNUMBER(MATCH(N409,LOAI_THUE!$B:$B,0)),INDEX(LOAI_THUE!$A:$A,MATCH(N409,LOAI_THUE!$B:$B,0)),"")</f>
        <v/>
      </c>
      <c r="N409" s="50"/>
      <c r="O409" s="58" t="str">
        <f>IF(ISNUMBER(MATCH(P409,CHI_TIET_LOAI_KH!$B:$B,0)),INDEX(CHI_TIET_LOAI_KH!$A:$A,MATCH(P409,CHI_TIET_LOAI_KH!$B:$B,0)),"")</f>
        <v/>
      </c>
      <c r="P409" s="50"/>
      <c r="Q409" s="58" t="str">
        <f>IF(ISNUMBER(MATCH(R409,NGHE_NGHIEP!$B:$B,0)),INDEX(NGHE_NGHIEP!$A:$A,MATCH(R409,NGHE_NGHIEP!$B:$B,0)),"")</f>
        <v/>
      </c>
      <c r="R409" s="50"/>
      <c r="S409" s="58" t="str">
        <f>IF(ISNUMBER(MATCH(T409,LOAI_ID!$B:$B,0)),INDEX(LOAI_ID!$A:$A,MATCH(T409,LOAI_ID!$B:$B,0)),"")</f>
        <v/>
      </c>
      <c r="T409" s="16"/>
      <c r="U409" s="48"/>
      <c r="V409" s="48"/>
      <c r="W409" s="17"/>
      <c r="X409" s="17"/>
      <c r="Y409" s="15"/>
      <c r="Z409" s="15"/>
      <c r="AA409" s="59" t="str">
        <f>IFERROR(INDEX(NOI_CAP!$B:$B,MATCH(Z409,NOI_CAP!$A:$A,0)),"")</f>
        <v/>
      </c>
      <c r="AB409" s="58" t="str">
        <f>IF(ISNUMBER(MATCH(AC409,LOAI_DIA_CHI!$B:$B,0)),INDEX(LOAI_DIA_CHI!$A:$A,MATCH(AC409,LOAI_DIA_CHI!$B:$B,0)),"")</f>
        <v/>
      </c>
      <c r="AC409" s="16"/>
      <c r="AD409" s="58" t="str">
        <f>IF(ISNUMBER(MATCH(AE409,QUOC_GIA!$B:$B,0)),INDEX(QUOC_GIA!$A:$A,MATCH(AE409,QUOC_GIA!$B:$B,0)),"")</f>
        <v/>
      </c>
      <c r="AE409" s="16"/>
      <c r="AF409" s="48"/>
      <c r="AG409" s="59" t="str">
        <f>IFERROR(INDEX(TINH_TP!$B:$B,MATCH(AF409,TINH_TP!$A:$A,0)),"")</f>
        <v/>
      </c>
      <c r="AH409" s="50"/>
      <c r="AI409" s="59" t="str">
        <f>IF(OR(AF409="",AH409=""),"",IF(COUNTIFS(PHUONG_XA!$A$2:$A$3323,AH409,PHUONG_XA!$C$2:$C$3323,AF409)=0,"",INDEX(PHUONG_XA!$B$2:$B$3323,SUMPRODUCT((PHUONG_XA!$A$2:$A$3323&amp;""=AH409&amp;"")*(PHUONG_XA!$C$2:$C$3323&amp;""=AF409&amp;"")*(ROW(PHUONG_XA!$A$2:$A$3323)-ROW(PHUONG_XA!$A$2)+1)))))</f>
        <v/>
      </c>
      <c r="AJ409" s="14"/>
      <c r="AK409" s="14"/>
      <c r="AL409" s="57" t="str">
        <f t="shared" si="7"/>
        <v/>
      </c>
      <c r="AM409" s="14"/>
      <c r="AN409" s="15"/>
      <c r="AO409" s="15"/>
      <c r="AP409" s="48"/>
      <c r="AQ409" s="15"/>
      <c r="AR409" s="15"/>
      <c r="AS409" s="15"/>
      <c r="AT409" s="60" t="str">
        <f>IF(ISNUMBER(MATCH(AU409,LOAI_THE!$B:$B,0)),INDEX(LOAI_THE!$A:$A,MATCH(AU409,LOAI_THE!$B:$B,0)),"")</f>
        <v/>
      </c>
      <c r="AU409" s="48"/>
      <c r="AV409" s="15"/>
      <c r="AW409" s="15"/>
      <c r="AX409" s="15"/>
      <c r="AY409" s="48"/>
    </row>
    <row r="410" spans="1:51" x14ac:dyDescent="0.3">
      <c r="A410" s="13" t="s">
        <v>4407</v>
      </c>
      <c r="B410" s="48"/>
      <c r="C410" s="48"/>
      <c r="D410" s="48"/>
      <c r="E410" s="48"/>
      <c r="F410" s="48"/>
      <c r="G410" s="58" t="str">
        <f>IF(ISNUMBER(MATCH(H410,GIOI_TINH!$B:$B,0)),INDEX(GIOI_TINH!$A:$A,MATCH(H410,GIOI_TINH!$B:$B,0)),"")</f>
        <v/>
      </c>
      <c r="H410" s="15"/>
      <c r="I410" s="15"/>
      <c r="J410" s="58" t="str">
        <f>IF(ISNUMBER(MATCH(K410,QUOC_GIA!$B:$B,0)),INDEX(QUOC_GIA!$A:$A,MATCH(K410,QUOC_GIA!$B:$B,0)),"")</f>
        <v/>
      </c>
      <c r="K410" s="50"/>
      <c r="L410" s="15"/>
      <c r="M410" s="58" t="str">
        <f>IF(ISNUMBER(MATCH(N410,LOAI_THUE!$B:$B,0)),INDEX(LOAI_THUE!$A:$A,MATCH(N410,LOAI_THUE!$B:$B,0)),"")</f>
        <v/>
      </c>
      <c r="N410" s="50"/>
      <c r="O410" s="58" t="str">
        <f>IF(ISNUMBER(MATCH(P410,CHI_TIET_LOAI_KH!$B:$B,0)),INDEX(CHI_TIET_LOAI_KH!$A:$A,MATCH(P410,CHI_TIET_LOAI_KH!$B:$B,0)),"")</f>
        <v/>
      </c>
      <c r="P410" s="50"/>
      <c r="Q410" s="58" t="str">
        <f>IF(ISNUMBER(MATCH(R410,NGHE_NGHIEP!$B:$B,0)),INDEX(NGHE_NGHIEP!$A:$A,MATCH(R410,NGHE_NGHIEP!$B:$B,0)),"")</f>
        <v/>
      </c>
      <c r="R410" s="50"/>
      <c r="S410" s="58" t="str">
        <f>IF(ISNUMBER(MATCH(T410,LOAI_ID!$B:$B,0)),INDEX(LOAI_ID!$A:$A,MATCH(T410,LOAI_ID!$B:$B,0)),"")</f>
        <v/>
      </c>
      <c r="T410" s="16"/>
      <c r="U410" s="48"/>
      <c r="V410" s="48"/>
      <c r="W410" s="17"/>
      <c r="X410" s="17"/>
      <c r="Y410" s="15"/>
      <c r="Z410" s="15"/>
      <c r="AA410" s="59" t="str">
        <f>IFERROR(INDEX(NOI_CAP!$B:$B,MATCH(Z410,NOI_CAP!$A:$A,0)),"")</f>
        <v/>
      </c>
      <c r="AB410" s="58" t="str">
        <f>IF(ISNUMBER(MATCH(AC410,LOAI_DIA_CHI!$B:$B,0)),INDEX(LOAI_DIA_CHI!$A:$A,MATCH(AC410,LOAI_DIA_CHI!$B:$B,0)),"")</f>
        <v/>
      </c>
      <c r="AC410" s="16"/>
      <c r="AD410" s="58" t="str">
        <f>IF(ISNUMBER(MATCH(AE410,QUOC_GIA!$B:$B,0)),INDEX(QUOC_GIA!$A:$A,MATCH(AE410,QUOC_GIA!$B:$B,0)),"")</f>
        <v/>
      </c>
      <c r="AE410" s="16"/>
      <c r="AF410" s="48"/>
      <c r="AG410" s="59" t="str">
        <f>IFERROR(INDEX(TINH_TP!$B:$B,MATCH(AF410,TINH_TP!$A:$A,0)),"")</f>
        <v/>
      </c>
      <c r="AH410" s="50"/>
      <c r="AI410" s="59" t="str">
        <f>IF(OR(AF410="",AH410=""),"",IF(COUNTIFS(PHUONG_XA!$A$2:$A$3323,AH410,PHUONG_XA!$C$2:$C$3323,AF410)=0,"",INDEX(PHUONG_XA!$B$2:$B$3323,SUMPRODUCT((PHUONG_XA!$A$2:$A$3323&amp;""=AH410&amp;"")*(PHUONG_XA!$C$2:$C$3323&amp;""=AF410&amp;"")*(ROW(PHUONG_XA!$A$2:$A$3323)-ROW(PHUONG_XA!$A$2)+1)))))</f>
        <v/>
      </c>
      <c r="AJ410" s="14"/>
      <c r="AK410" s="14"/>
      <c r="AL410" s="57" t="str">
        <f t="shared" si="7"/>
        <v/>
      </c>
      <c r="AM410" s="14"/>
      <c r="AN410" s="15"/>
      <c r="AO410" s="15"/>
      <c r="AP410" s="48"/>
      <c r="AQ410" s="15"/>
      <c r="AR410" s="15"/>
      <c r="AS410" s="15"/>
      <c r="AT410" s="60" t="str">
        <f>IF(ISNUMBER(MATCH(AU410,LOAI_THE!$B:$B,0)),INDEX(LOAI_THE!$A:$A,MATCH(AU410,LOAI_THE!$B:$B,0)),"")</f>
        <v/>
      </c>
      <c r="AU410" s="48"/>
      <c r="AV410" s="15"/>
      <c r="AW410" s="15"/>
      <c r="AX410" s="15"/>
      <c r="AY410" s="48"/>
    </row>
    <row r="411" spans="1:51" x14ac:dyDescent="0.3">
      <c r="A411" s="13" t="s">
        <v>4408</v>
      </c>
      <c r="B411" s="48"/>
      <c r="C411" s="48"/>
      <c r="D411" s="48"/>
      <c r="E411" s="48"/>
      <c r="F411" s="48"/>
      <c r="G411" s="58" t="str">
        <f>IF(ISNUMBER(MATCH(H411,GIOI_TINH!$B:$B,0)),INDEX(GIOI_TINH!$A:$A,MATCH(H411,GIOI_TINH!$B:$B,0)),"")</f>
        <v/>
      </c>
      <c r="H411" s="15"/>
      <c r="I411" s="15"/>
      <c r="J411" s="58" t="str">
        <f>IF(ISNUMBER(MATCH(K411,QUOC_GIA!$B:$B,0)),INDEX(QUOC_GIA!$A:$A,MATCH(K411,QUOC_GIA!$B:$B,0)),"")</f>
        <v/>
      </c>
      <c r="K411" s="50"/>
      <c r="L411" s="15"/>
      <c r="M411" s="58" t="str">
        <f>IF(ISNUMBER(MATCH(N411,LOAI_THUE!$B:$B,0)),INDEX(LOAI_THUE!$A:$A,MATCH(N411,LOAI_THUE!$B:$B,0)),"")</f>
        <v/>
      </c>
      <c r="N411" s="50"/>
      <c r="O411" s="58" t="str">
        <f>IF(ISNUMBER(MATCH(P411,CHI_TIET_LOAI_KH!$B:$B,0)),INDEX(CHI_TIET_LOAI_KH!$A:$A,MATCH(P411,CHI_TIET_LOAI_KH!$B:$B,0)),"")</f>
        <v/>
      </c>
      <c r="P411" s="50"/>
      <c r="Q411" s="58" t="str">
        <f>IF(ISNUMBER(MATCH(R411,NGHE_NGHIEP!$B:$B,0)),INDEX(NGHE_NGHIEP!$A:$A,MATCH(R411,NGHE_NGHIEP!$B:$B,0)),"")</f>
        <v/>
      </c>
      <c r="R411" s="50"/>
      <c r="S411" s="58" t="str">
        <f>IF(ISNUMBER(MATCH(T411,LOAI_ID!$B:$B,0)),INDEX(LOAI_ID!$A:$A,MATCH(T411,LOAI_ID!$B:$B,0)),"")</f>
        <v/>
      </c>
      <c r="T411" s="16"/>
      <c r="U411" s="48"/>
      <c r="V411" s="48"/>
      <c r="W411" s="17"/>
      <c r="X411" s="17"/>
      <c r="Y411" s="15"/>
      <c r="Z411" s="15"/>
      <c r="AA411" s="59" t="str">
        <f>IFERROR(INDEX(NOI_CAP!$B:$B,MATCH(Z411,NOI_CAP!$A:$A,0)),"")</f>
        <v/>
      </c>
      <c r="AB411" s="58" t="str">
        <f>IF(ISNUMBER(MATCH(AC411,LOAI_DIA_CHI!$B:$B,0)),INDEX(LOAI_DIA_CHI!$A:$A,MATCH(AC411,LOAI_DIA_CHI!$B:$B,0)),"")</f>
        <v/>
      </c>
      <c r="AC411" s="16"/>
      <c r="AD411" s="58" t="str">
        <f>IF(ISNUMBER(MATCH(AE411,QUOC_GIA!$B:$B,0)),INDEX(QUOC_GIA!$A:$A,MATCH(AE411,QUOC_GIA!$B:$B,0)),"")</f>
        <v/>
      </c>
      <c r="AE411" s="16"/>
      <c r="AF411" s="48"/>
      <c r="AG411" s="59" t="str">
        <f>IFERROR(INDEX(TINH_TP!$B:$B,MATCH(AF411,TINH_TP!$A:$A,0)),"")</f>
        <v/>
      </c>
      <c r="AH411" s="50"/>
      <c r="AI411" s="59" t="str">
        <f>IF(OR(AF411="",AH411=""),"",IF(COUNTIFS(PHUONG_XA!$A$2:$A$3323,AH411,PHUONG_XA!$C$2:$C$3323,AF411)=0,"",INDEX(PHUONG_XA!$B$2:$B$3323,SUMPRODUCT((PHUONG_XA!$A$2:$A$3323&amp;""=AH411&amp;"")*(PHUONG_XA!$C$2:$C$3323&amp;""=AF411&amp;"")*(ROW(PHUONG_XA!$A$2:$A$3323)-ROW(PHUONG_XA!$A$2)+1)))))</f>
        <v/>
      </c>
      <c r="AJ411" s="14"/>
      <c r="AK411" s="14"/>
      <c r="AL411" s="57" t="str">
        <f t="shared" si="7"/>
        <v/>
      </c>
      <c r="AM411" s="14"/>
      <c r="AN411" s="15"/>
      <c r="AO411" s="15"/>
      <c r="AP411" s="48"/>
      <c r="AQ411" s="15"/>
      <c r="AR411" s="15"/>
      <c r="AS411" s="15"/>
      <c r="AT411" s="60" t="str">
        <f>IF(ISNUMBER(MATCH(AU411,LOAI_THE!$B:$B,0)),INDEX(LOAI_THE!$A:$A,MATCH(AU411,LOAI_THE!$B:$B,0)),"")</f>
        <v/>
      </c>
      <c r="AU411" s="48"/>
      <c r="AV411" s="15"/>
      <c r="AW411" s="15"/>
      <c r="AX411" s="15"/>
      <c r="AY411" s="48"/>
    </row>
    <row r="412" spans="1:51" x14ac:dyDescent="0.3">
      <c r="A412" s="13" t="s">
        <v>4409</v>
      </c>
      <c r="B412" s="48"/>
      <c r="C412" s="48"/>
      <c r="D412" s="48"/>
      <c r="E412" s="48"/>
      <c r="F412" s="48"/>
      <c r="G412" s="58" t="str">
        <f>IF(ISNUMBER(MATCH(H412,GIOI_TINH!$B:$B,0)),INDEX(GIOI_TINH!$A:$A,MATCH(H412,GIOI_TINH!$B:$B,0)),"")</f>
        <v/>
      </c>
      <c r="H412" s="15"/>
      <c r="I412" s="15"/>
      <c r="J412" s="58" t="str">
        <f>IF(ISNUMBER(MATCH(K412,QUOC_GIA!$B:$B,0)),INDEX(QUOC_GIA!$A:$A,MATCH(K412,QUOC_GIA!$B:$B,0)),"")</f>
        <v/>
      </c>
      <c r="K412" s="50"/>
      <c r="L412" s="15"/>
      <c r="M412" s="58" t="str">
        <f>IF(ISNUMBER(MATCH(N412,LOAI_THUE!$B:$B,0)),INDEX(LOAI_THUE!$A:$A,MATCH(N412,LOAI_THUE!$B:$B,0)),"")</f>
        <v/>
      </c>
      <c r="N412" s="50"/>
      <c r="O412" s="58" t="str">
        <f>IF(ISNUMBER(MATCH(P412,CHI_TIET_LOAI_KH!$B:$B,0)),INDEX(CHI_TIET_LOAI_KH!$A:$A,MATCH(P412,CHI_TIET_LOAI_KH!$B:$B,0)),"")</f>
        <v/>
      </c>
      <c r="P412" s="50"/>
      <c r="Q412" s="58" t="str">
        <f>IF(ISNUMBER(MATCH(R412,NGHE_NGHIEP!$B:$B,0)),INDEX(NGHE_NGHIEP!$A:$A,MATCH(R412,NGHE_NGHIEP!$B:$B,0)),"")</f>
        <v/>
      </c>
      <c r="R412" s="50"/>
      <c r="S412" s="58" t="str">
        <f>IF(ISNUMBER(MATCH(T412,LOAI_ID!$B:$B,0)),INDEX(LOAI_ID!$A:$A,MATCH(T412,LOAI_ID!$B:$B,0)),"")</f>
        <v/>
      </c>
      <c r="T412" s="16"/>
      <c r="U412" s="48"/>
      <c r="V412" s="48"/>
      <c r="W412" s="17"/>
      <c r="X412" s="17"/>
      <c r="Y412" s="15"/>
      <c r="Z412" s="15"/>
      <c r="AA412" s="59" t="str">
        <f>IFERROR(INDEX(NOI_CAP!$B:$B,MATCH(Z412,NOI_CAP!$A:$A,0)),"")</f>
        <v/>
      </c>
      <c r="AB412" s="58" t="str">
        <f>IF(ISNUMBER(MATCH(AC412,LOAI_DIA_CHI!$B:$B,0)),INDEX(LOAI_DIA_CHI!$A:$A,MATCH(AC412,LOAI_DIA_CHI!$B:$B,0)),"")</f>
        <v/>
      </c>
      <c r="AC412" s="16"/>
      <c r="AD412" s="58" t="str">
        <f>IF(ISNUMBER(MATCH(AE412,QUOC_GIA!$B:$B,0)),INDEX(QUOC_GIA!$A:$A,MATCH(AE412,QUOC_GIA!$B:$B,0)),"")</f>
        <v/>
      </c>
      <c r="AE412" s="16"/>
      <c r="AF412" s="48"/>
      <c r="AG412" s="59" t="str">
        <f>IFERROR(INDEX(TINH_TP!$B:$B,MATCH(AF412,TINH_TP!$A:$A,0)),"")</f>
        <v/>
      </c>
      <c r="AH412" s="50"/>
      <c r="AI412" s="59" t="str">
        <f>IF(OR(AF412="",AH412=""),"",IF(COUNTIFS(PHUONG_XA!$A$2:$A$3323,AH412,PHUONG_XA!$C$2:$C$3323,AF412)=0,"",INDEX(PHUONG_XA!$B$2:$B$3323,SUMPRODUCT((PHUONG_XA!$A$2:$A$3323&amp;""=AH412&amp;"")*(PHUONG_XA!$C$2:$C$3323&amp;""=AF412&amp;"")*(ROW(PHUONG_XA!$A$2:$A$3323)-ROW(PHUONG_XA!$A$2)+1)))))</f>
        <v/>
      </c>
      <c r="AJ412" s="14"/>
      <c r="AK412" s="14"/>
      <c r="AL412" s="57" t="str">
        <f t="shared" si="7"/>
        <v/>
      </c>
      <c r="AM412" s="14"/>
      <c r="AN412" s="15"/>
      <c r="AO412" s="15"/>
      <c r="AP412" s="48"/>
      <c r="AQ412" s="15"/>
      <c r="AR412" s="15"/>
      <c r="AS412" s="15"/>
      <c r="AT412" s="60" t="str">
        <f>IF(ISNUMBER(MATCH(AU412,LOAI_THE!$B:$B,0)),INDEX(LOAI_THE!$A:$A,MATCH(AU412,LOAI_THE!$B:$B,0)),"")</f>
        <v/>
      </c>
      <c r="AU412" s="48"/>
      <c r="AV412" s="15"/>
      <c r="AW412" s="15"/>
      <c r="AX412" s="15"/>
      <c r="AY412" s="48"/>
    </row>
    <row r="413" spans="1:51" x14ac:dyDescent="0.3">
      <c r="A413" s="13" t="s">
        <v>4410</v>
      </c>
      <c r="B413" s="48"/>
      <c r="C413" s="48"/>
      <c r="D413" s="48"/>
      <c r="E413" s="48"/>
      <c r="F413" s="48"/>
      <c r="G413" s="58" t="str">
        <f>IF(ISNUMBER(MATCH(H413,GIOI_TINH!$B:$B,0)),INDEX(GIOI_TINH!$A:$A,MATCH(H413,GIOI_TINH!$B:$B,0)),"")</f>
        <v/>
      </c>
      <c r="H413" s="15"/>
      <c r="I413" s="15"/>
      <c r="J413" s="58" t="str">
        <f>IF(ISNUMBER(MATCH(K413,QUOC_GIA!$B:$B,0)),INDEX(QUOC_GIA!$A:$A,MATCH(K413,QUOC_GIA!$B:$B,0)),"")</f>
        <v/>
      </c>
      <c r="K413" s="50"/>
      <c r="L413" s="15"/>
      <c r="M413" s="58" t="str">
        <f>IF(ISNUMBER(MATCH(N413,LOAI_THUE!$B:$B,0)),INDEX(LOAI_THUE!$A:$A,MATCH(N413,LOAI_THUE!$B:$B,0)),"")</f>
        <v/>
      </c>
      <c r="N413" s="50"/>
      <c r="O413" s="58" t="str">
        <f>IF(ISNUMBER(MATCH(P413,CHI_TIET_LOAI_KH!$B:$B,0)),INDEX(CHI_TIET_LOAI_KH!$A:$A,MATCH(P413,CHI_TIET_LOAI_KH!$B:$B,0)),"")</f>
        <v/>
      </c>
      <c r="P413" s="50"/>
      <c r="Q413" s="58" t="str">
        <f>IF(ISNUMBER(MATCH(R413,NGHE_NGHIEP!$B:$B,0)),INDEX(NGHE_NGHIEP!$A:$A,MATCH(R413,NGHE_NGHIEP!$B:$B,0)),"")</f>
        <v/>
      </c>
      <c r="R413" s="50"/>
      <c r="S413" s="58" t="str">
        <f>IF(ISNUMBER(MATCH(T413,LOAI_ID!$B:$B,0)),INDEX(LOAI_ID!$A:$A,MATCH(T413,LOAI_ID!$B:$B,0)),"")</f>
        <v/>
      </c>
      <c r="T413" s="16"/>
      <c r="U413" s="48"/>
      <c r="V413" s="48"/>
      <c r="W413" s="17"/>
      <c r="X413" s="17"/>
      <c r="Y413" s="15"/>
      <c r="Z413" s="15"/>
      <c r="AA413" s="59" t="str">
        <f>IFERROR(INDEX(NOI_CAP!$B:$B,MATCH(Z413,NOI_CAP!$A:$A,0)),"")</f>
        <v/>
      </c>
      <c r="AB413" s="58" t="str">
        <f>IF(ISNUMBER(MATCH(AC413,LOAI_DIA_CHI!$B:$B,0)),INDEX(LOAI_DIA_CHI!$A:$A,MATCH(AC413,LOAI_DIA_CHI!$B:$B,0)),"")</f>
        <v/>
      </c>
      <c r="AC413" s="16"/>
      <c r="AD413" s="58" t="str">
        <f>IF(ISNUMBER(MATCH(AE413,QUOC_GIA!$B:$B,0)),INDEX(QUOC_GIA!$A:$A,MATCH(AE413,QUOC_GIA!$B:$B,0)),"")</f>
        <v/>
      </c>
      <c r="AE413" s="16"/>
      <c r="AF413" s="48"/>
      <c r="AG413" s="59" t="str">
        <f>IFERROR(INDEX(TINH_TP!$B:$B,MATCH(AF413,TINH_TP!$A:$A,0)),"")</f>
        <v/>
      </c>
      <c r="AH413" s="50"/>
      <c r="AI413" s="59" t="str">
        <f>IF(OR(AF413="",AH413=""),"",IF(COUNTIFS(PHUONG_XA!$A$2:$A$3323,AH413,PHUONG_XA!$C$2:$C$3323,AF413)=0,"",INDEX(PHUONG_XA!$B$2:$B$3323,SUMPRODUCT((PHUONG_XA!$A$2:$A$3323&amp;""=AH413&amp;"")*(PHUONG_XA!$C$2:$C$3323&amp;""=AF413&amp;"")*(ROW(PHUONG_XA!$A$2:$A$3323)-ROW(PHUONG_XA!$A$2)+1)))))</f>
        <v/>
      </c>
      <c r="AJ413" s="14"/>
      <c r="AK413" s="14"/>
      <c r="AL413" s="57" t="str">
        <f t="shared" si="7"/>
        <v/>
      </c>
      <c r="AM413" s="14"/>
      <c r="AN413" s="15"/>
      <c r="AO413" s="15"/>
      <c r="AP413" s="48"/>
      <c r="AQ413" s="15"/>
      <c r="AR413" s="15"/>
      <c r="AS413" s="15"/>
      <c r="AT413" s="60" t="str">
        <f>IF(ISNUMBER(MATCH(AU413,LOAI_THE!$B:$B,0)),INDEX(LOAI_THE!$A:$A,MATCH(AU413,LOAI_THE!$B:$B,0)),"")</f>
        <v/>
      </c>
      <c r="AU413" s="48"/>
      <c r="AV413" s="15"/>
      <c r="AW413" s="15"/>
      <c r="AX413" s="15"/>
      <c r="AY413" s="48"/>
    </row>
    <row r="414" spans="1:51" x14ac:dyDescent="0.3">
      <c r="A414" s="13" t="s">
        <v>815</v>
      </c>
      <c r="B414" s="48"/>
      <c r="C414" s="48"/>
      <c r="D414" s="48"/>
      <c r="E414" s="48"/>
      <c r="F414" s="48"/>
      <c r="G414" s="58" t="str">
        <f>IF(ISNUMBER(MATCH(H414,GIOI_TINH!$B:$B,0)),INDEX(GIOI_TINH!$A:$A,MATCH(H414,GIOI_TINH!$B:$B,0)),"")</f>
        <v/>
      </c>
      <c r="H414" s="15"/>
      <c r="I414" s="15"/>
      <c r="J414" s="58" t="str">
        <f>IF(ISNUMBER(MATCH(K414,QUOC_GIA!$B:$B,0)),INDEX(QUOC_GIA!$A:$A,MATCH(K414,QUOC_GIA!$B:$B,0)),"")</f>
        <v/>
      </c>
      <c r="K414" s="50"/>
      <c r="L414" s="15"/>
      <c r="M414" s="58" t="str">
        <f>IF(ISNUMBER(MATCH(N414,LOAI_THUE!$B:$B,0)),INDEX(LOAI_THUE!$A:$A,MATCH(N414,LOAI_THUE!$B:$B,0)),"")</f>
        <v/>
      </c>
      <c r="N414" s="50"/>
      <c r="O414" s="58" t="str">
        <f>IF(ISNUMBER(MATCH(P414,CHI_TIET_LOAI_KH!$B:$B,0)),INDEX(CHI_TIET_LOAI_KH!$A:$A,MATCH(P414,CHI_TIET_LOAI_KH!$B:$B,0)),"")</f>
        <v/>
      </c>
      <c r="P414" s="50"/>
      <c r="Q414" s="58" t="str">
        <f>IF(ISNUMBER(MATCH(R414,NGHE_NGHIEP!$B:$B,0)),INDEX(NGHE_NGHIEP!$A:$A,MATCH(R414,NGHE_NGHIEP!$B:$B,0)),"")</f>
        <v/>
      </c>
      <c r="R414" s="50"/>
      <c r="S414" s="58" t="str">
        <f>IF(ISNUMBER(MATCH(T414,LOAI_ID!$B:$B,0)),INDEX(LOAI_ID!$A:$A,MATCH(T414,LOAI_ID!$B:$B,0)),"")</f>
        <v/>
      </c>
      <c r="T414" s="16"/>
      <c r="U414" s="48"/>
      <c r="V414" s="48"/>
      <c r="W414" s="17"/>
      <c r="X414" s="17"/>
      <c r="Y414" s="15"/>
      <c r="Z414" s="15"/>
      <c r="AA414" s="59" t="str">
        <f>IFERROR(INDEX(NOI_CAP!$B:$B,MATCH(Z414,NOI_CAP!$A:$A,0)),"")</f>
        <v/>
      </c>
      <c r="AB414" s="58" t="str">
        <f>IF(ISNUMBER(MATCH(AC414,LOAI_DIA_CHI!$B:$B,0)),INDEX(LOAI_DIA_CHI!$A:$A,MATCH(AC414,LOAI_DIA_CHI!$B:$B,0)),"")</f>
        <v/>
      </c>
      <c r="AC414" s="16"/>
      <c r="AD414" s="58" t="str">
        <f>IF(ISNUMBER(MATCH(AE414,QUOC_GIA!$B:$B,0)),INDEX(QUOC_GIA!$A:$A,MATCH(AE414,QUOC_GIA!$B:$B,0)),"")</f>
        <v/>
      </c>
      <c r="AE414" s="16"/>
      <c r="AF414" s="48"/>
      <c r="AG414" s="59" t="str">
        <f>IFERROR(INDEX(TINH_TP!$B:$B,MATCH(AF414,TINH_TP!$A:$A,0)),"")</f>
        <v/>
      </c>
      <c r="AH414" s="50"/>
      <c r="AI414" s="59" t="str">
        <f>IF(OR(AF414="",AH414=""),"",IF(COUNTIFS(PHUONG_XA!$A$2:$A$3323,AH414,PHUONG_XA!$C$2:$C$3323,AF414)=0,"",INDEX(PHUONG_XA!$B$2:$B$3323,SUMPRODUCT((PHUONG_XA!$A$2:$A$3323&amp;""=AH414&amp;"")*(PHUONG_XA!$C$2:$C$3323&amp;""=AF414&amp;"")*(ROW(PHUONG_XA!$A$2:$A$3323)-ROW(PHUONG_XA!$A$2)+1)))))</f>
        <v/>
      </c>
      <c r="AJ414" s="14"/>
      <c r="AK414" s="14"/>
      <c r="AL414" s="57" t="str">
        <f t="shared" si="7"/>
        <v/>
      </c>
      <c r="AM414" s="14"/>
      <c r="AN414" s="15"/>
      <c r="AO414" s="15"/>
      <c r="AP414" s="48"/>
      <c r="AQ414" s="15"/>
      <c r="AR414" s="15"/>
      <c r="AS414" s="15"/>
      <c r="AT414" s="60" t="str">
        <f>IF(ISNUMBER(MATCH(AU414,LOAI_THE!$B:$B,0)),INDEX(LOAI_THE!$A:$A,MATCH(AU414,LOAI_THE!$B:$B,0)),"")</f>
        <v/>
      </c>
      <c r="AU414" s="48"/>
      <c r="AV414" s="15"/>
      <c r="AW414" s="15"/>
      <c r="AX414" s="15"/>
      <c r="AY414" s="48"/>
    </row>
    <row r="415" spans="1:51" x14ac:dyDescent="0.3">
      <c r="A415" s="13" t="s">
        <v>4411</v>
      </c>
      <c r="B415" s="48"/>
      <c r="C415" s="48"/>
      <c r="D415" s="48"/>
      <c r="E415" s="48"/>
      <c r="F415" s="48"/>
      <c r="G415" s="58" t="str">
        <f>IF(ISNUMBER(MATCH(H415,GIOI_TINH!$B:$B,0)),INDEX(GIOI_TINH!$A:$A,MATCH(H415,GIOI_TINH!$B:$B,0)),"")</f>
        <v/>
      </c>
      <c r="H415" s="15"/>
      <c r="I415" s="15"/>
      <c r="J415" s="58" t="str">
        <f>IF(ISNUMBER(MATCH(K415,QUOC_GIA!$B:$B,0)),INDEX(QUOC_GIA!$A:$A,MATCH(K415,QUOC_GIA!$B:$B,0)),"")</f>
        <v/>
      </c>
      <c r="K415" s="50"/>
      <c r="L415" s="15"/>
      <c r="M415" s="58" t="str">
        <f>IF(ISNUMBER(MATCH(N415,LOAI_THUE!$B:$B,0)),INDEX(LOAI_THUE!$A:$A,MATCH(N415,LOAI_THUE!$B:$B,0)),"")</f>
        <v/>
      </c>
      <c r="N415" s="50"/>
      <c r="O415" s="58" t="str">
        <f>IF(ISNUMBER(MATCH(P415,CHI_TIET_LOAI_KH!$B:$B,0)),INDEX(CHI_TIET_LOAI_KH!$A:$A,MATCH(P415,CHI_TIET_LOAI_KH!$B:$B,0)),"")</f>
        <v/>
      </c>
      <c r="P415" s="50"/>
      <c r="Q415" s="58" t="str">
        <f>IF(ISNUMBER(MATCH(R415,NGHE_NGHIEP!$B:$B,0)),INDEX(NGHE_NGHIEP!$A:$A,MATCH(R415,NGHE_NGHIEP!$B:$B,0)),"")</f>
        <v/>
      </c>
      <c r="R415" s="50"/>
      <c r="S415" s="58" t="str">
        <f>IF(ISNUMBER(MATCH(T415,LOAI_ID!$B:$B,0)),INDEX(LOAI_ID!$A:$A,MATCH(T415,LOAI_ID!$B:$B,0)),"")</f>
        <v/>
      </c>
      <c r="T415" s="16"/>
      <c r="U415" s="48"/>
      <c r="V415" s="48"/>
      <c r="W415" s="17"/>
      <c r="X415" s="17"/>
      <c r="Y415" s="15"/>
      <c r="Z415" s="15"/>
      <c r="AA415" s="59" t="str">
        <f>IFERROR(INDEX(NOI_CAP!$B:$B,MATCH(Z415,NOI_CAP!$A:$A,0)),"")</f>
        <v/>
      </c>
      <c r="AB415" s="58" t="str">
        <f>IF(ISNUMBER(MATCH(AC415,LOAI_DIA_CHI!$B:$B,0)),INDEX(LOAI_DIA_CHI!$A:$A,MATCH(AC415,LOAI_DIA_CHI!$B:$B,0)),"")</f>
        <v/>
      </c>
      <c r="AC415" s="16"/>
      <c r="AD415" s="58" t="str">
        <f>IF(ISNUMBER(MATCH(AE415,QUOC_GIA!$B:$B,0)),INDEX(QUOC_GIA!$A:$A,MATCH(AE415,QUOC_GIA!$B:$B,0)),"")</f>
        <v/>
      </c>
      <c r="AE415" s="16"/>
      <c r="AF415" s="48"/>
      <c r="AG415" s="59" t="str">
        <f>IFERROR(INDEX(TINH_TP!$B:$B,MATCH(AF415,TINH_TP!$A:$A,0)),"")</f>
        <v/>
      </c>
      <c r="AH415" s="50"/>
      <c r="AI415" s="59" t="str">
        <f>IF(OR(AF415="",AH415=""),"",IF(COUNTIFS(PHUONG_XA!$A$2:$A$3323,AH415,PHUONG_XA!$C$2:$C$3323,AF415)=0,"",INDEX(PHUONG_XA!$B$2:$B$3323,SUMPRODUCT((PHUONG_XA!$A$2:$A$3323&amp;""=AH415&amp;"")*(PHUONG_XA!$C$2:$C$3323&amp;""=AF415&amp;"")*(ROW(PHUONG_XA!$A$2:$A$3323)-ROW(PHUONG_XA!$A$2)+1)))))</f>
        <v/>
      </c>
      <c r="AJ415" s="14"/>
      <c r="AK415" s="14"/>
      <c r="AL415" s="57" t="str">
        <f t="shared" si="7"/>
        <v/>
      </c>
      <c r="AM415" s="14"/>
      <c r="AN415" s="15"/>
      <c r="AO415" s="15"/>
      <c r="AP415" s="48"/>
      <c r="AQ415" s="15"/>
      <c r="AR415" s="15"/>
      <c r="AS415" s="15"/>
      <c r="AT415" s="60" t="str">
        <f>IF(ISNUMBER(MATCH(AU415,LOAI_THE!$B:$B,0)),INDEX(LOAI_THE!$A:$A,MATCH(AU415,LOAI_THE!$B:$B,0)),"")</f>
        <v/>
      </c>
      <c r="AU415" s="48"/>
      <c r="AV415" s="15"/>
      <c r="AW415" s="15"/>
      <c r="AX415" s="15"/>
      <c r="AY415" s="48"/>
    </row>
    <row r="416" spans="1:51" x14ac:dyDescent="0.3">
      <c r="A416" s="13" t="s">
        <v>4412</v>
      </c>
      <c r="B416" s="48"/>
      <c r="C416" s="48"/>
      <c r="D416" s="48"/>
      <c r="E416" s="48"/>
      <c r="F416" s="48"/>
      <c r="G416" s="58" t="str">
        <f>IF(ISNUMBER(MATCH(H416,GIOI_TINH!$B:$B,0)),INDEX(GIOI_TINH!$A:$A,MATCH(H416,GIOI_TINH!$B:$B,0)),"")</f>
        <v/>
      </c>
      <c r="H416" s="15"/>
      <c r="I416" s="15"/>
      <c r="J416" s="58" t="str">
        <f>IF(ISNUMBER(MATCH(K416,QUOC_GIA!$B:$B,0)),INDEX(QUOC_GIA!$A:$A,MATCH(K416,QUOC_GIA!$B:$B,0)),"")</f>
        <v/>
      </c>
      <c r="K416" s="50"/>
      <c r="L416" s="15"/>
      <c r="M416" s="58" t="str">
        <f>IF(ISNUMBER(MATCH(N416,LOAI_THUE!$B:$B,0)),INDEX(LOAI_THUE!$A:$A,MATCH(N416,LOAI_THUE!$B:$B,0)),"")</f>
        <v/>
      </c>
      <c r="N416" s="50"/>
      <c r="O416" s="58" t="str">
        <f>IF(ISNUMBER(MATCH(P416,CHI_TIET_LOAI_KH!$B:$B,0)),INDEX(CHI_TIET_LOAI_KH!$A:$A,MATCH(P416,CHI_TIET_LOAI_KH!$B:$B,0)),"")</f>
        <v/>
      </c>
      <c r="P416" s="50"/>
      <c r="Q416" s="58" t="str">
        <f>IF(ISNUMBER(MATCH(R416,NGHE_NGHIEP!$B:$B,0)),INDEX(NGHE_NGHIEP!$A:$A,MATCH(R416,NGHE_NGHIEP!$B:$B,0)),"")</f>
        <v/>
      </c>
      <c r="R416" s="50"/>
      <c r="S416" s="58" t="str">
        <f>IF(ISNUMBER(MATCH(T416,LOAI_ID!$B:$B,0)),INDEX(LOAI_ID!$A:$A,MATCH(T416,LOAI_ID!$B:$B,0)),"")</f>
        <v/>
      </c>
      <c r="T416" s="16"/>
      <c r="U416" s="48"/>
      <c r="V416" s="48"/>
      <c r="W416" s="17"/>
      <c r="X416" s="17"/>
      <c r="Y416" s="15"/>
      <c r="Z416" s="15"/>
      <c r="AA416" s="59" t="str">
        <f>IFERROR(INDEX(NOI_CAP!$B:$B,MATCH(Z416,NOI_CAP!$A:$A,0)),"")</f>
        <v/>
      </c>
      <c r="AB416" s="58" t="str">
        <f>IF(ISNUMBER(MATCH(AC416,LOAI_DIA_CHI!$B:$B,0)),INDEX(LOAI_DIA_CHI!$A:$A,MATCH(AC416,LOAI_DIA_CHI!$B:$B,0)),"")</f>
        <v/>
      </c>
      <c r="AC416" s="16"/>
      <c r="AD416" s="58" t="str">
        <f>IF(ISNUMBER(MATCH(AE416,QUOC_GIA!$B:$B,0)),INDEX(QUOC_GIA!$A:$A,MATCH(AE416,QUOC_GIA!$B:$B,0)),"")</f>
        <v/>
      </c>
      <c r="AE416" s="16"/>
      <c r="AF416" s="48"/>
      <c r="AG416" s="59" t="str">
        <f>IFERROR(INDEX(TINH_TP!$B:$B,MATCH(AF416,TINH_TP!$A:$A,0)),"")</f>
        <v/>
      </c>
      <c r="AH416" s="50"/>
      <c r="AI416" s="59" t="str">
        <f>IF(OR(AF416="",AH416=""),"",IF(COUNTIFS(PHUONG_XA!$A$2:$A$3323,AH416,PHUONG_XA!$C$2:$C$3323,AF416)=0,"",INDEX(PHUONG_XA!$B$2:$B$3323,SUMPRODUCT((PHUONG_XA!$A$2:$A$3323&amp;""=AH416&amp;"")*(PHUONG_XA!$C$2:$C$3323&amp;""=AF416&amp;"")*(ROW(PHUONG_XA!$A$2:$A$3323)-ROW(PHUONG_XA!$A$2)+1)))))</f>
        <v/>
      </c>
      <c r="AJ416" s="14"/>
      <c r="AK416" s="14"/>
      <c r="AL416" s="57" t="str">
        <f t="shared" si="7"/>
        <v/>
      </c>
      <c r="AM416" s="14"/>
      <c r="AN416" s="15"/>
      <c r="AO416" s="15"/>
      <c r="AP416" s="48"/>
      <c r="AQ416" s="15"/>
      <c r="AR416" s="15"/>
      <c r="AS416" s="15"/>
      <c r="AT416" s="60" t="str">
        <f>IF(ISNUMBER(MATCH(AU416,LOAI_THE!$B:$B,0)),INDEX(LOAI_THE!$A:$A,MATCH(AU416,LOAI_THE!$B:$B,0)),"")</f>
        <v/>
      </c>
      <c r="AU416" s="48"/>
      <c r="AV416" s="15"/>
      <c r="AW416" s="15"/>
      <c r="AX416" s="15"/>
      <c r="AY416" s="48"/>
    </row>
    <row r="417" spans="1:51" x14ac:dyDescent="0.3">
      <c r="A417" s="13" t="s">
        <v>4413</v>
      </c>
      <c r="B417" s="48"/>
      <c r="C417" s="48"/>
      <c r="D417" s="48"/>
      <c r="E417" s="48"/>
      <c r="F417" s="48"/>
      <c r="G417" s="58" t="str">
        <f>IF(ISNUMBER(MATCH(H417,GIOI_TINH!$B:$B,0)),INDEX(GIOI_TINH!$A:$A,MATCH(H417,GIOI_TINH!$B:$B,0)),"")</f>
        <v/>
      </c>
      <c r="H417" s="15"/>
      <c r="I417" s="15"/>
      <c r="J417" s="58" t="str">
        <f>IF(ISNUMBER(MATCH(K417,QUOC_GIA!$B:$B,0)),INDEX(QUOC_GIA!$A:$A,MATCH(K417,QUOC_GIA!$B:$B,0)),"")</f>
        <v/>
      </c>
      <c r="K417" s="50"/>
      <c r="L417" s="15"/>
      <c r="M417" s="58" t="str">
        <f>IF(ISNUMBER(MATCH(N417,LOAI_THUE!$B:$B,0)),INDEX(LOAI_THUE!$A:$A,MATCH(N417,LOAI_THUE!$B:$B,0)),"")</f>
        <v/>
      </c>
      <c r="N417" s="50"/>
      <c r="O417" s="58" t="str">
        <f>IF(ISNUMBER(MATCH(P417,CHI_TIET_LOAI_KH!$B:$B,0)),INDEX(CHI_TIET_LOAI_KH!$A:$A,MATCH(P417,CHI_TIET_LOAI_KH!$B:$B,0)),"")</f>
        <v/>
      </c>
      <c r="P417" s="50"/>
      <c r="Q417" s="58" t="str">
        <f>IF(ISNUMBER(MATCH(R417,NGHE_NGHIEP!$B:$B,0)),INDEX(NGHE_NGHIEP!$A:$A,MATCH(R417,NGHE_NGHIEP!$B:$B,0)),"")</f>
        <v/>
      </c>
      <c r="R417" s="50"/>
      <c r="S417" s="58" t="str">
        <f>IF(ISNUMBER(MATCH(T417,LOAI_ID!$B:$B,0)),INDEX(LOAI_ID!$A:$A,MATCH(T417,LOAI_ID!$B:$B,0)),"")</f>
        <v/>
      </c>
      <c r="T417" s="16"/>
      <c r="U417" s="48"/>
      <c r="V417" s="48"/>
      <c r="W417" s="17"/>
      <c r="X417" s="17"/>
      <c r="Y417" s="15"/>
      <c r="Z417" s="15"/>
      <c r="AA417" s="59" t="str">
        <f>IFERROR(INDEX(NOI_CAP!$B:$B,MATCH(Z417,NOI_CAP!$A:$A,0)),"")</f>
        <v/>
      </c>
      <c r="AB417" s="58" t="str">
        <f>IF(ISNUMBER(MATCH(AC417,LOAI_DIA_CHI!$B:$B,0)),INDEX(LOAI_DIA_CHI!$A:$A,MATCH(AC417,LOAI_DIA_CHI!$B:$B,0)),"")</f>
        <v/>
      </c>
      <c r="AC417" s="16"/>
      <c r="AD417" s="58" t="str">
        <f>IF(ISNUMBER(MATCH(AE417,QUOC_GIA!$B:$B,0)),INDEX(QUOC_GIA!$A:$A,MATCH(AE417,QUOC_GIA!$B:$B,0)),"")</f>
        <v/>
      </c>
      <c r="AE417" s="16"/>
      <c r="AF417" s="48"/>
      <c r="AG417" s="59" t="str">
        <f>IFERROR(INDEX(TINH_TP!$B:$B,MATCH(AF417,TINH_TP!$A:$A,0)),"")</f>
        <v/>
      </c>
      <c r="AH417" s="50"/>
      <c r="AI417" s="59" t="str">
        <f>IF(OR(AF417="",AH417=""),"",IF(COUNTIFS(PHUONG_XA!$A$2:$A$3323,AH417,PHUONG_XA!$C$2:$C$3323,AF417)=0,"",INDEX(PHUONG_XA!$B$2:$B$3323,SUMPRODUCT((PHUONG_XA!$A$2:$A$3323&amp;""=AH417&amp;"")*(PHUONG_XA!$C$2:$C$3323&amp;""=AF417&amp;"")*(ROW(PHUONG_XA!$A$2:$A$3323)-ROW(PHUONG_XA!$A$2)+1)))))</f>
        <v/>
      </c>
      <c r="AJ417" s="14"/>
      <c r="AK417" s="14"/>
      <c r="AL417" s="57" t="str">
        <f t="shared" si="7"/>
        <v/>
      </c>
      <c r="AM417" s="14"/>
      <c r="AN417" s="15"/>
      <c r="AO417" s="15"/>
      <c r="AP417" s="48"/>
      <c r="AQ417" s="15"/>
      <c r="AR417" s="15"/>
      <c r="AS417" s="15"/>
      <c r="AT417" s="60" t="str">
        <f>IF(ISNUMBER(MATCH(AU417,LOAI_THE!$B:$B,0)),INDEX(LOAI_THE!$A:$A,MATCH(AU417,LOAI_THE!$B:$B,0)),"")</f>
        <v/>
      </c>
      <c r="AU417" s="48"/>
      <c r="AV417" s="15"/>
      <c r="AW417" s="15"/>
      <c r="AX417" s="15"/>
      <c r="AY417" s="48"/>
    </row>
    <row r="418" spans="1:51" x14ac:dyDescent="0.3">
      <c r="A418" s="13" t="s">
        <v>4414</v>
      </c>
      <c r="B418" s="48"/>
      <c r="C418" s="48"/>
      <c r="D418" s="48"/>
      <c r="E418" s="48"/>
      <c r="F418" s="48"/>
      <c r="G418" s="58" t="str">
        <f>IF(ISNUMBER(MATCH(H418,GIOI_TINH!$B:$B,0)),INDEX(GIOI_TINH!$A:$A,MATCH(H418,GIOI_TINH!$B:$B,0)),"")</f>
        <v/>
      </c>
      <c r="H418" s="15"/>
      <c r="I418" s="15"/>
      <c r="J418" s="58" t="str">
        <f>IF(ISNUMBER(MATCH(K418,QUOC_GIA!$B:$B,0)),INDEX(QUOC_GIA!$A:$A,MATCH(K418,QUOC_GIA!$B:$B,0)),"")</f>
        <v/>
      </c>
      <c r="K418" s="50"/>
      <c r="L418" s="15"/>
      <c r="M418" s="58" t="str">
        <f>IF(ISNUMBER(MATCH(N418,LOAI_THUE!$B:$B,0)),INDEX(LOAI_THUE!$A:$A,MATCH(N418,LOAI_THUE!$B:$B,0)),"")</f>
        <v/>
      </c>
      <c r="N418" s="50"/>
      <c r="O418" s="58" t="str">
        <f>IF(ISNUMBER(MATCH(P418,CHI_TIET_LOAI_KH!$B:$B,0)),INDEX(CHI_TIET_LOAI_KH!$A:$A,MATCH(P418,CHI_TIET_LOAI_KH!$B:$B,0)),"")</f>
        <v/>
      </c>
      <c r="P418" s="50"/>
      <c r="Q418" s="58" t="str">
        <f>IF(ISNUMBER(MATCH(R418,NGHE_NGHIEP!$B:$B,0)),INDEX(NGHE_NGHIEP!$A:$A,MATCH(R418,NGHE_NGHIEP!$B:$B,0)),"")</f>
        <v/>
      </c>
      <c r="R418" s="50"/>
      <c r="S418" s="58" t="str">
        <f>IF(ISNUMBER(MATCH(T418,LOAI_ID!$B:$B,0)),INDEX(LOAI_ID!$A:$A,MATCH(T418,LOAI_ID!$B:$B,0)),"")</f>
        <v/>
      </c>
      <c r="T418" s="16"/>
      <c r="U418" s="48"/>
      <c r="V418" s="48"/>
      <c r="W418" s="17"/>
      <c r="X418" s="17"/>
      <c r="Y418" s="15"/>
      <c r="Z418" s="15"/>
      <c r="AA418" s="59" t="str">
        <f>IFERROR(INDEX(NOI_CAP!$B:$B,MATCH(Z418,NOI_CAP!$A:$A,0)),"")</f>
        <v/>
      </c>
      <c r="AB418" s="58" t="str">
        <f>IF(ISNUMBER(MATCH(AC418,LOAI_DIA_CHI!$B:$B,0)),INDEX(LOAI_DIA_CHI!$A:$A,MATCH(AC418,LOAI_DIA_CHI!$B:$B,0)),"")</f>
        <v/>
      </c>
      <c r="AC418" s="16"/>
      <c r="AD418" s="58" t="str">
        <f>IF(ISNUMBER(MATCH(AE418,QUOC_GIA!$B:$B,0)),INDEX(QUOC_GIA!$A:$A,MATCH(AE418,QUOC_GIA!$B:$B,0)),"")</f>
        <v/>
      </c>
      <c r="AE418" s="16"/>
      <c r="AF418" s="48"/>
      <c r="AG418" s="59" t="str">
        <f>IFERROR(INDEX(TINH_TP!$B:$B,MATCH(AF418,TINH_TP!$A:$A,0)),"")</f>
        <v/>
      </c>
      <c r="AH418" s="50"/>
      <c r="AI418" s="59" t="str">
        <f>IF(OR(AF418="",AH418=""),"",IF(COUNTIFS(PHUONG_XA!$A$2:$A$3323,AH418,PHUONG_XA!$C$2:$C$3323,AF418)=0,"",INDEX(PHUONG_XA!$B$2:$B$3323,SUMPRODUCT((PHUONG_XA!$A$2:$A$3323&amp;""=AH418&amp;"")*(PHUONG_XA!$C$2:$C$3323&amp;""=AF418&amp;"")*(ROW(PHUONG_XA!$A$2:$A$3323)-ROW(PHUONG_XA!$A$2)+1)))))</f>
        <v/>
      </c>
      <c r="AJ418" s="14"/>
      <c r="AK418" s="14"/>
      <c r="AL418" s="57" t="str">
        <f t="shared" si="7"/>
        <v/>
      </c>
      <c r="AM418" s="14"/>
      <c r="AN418" s="15"/>
      <c r="AO418" s="15"/>
      <c r="AP418" s="48"/>
      <c r="AQ418" s="15"/>
      <c r="AR418" s="15"/>
      <c r="AS418" s="15"/>
      <c r="AT418" s="60" t="str">
        <f>IF(ISNUMBER(MATCH(AU418,LOAI_THE!$B:$B,0)),INDEX(LOAI_THE!$A:$A,MATCH(AU418,LOAI_THE!$B:$B,0)),"")</f>
        <v/>
      </c>
      <c r="AU418" s="48"/>
      <c r="AV418" s="15"/>
      <c r="AW418" s="15"/>
      <c r="AX418" s="15"/>
      <c r="AY418" s="48"/>
    </row>
    <row r="419" spans="1:51" x14ac:dyDescent="0.3">
      <c r="A419" s="13" t="s">
        <v>4415</v>
      </c>
      <c r="B419" s="48"/>
      <c r="C419" s="48"/>
      <c r="D419" s="48"/>
      <c r="E419" s="48"/>
      <c r="F419" s="48"/>
      <c r="G419" s="58" t="str">
        <f>IF(ISNUMBER(MATCH(H419,GIOI_TINH!$B:$B,0)),INDEX(GIOI_TINH!$A:$A,MATCH(H419,GIOI_TINH!$B:$B,0)),"")</f>
        <v/>
      </c>
      <c r="H419" s="15"/>
      <c r="I419" s="15"/>
      <c r="J419" s="58" t="str">
        <f>IF(ISNUMBER(MATCH(K419,QUOC_GIA!$B:$B,0)),INDEX(QUOC_GIA!$A:$A,MATCH(K419,QUOC_GIA!$B:$B,0)),"")</f>
        <v/>
      </c>
      <c r="K419" s="50"/>
      <c r="L419" s="15"/>
      <c r="M419" s="58" t="str">
        <f>IF(ISNUMBER(MATCH(N419,LOAI_THUE!$B:$B,0)),INDEX(LOAI_THUE!$A:$A,MATCH(N419,LOAI_THUE!$B:$B,0)),"")</f>
        <v/>
      </c>
      <c r="N419" s="50"/>
      <c r="O419" s="58" t="str">
        <f>IF(ISNUMBER(MATCH(P419,CHI_TIET_LOAI_KH!$B:$B,0)),INDEX(CHI_TIET_LOAI_KH!$A:$A,MATCH(P419,CHI_TIET_LOAI_KH!$B:$B,0)),"")</f>
        <v/>
      </c>
      <c r="P419" s="50"/>
      <c r="Q419" s="58" t="str">
        <f>IF(ISNUMBER(MATCH(R419,NGHE_NGHIEP!$B:$B,0)),INDEX(NGHE_NGHIEP!$A:$A,MATCH(R419,NGHE_NGHIEP!$B:$B,0)),"")</f>
        <v/>
      </c>
      <c r="R419" s="50"/>
      <c r="S419" s="58" t="str">
        <f>IF(ISNUMBER(MATCH(T419,LOAI_ID!$B:$B,0)),INDEX(LOAI_ID!$A:$A,MATCH(T419,LOAI_ID!$B:$B,0)),"")</f>
        <v/>
      </c>
      <c r="T419" s="16"/>
      <c r="U419" s="48"/>
      <c r="V419" s="48"/>
      <c r="W419" s="17"/>
      <c r="X419" s="17"/>
      <c r="Y419" s="15"/>
      <c r="Z419" s="15"/>
      <c r="AA419" s="59" t="str">
        <f>IFERROR(INDEX(NOI_CAP!$B:$B,MATCH(Z419,NOI_CAP!$A:$A,0)),"")</f>
        <v/>
      </c>
      <c r="AB419" s="58" t="str">
        <f>IF(ISNUMBER(MATCH(AC419,LOAI_DIA_CHI!$B:$B,0)),INDEX(LOAI_DIA_CHI!$A:$A,MATCH(AC419,LOAI_DIA_CHI!$B:$B,0)),"")</f>
        <v/>
      </c>
      <c r="AC419" s="16"/>
      <c r="AD419" s="58" t="str">
        <f>IF(ISNUMBER(MATCH(AE419,QUOC_GIA!$B:$B,0)),INDEX(QUOC_GIA!$A:$A,MATCH(AE419,QUOC_GIA!$B:$B,0)),"")</f>
        <v/>
      </c>
      <c r="AE419" s="16"/>
      <c r="AF419" s="48"/>
      <c r="AG419" s="59" t="str">
        <f>IFERROR(INDEX(TINH_TP!$B:$B,MATCH(AF419,TINH_TP!$A:$A,0)),"")</f>
        <v/>
      </c>
      <c r="AH419" s="50"/>
      <c r="AI419" s="59" t="str">
        <f>IF(OR(AF419="",AH419=""),"",IF(COUNTIFS(PHUONG_XA!$A$2:$A$3323,AH419,PHUONG_XA!$C$2:$C$3323,AF419)=0,"",INDEX(PHUONG_XA!$B$2:$B$3323,SUMPRODUCT((PHUONG_XA!$A$2:$A$3323&amp;""=AH419&amp;"")*(PHUONG_XA!$C$2:$C$3323&amp;""=AF419&amp;"")*(ROW(PHUONG_XA!$A$2:$A$3323)-ROW(PHUONG_XA!$A$2)+1)))))</f>
        <v/>
      </c>
      <c r="AJ419" s="14"/>
      <c r="AK419" s="14"/>
      <c r="AL419" s="57" t="str">
        <f t="shared" si="7"/>
        <v/>
      </c>
      <c r="AM419" s="14"/>
      <c r="AN419" s="15"/>
      <c r="AO419" s="15"/>
      <c r="AP419" s="48"/>
      <c r="AQ419" s="15"/>
      <c r="AR419" s="15"/>
      <c r="AS419" s="15"/>
      <c r="AT419" s="60" t="str">
        <f>IF(ISNUMBER(MATCH(AU419,LOAI_THE!$B:$B,0)),INDEX(LOAI_THE!$A:$A,MATCH(AU419,LOAI_THE!$B:$B,0)),"")</f>
        <v/>
      </c>
      <c r="AU419" s="48"/>
      <c r="AV419" s="15"/>
      <c r="AW419" s="15"/>
      <c r="AX419" s="15"/>
      <c r="AY419" s="48"/>
    </row>
    <row r="420" spans="1:51" x14ac:dyDescent="0.3">
      <c r="A420" s="13" t="s">
        <v>4416</v>
      </c>
      <c r="B420" s="48"/>
      <c r="C420" s="48"/>
      <c r="D420" s="48"/>
      <c r="E420" s="48"/>
      <c r="F420" s="48"/>
      <c r="G420" s="58" t="str">
        <f>IF(ISNUMBER(MATCH(H420,GIOI_TINH!$B:$B,0)),INDEX(GIOI_TINH!$A:$A,MATCH(H420,GIOI_TINH!$B:$B,0)),"")</f>
        <v/>
      </c>
      <c r="H420" s="15"/>
      <c r="I420" s="15"/>
      <c r="J420" s="58" t="str">
        <f>IF(ISNUMBER(MATCH(K420,QUOC_GIA!$B:$B,0)),INDEX(QUOC_GIA!$A:$A,MATCH(K420,QUOC_GIA!$B:$B,0)),"")</f>
        <v/>
      </c>
      <c r="K420" s="50"/>
      <c r="L420" s="15"/>
      <c r="M420" s="58" t="str">
        <f>IF(ISNUMBER(MATCH(N420,LOAI_THUE!$B:$B,0)),INDEX(LOAI_THUE!$A:$A,MATCH(N420,LOAI_THUE!$B:$B,0)),"")</f>
        <v/>
      </c>
      <c r="N420" s="50"/>
      <c r="O420" s="58" t="str">
        <f>IF(ISNUMBER(MATCH(P420,CHI_TIET_LOAI_KH!$B:$B,0)),INDEX(CHI_TIET_LOAI_KH!$A:$A,MATCH(P420,CHI_TIET_LOAI_KH!$B:$B,0)),"")</f>
        <v/>
      </c>
      <c r="P420" s="50"/>
      <c r="Q420" s="58" t="str">
        <f>IF(ISNUMBER(MATCH(R420,NGHE_NGHIEP!$B:$B,0)),INDEX(NGHE_NGHIEP!$A:$A,MATCH(R420,NGHE_NGHIEP!$B:$B,0)),"")</f>
        <v/>
      </c>
      <c r="R420" s="50"/>
      <c r="S420" s="58" t="str">
        <f>IF(ISNUMBER(MATCH(T420,LOAI_ID!$B:$B,0)),INDEX(LOAI_ID!$A:$A,MATCH(T420,LOAI_ID!$B:$B,0)),"")</f>
        <v/>
      </c>
      <c r="T420" s="16"/>
      <c r="U420" s="48"/>
      <c r="V420" s="48"/>
      <c r="W420" s="17"/>
      <c r="X420" s="17"/>
      <c r="Y420" s="15"/>
      <c r="Z420" s="15"/>
      <c r="AA420" s="59" t="str">
        <f>IFERROR(INDEX(NOI_CAP!$B:$B,MATCH(Z420,NOI_CAP!$A:$A,0)),"")</f>
        <v/>
      </c>
      <c r="AB420" s="58" t="str">
        <f>IF(ISNUMBER(MATCH(AC420,LOAI_DIA_CHI!$B:$B,0)),INDEX(LOAI_DIA_CHI!$A:$A,MATCH(AC420,LOAI_DIA_CHI!$B:$B,0)),"")</f>
        <v/>
      </c>
      <c r="AC420" s="16"/>
      <c r="AD420" s="58" t="str">
        <f>IF(ISNUMBER(MATCH(AE420,QUOC_GIA!$B:$B,0)),INDEX(QUOC_GIA!$A:$A,MATCH(AE420,QUOC_GIA!$B:$B,0)),"")</f>
        <v/>
      </c>
      <c r="AE420" s="16"/>
      <c r="AF420" s="48"/>
      <c r="AG420" s="59" t="str">
        <f>IFERROR(INDEX(TINH_TP!$B:$B,MATCH(AF420,TINH_TP!$A:$A,0)),"")</f>
        <v/>
      </c>
      <c r="AH420" s="50"/>
      <c r="AI420" s="59" t="str">
        <f>IF(OR(AF420="",AH420=""),"",IF(COUNTIFS(PHUONG_XA!$A$2:$A$3323,AH420,PHUONG_XA!$C$2:$C$3323,AF420)=0,"",INDEX(PHUONG_XA!$B$2:$B$3323,SUMPRODUCT((PHUONG_XA!$A$2:$A$3323&amp;""=AH420&amp;"")*(PHUONG_XA!$C$2:$C$3323&amp;""=AF420&amp;"")*(ROW(PHUONG_XA!$A$2:$A$3323)-ROW(PHUONG_XA!$A$2)+1)))))</f>
        <v/>
      </c>
      <c r="AJ420" s="14"/>
      <c r="AK420" s="14"/>
      <c r="AL420" s="57" t="str">
        <f t="shared" si="7"/>
        <v/>
      </c>
      <c r="AM420" s="14"/>
      <c r="AN420" s="15"/>
      <c r="AO420" s="15"/>
      <c r="AP420" s="48"/>
      <c r="AQ420" s="15"/>
      <c r="AR420" s="15"/>
      <c r="AS420" s="15"/>
      <c r="AT420" s="60" t="str">
        <f>IF(ISNUMBER(MATCH(AU420,LOAI_THE!$B:$B,0)),INDEX(LOAI_THE!$A:$A,MATCH(AU420,LOAI_THE!$B:$B,0)),"")</f>
        <v/>
      </c>
      <c r="AU420" s="48"/>
      <c r="AV420" s="15"/>
      <c r="AW420" s="15"/>
      <c r="AX420" s="15"/>
      <c r="AY420" s="48"/>
    </row>
    <row r="421" spans="1:51" x14ac:dyDescent="0.3">
      <c r="A421" s="13" t="s">
        <v>4417</v>
      </c>
      <c r="B421" s="48"/>
      <c r="C421" s="48"/>
      <c r="D421" s="48"/>
      <c r="E421" s="48"/>
      <c r="F421" s="48"/>
      <c r="G421" s="58" t="str">
        <f>IF(ISNUMBER(MATCH(H421,GIOI_TINH!$B:$B,0)),INDEX(GIOI_TINH!$A:$A,MATCH(H421,GIOI_TINH!$B:$B,0)),"")</f>
        <v/>
      </c>
      <c r="H421" s="15"/>
      <c r="I421" s="15"/>
      <c r="J421" s="58" t="str">
        <f>IF(ISNUMBER(MATCH(K421,QUOC_GIA!$B:$B,0)),INDEX(QUOC_GIA!$A:$A,MATCH(K421,QUOC_GIA!$B:$B,0)),"")</f>
        <v/>
      </c>
      <c r="K421" s="50"/>
      <c r="L421" s="15"/>
      <c r="M421" s="58" t="str">
        <f>IF(ISNUMBER(MATCH(N421,LOAI_THUE!$B:$B,0)),INDEX(LOAI_THUE!$A:$A,MATCH(N421,LOAI_THUE!$B:$B,0)),"")</f>
        <v/>
      </c>
      <c r="N421" s="50"/>
      <c r="O421" s="58" t="str">
        <f>IF(ISNUMBER(MATCH(P421,CHI_TIET_LOAI_KH!$B:$B,0)),INDEX(CHI_TIET_LOAI_KH!$A:$A,MATCH(P421,CHI_TIET_LOAI_KH!$B:$B,0)),"")</f>
        <v/>
      </c>
      <c r="P421" s="50"/>
      <c r="Q421" s="58" t="str">
        <f>IF(ISNUMBER(MATCH(R421,NGHE_NGHIEP!$B:$B,0)),INDEX(NGHE_NGHIEP!$A:$A,MATCH(R421,NGHE_NGHIEP!$B:$B,0)),"")</f>
        <v/>
      </c>
      <c r="R421" s="50"/>
      <c r="S421" s="58" t="str">
        <f>IF(ISNUMBER(MATCH(T421,LOAI_ID!$B:$B,0)),INDEX(LOAI_ID!$A:$A,MATCH(T421,LOAI_ID!$B:$B,0)),"")</f>
        <v/>
      </c>
      <c r="T421" s="16"/>
      <c r="U421" s="48"/>
      <c r="V421" s="48"/>
      <c r="W421" s="17"/>
      <c r="X421" s="17"/>
      <c r="Y421" s="15"/>
      <c r="Z421" s="15"/>
      <c r="AA421" s="59" t="str">
        <f>IFERROR(INDEX(NOI_CAP!$B:$B,MATCH(Z421,NOI_CAP!$A:$A,0)),"")</f>
        <v/>
      </c>
      <c r="AB421" s="58" t="str">
        <f>IF(ISNUMBER(MATCH(AC421,LOAI_DIA_CHI!$B:$B,0)),INDEX(LOAI_DIA_CHI!$A:$A,MATCH(AC421,LOAI_DIA_CHI!$B:$B,0)),"")</f>
        <v/>
      </c>
      <c r="AC421" s="16"/>
      <c r="AD421" s="58" t="str">
        <f>IF(ISNUMBER(MATCH(AE421,QUOC_GIA!$B:$B,0)),INDEX(QUOC_GIA!$A:$A,MATCH(AE421,QUOC_GIA!$B:$B,0)),"")</f>
        <v/>
      </c>
      <c r="AE421" s="16"/>
      <c r="AF421" s="48"/>
      <c r="AG421" s="59" t="str">
        <f>IFERROR(INDEX(TINH_TP!$B:$B,MATCH(AF421,TINH_TP!$A:$A,0)),"")</f>
        <v/>
      </c>
      <c r="AH421" s="50"/>
      <c r="AI421" s="59" t="str">
        <f>IF(OR(AF421="",AH421=""),"",IF(COUNTIFS(PHUONG_XA!$A$2:$A$3323,AH421,PHUONG_XA!$C$2:$C$3323,AF421)=0,"",INDEX(PHUONG_XA!$B$2:$B$3323,SUMPRODUCT((PHUONG_XA!$A$2:$A$3323&amp;""=AH421&amp;"")*(PHUONG_XA!$C$2:$C$3323&amp;""=AF421&amp;"")*(ROW(PHUONG_XA!$A$2:$A$3323)-ROW(PHUONG_XA!$A$2)+1)))))</f>
        <v/>
      </c>
      <c r="AJ421" s="14"/>
      <c r="AK421" s="14"/>
      <c r="AL421" s="57" t="str">
        <f t="shared" si="7"/>
        <v/>
      </c>
      <c r="AM421" s="14"/>
      <c r="AN421" s="15"/>
      <c r="AO421" s="15"/>
      <c r="AP421" s="48"/>
      <c r="AQ421" s="15"/>
      <c r="AR421" s="15"/>
      <c r="AS421" s="15"/>
      <c r="AT421" s="60" t="str">
        <f>IF(ISNUMBER(MATCH(AU421,LOAI_THE!$B:$B,0)),INDEX(LOAI_THE!$A:$A,MATCH(AU421,LOAI_THE!$B:$B,0)),"")</f>
        <v/>
      </c>
      <c r="AU421" s="48"/>
      <c r="AV421" s="15"/>
      <c r="AW421" s="15"/>
      <c r="AX421" s="15"/>
      <c r="AY421" s="48"/>
    </row>
    <row r="422" spans="1:51" x14ac:dyDescent="0.3">
      <c r="A422" s="13" t="s">
        <v>4418</v>
      </c>
      <c r="B422" s="48"/>
      <c r="C422" s="48"/>
      <c r="D422" s="48"/>
      <c r="E422" s="48"/>
      <c r="F422" s="48"/>
      <c r="G422" s="58" t="str">
        <f>IF(ISNUMBER(MATCH(H422,GIOI_TINH!$B:$B,0)),INDEX(GIOI_TINH!$A:$A,MATCH(H422,GIOI_TINH!$B:$B,0)),"")</f>
        <v/>
      </c>
      <c r="H422" s="15"/>
      <c r="I422" s="15"/>
      <c r="J422" s="58" t="str">
        <f>IF(ISNUMBER(MATCH(K422,QUOC_GIA!$B:$B,0)),INDEX(QUOC_GIA!$A:$A,MATCH(K422,QUOC_GIA!$B:$B,0)),"")</f>
        <v/>
      </c>
      <c r="K422" s="50"/>
      <c r="L422" s="15"/>
      <c r="M422" s="58" t="str">
        <f>IF(ISNUMBER(MATCH(N422,LOAI_THUE!$B:$B,0)),INDEX(LOAI_THUE!$A:$A,MATCH(N422,LOAI_THUE!$B:$B,0)),"")</f>
        <v/>
      </c>
      <c r="N422" s="50"/>
      <c r="O422" s="58" t="str">
        <f>IF(ISNUMBER(MATCH(P422,CHI_TIET_LOAI_KH!$B:$B,0)),INDEX(CHI_TIET_LOAI_KH!$A:$A,MATCH(P422,CHI_TIET_LOAI_KH!$B:$B,0)),"")</f>
        <v/>
      </c>
      <c r="P422" s="50"/>
      <c r="Q422" s="58" t="str">
        <f>IF(ISNUMBER(MATCH(R422,NGHE_NGHIEP!$B:$B,0)),INDEX(NGHE_NGHIEP!$A:$A,MATCH(R422,NGHE_NGHIEP!$B:$B,0)),"")</f>
        <v/>
      </c>
      <c r="R422" s="50"/>
      <c r="S422" s="58" t="str">
        <f>IF(ISNUMBER(MATCH(T422,LOAI_ID!$B:$B,0)),INDEX(LOAI_ID!$A:$A,MATCH(T422,LOAI_ID!$B:$B,0)),"")</f>
        <v/>
      </c>
      <c r="T422" s="16"/>
      <c r="U422" s="48"/>
      <c r="V422" s="48"/>
      <c r="W422" s="17"/>
      <c r="X422" s="17"/>
      <c r="Y422" s="15"/>
      <c r="Z422" s="15"/>
      <c r="AA422" s="59" t="str">
        <f>IFERROR(INDEX(NOI_CAP!$B:$B,MATCH(Z422,NOI_CAP!$A:$A,0)),"")</f>
        <v/>
      </c>
      <c r="AB422" s="58" t="str">
        <f>IF(ISNUMBER(MATCH(AC422,LOAI_DIA_CHI!$B:$B,0)),INDEX(LOAI_DIA_CHI!$A:$A,MATCH(AC422,LOAI_DIA_CHI!$B:$B,0)),"")</f>
        <v/>
      </c>
      <c r="AC422" s="16"/>
      <c r="AD422" s="58" t="str">
        <f>IF(ISNUMBER(MATCH(AE422,QUOC_GIA!$B:$B,0)),INDEX(QUOC_GIA!$A:$A,MATCH(AE422,QUOC_GIA!$B:$B,0)),"")</f>
        <v/>
      </c>
      <c r="AE422" s="16"/>
      <c r="AF422" s="48"/>
      <c r="AG422" s="59" t="str">
        <f>IFERROR(INDEX(TINH_TP!$B:$B,MATCH(AF422,TINH_TP!$A:$A,0)),"")</f>
        <v/>
      </c>
      <c r="AH422" s="50"/>
      <c r="AI422" s="59" t="str">
        <f>IF(OR(AF422="",AH422=""),"",IF(COUNTIFS(PHUONG_XA!$A$2:$A$3323,AH422,PHUONG_XA!$C$2:$C$3323,AF422)=0,"",INDEX(PHUONG_XA!$B$2:$B$3323,SUMPRODUCT((PHUONG_XA!$A$2:$A$3323&amp;""=AH422&amp;"")*(PHUONG_XA!$C$2:$C$3323&amp;""=AF422&amp;"")*(ROW(PHUONG_XA!$A$2:$A$3323)-ROW(PHUONG_XA!$A$2)+1)))))</f>
        <v/>
      </c>
      <c r="AJ422" s="14"/>
      <c r="AK422" s="14"/>
      <c r="AL422" s="57" t="str">
        <f t="shared" si="7"/>
        <v/>
      </c>
      <c r="AM422" s="14"/>
      <c r="AN422" s="15"/>
      <c r="AO422" s="15"/>
      <c r="AP422" s="48"/>
      <c r="AQ422" s="15"/>
      <c r="AR422" s="15"/>
      <c r="AS422" s="15"/>
      <c r="AT422" s="60" t="str">
        <f>IF(ISNUMBER(MATCH(AU422,LOAI_THE!$B:$B,0)),INDEX(LOAI_THE!$A:$A,MATCH(AU422,LOAI_THE!$B:$B,0)),"")</f>
        <v/>
      </c>
      <c r="AU422" s="48"/>
      <c r="AV422" s="15"/>
      <c r="AW422" s="15"/>
      <c r="AX422" s="15"/>
      <c r="AY422" s="48"/>
    </row>
    <row r="423" spans="1:51" x14ac:dyDescent="0.3">
      <c r="A423" s="13" t="s">
        <v>4419</v>
      </c>
      <c r="B423" s="48"/>
      <c r="C423" s="48"/>
      <c r="D423" s="48"/>
      <c r="E423" s="48"/>
      <c r="F423" s="48"/>
      <c r="G423" s="58" t="str">
        <f>IF(ISNUMBER(MATCH(H423,GIOI_TINH!$B:$B,0)),INDEX(GIOI_TINH!$A:$A,MATCH(H423,GIOI_TINH!$B:$B,0)),"")</f>
        <v/>
      </c>
      <c r="H423" s="15"/>
      <c r="I423" s="15"/>
      <c r="J423" s="58" t="str">
        <f>IF(ISNUMBER(MATCH(K423,QUOC_GIA!$B:$B,0)),INDEX(QUOC_GIA!$A:$A,MATCH(K423,QUOC_GIA!$B:$B,0)),"")</f>
        <v/>
      </c>
      <c r="K423" s="50"/>
      <c r="L423" s="15"/>
      <c r="M423" s="58" t="str">
        <f>IF(ISNUMBER(MATCH(N423,LOAI_THUE!$B:$B,0)),INDEX(LOAI_THUE!$A:$A,MATCH(N423,LOAI_THUE!$B:$B,0)),"")</f>
        <v/>
      </c>
      <c r="N423" s="50"/>
      <c r="O423" s="58" t="str">
        <f>IF(ISNUMBER(MATCH(P423,CHI_TIET_LOAI_KH!$B:$B,0)),INDEX(CHI_TIET_LOAI_KH!$A:$A,MATCH(P423,CHI_TIET_LOAI_KH!$B:$B,0)),"")</f>
        <v/>
      </c>
      <c r="P423" s="50"/>
      <c r="Q423" s="58" t="str">
        <f>IF(ISNUMBER(MATCH(R423,NGHE_NGHIEP!$B:$B,0)),INDEX(NGHE_NGHIEP!$A:$A,MATCH(R423,NGHE_NGHIEP!$B:$B,0)),"")</f>
        <v/>
      </c>
      <c r="R423" s="50"/>
      <c r="S423" s="58" t="str">
        <f>IF(ISNUMBER(MATCH(T423,LOAI_ID!$B:$B,0)),INDEX(LOAI_ID!$A:$A,MATCH(T423,LOAI_ID!$B:$B,0)),"")</f>
        <v/>
      </c>
      <c r="T423" s="16"/>
      <c r="U423" s="48"/>
      <c r="V423" s="48"/>
      <c r="W423" s="17"/>
      <c r="X423" s="17"/>
      <c r="Y423" s="15"/>
      <c r="Z423" s="15"/>
      <c r="AA423" s="59" t="str">
        <f>IFERROR(INDEX(NOI_CAP!$B:$B,MATCH(Z423,NOI_CAP!$A:$A,0)),"")</f>
        <v/>
      </c>
      <c r="AB423" s="58" t="str">
        <f>IF(ISNUMBER(MATCH(AC423,LOAI_DIA_CHI!$B:$B,0)),INDEX(LOAI_DIA_CHI!$A:$A,MATCH(AC423,LOAI_DIA_CHI!$B:$B,0)),"")</f>
        <v/>
      </c>
      <c r="AC423" s="16"/>
      <c r="AD423" s="58" t="str">
        <f>IF(ISNUMBER(MATCH(AE423,QUOC_GIA!$B:$B,0)),INDEX(QUOC_GIA!$A:$A,MATCH(AE423,QUOC_GIA!$B:$B,0)),"")</f>
        <v/>
      </c>
      <c r="AE423" s="16"/>
      <c r="AF423" s="48"/>
      <c r="AG423" s="59" t="str">
        <f>IFERROR(INDEX(TINH_TP!$B:$B,MATCH(AF423,TINH_TP!$A:$A,0)),"")</f>
        <v/>
      </c>
      <c r="AH423" s="50"/>
      <c r="AI423" s="59" t="str">
        <f>IF(OR(AF423="",AH423=""),"",IF(COUNTIFS(PHUONG_XA!$A$2:$A$3323,AH423,PHUONG_XA!$C$2:$C$3323,AF423)=0,"",INDEX(PHUONG_XA!$B$2:$B$3323,SUMPRODUCT((PHUONG_XA!$A$2:$A$3323&amp;""=AH423&amp;"")*(PHUONG_XA!$C$2:$C$3323&amp;""=AF423&amp;"")*(ROW(PHUONG_XA!$A$2:$A$3323)-ROW(PHUONG_XA!$A$2)+1)))))</f>
        <v/>
      </c>
      <c r="AJ423" s="14"/>
      <c r="AK423" s="14"/>
      <c r="AL423" s="57" t="str">
        <f t="shared" si="7"/>
        <v/>
      </c>
      <c r="AM423" s="14"/>
      <c r="AN423" s="15"/>
      <c r="AO423" s="15"/>
      <c r="AP423" s="48"/>
      <c r="AQ423" s="15"/>
      <c r="AR423" s="15"/>
      <c r="AS423" s="15"/>
      <c r="AT423" s="60" t="str">
        <f>IF(ISNUMBER(MATCH(AU423,LOAI_THE!$B:$B,0)),INDEX(LOAI_THE!$A:$A,MATCH(AU423,LOAI_THE!$B:$B,0)),"")</f>
        <v/>
      </c>
      <c r="AU423" s="48"/>
      <c r="AV423" s="15"/>
      <c r="AW423" s="15"/>
      <c r="AX423" s="15"/>
      <c r="AY423" s="48"/>
    </row>
    <row r="424" spans="1:51" x14ac:dyDescent="0.3">
      <c r="A424" s="13" t="s">
        <v>4420</v>
      </c>
      <c r="B424" s="48"/>
      <c r="C424" s="48"/>
      <c r="D424" s="48"/>
      <c r="E424" s="48"/>
      <c r="F424" s="48"/>
      <c r="G424" s="58" t="str">
        <f>IF(ISNUMBER(MATCH(H424,GIOI_TINH!$B:$B,0)),INDEX(GIOI_TINH!$A:$A,MATCH(H424,GIOI_TINH!$B:$B,0)),"")</f>
        <v/>
      </c>
      <c r="H424" s="15"/>
      <c r="I424" s="15"/>
      <c r="J424" s="58" t="str">
        <f>IF(ISNUMBER(MATCH(K424,QUOC_GIA!$B:$B,0)),INDEX(QUOC_GIA!$A:$A,MATCH(K424,QUOC_GIA!$B:$B,0)),"")</f>
        <v/>
      </c>
      <c r="K424" s="50"/>
      <c r="L424" s="15"/>
      <c r="M424" s="58" t="str">
        <f>IF(ISNUMBER(MATCH(N424,LOAI_THUE!$B:$B,0)),INDEX(LOAI_THUE!$A:$A,MATCH(N424,LOAI_THUE!$B:$B,0)),"")</f>
        <v/>
      </c>
      <c r="N424" s="50"/>
      <c r="O424" s="58" t="str">
        <f>IF(ISNUMBER(MATCH(P424,CHI_TIET_LOAI_KH!$B:$B,0)),INDEX(CHI_TIET_LOAI_KH!$A:$A,MATCH(P424,CHI_TIET_LOAI_KH!$B:$B,0)),"")</f>
        <v/>
      </c>
      <c r="P424" s="50"/>
      <c r="Q424" s="58" t="str">
        <f>IF(ISNUMBER(MATCH(R424,NGHE_NGHIEP!$B:$B,0)),INDEX(NGHE_NGHIEP!$A:$A,MATCH(R424,NGHE_NGHIEP!$B:$B,0)),"")</f>
        <v/>
      </c>
      <c r="R424" s="50"/>
      <c r="S424" s="58" t="str">
        <f>IF(ISNUMBER(MATCH(T424,LOAI_ID!$B:$B,0)),INDEX(LOAI_ID!$A:$A,MATCH(T424,LOAI_ID!$B:$B,0)),"")</f>
        <v/>
      </c>
      <c r="T424" s="16"/>
      <c r="U424" s="48"/>
      <c r="V424" s="48"/>
      <c r="W424" s="17"/>
      <c r="X424" s="17"/>
      <c r="Y424" s="15"/>
      <c r="Z424" s="15"/>
      <c r="AA424" s="59" t="str">
        <f>IFERROR(INDEX(NOI_CAP!$B:$B,MATCH(Z424,NOI_CAP!$A:$A,0)),"")</f>
        <v/>
      </c>
      <c r="AB424" s="58" t="str">
        <f>IF(ISNUMBER(MATCH(AC424,LOAI_DIA_CHI!$B:$B,0)),INDEX(LOAI_DIA_CHI!$A:$A,MATCH(AC424,LOAI_DIA_CHI!$B:$B,0)),"")</f>
        <v/>
      </c>
      <c r="AC424" s="16"/>
      <c r="AD424" s="58" t="str">
        <f>IF(ISNUMBER(MATCH(AE424,QUOC_GIA!$B:$B,0)),INDEX(QUOC_GIA!$A:$A,MATCH(AE424,QUOC_GIA!$B:$B,0)),"")</f>
        <v/>
      </c>
      <c r="AE424" s="16"/>
      <c r="AF424" s="48"/>
      <c r="AG424" s="59" t="str">
        <f>IFERROR(INDEX(TINH_TP!$B:$B,MATCH(AF424,TINH_TP!$A:$A,0)),"")</f>
        <v/>
      </c>
      <c r="AH424" s="50"/>
      <c r="AI424" s="59" t="str">
        <f>IF(OR(AF424="",AH424=""),"",IF(COUNTIFS(PHUONG_XA!$A$2:$A$3323,AH424,PHUONG_XA!$C$2:$C$3323,AF424)=0,"",INDEX(PHUONG_XA!$B$2:$B$3323,SUMPRODUCT((PHUONG_XA!$A$2:$A$3323&amp;""=AH424&amp;"")*(PHUONG_XA!$C$2:$C$3323&amp;""=AF424&amp;"")*(ROW(PHUONG_XA!$A$2:$A$3323)-ROW(PHUONG_XA!$A$2)+1)))))</f>
        <v/>
      </c>
      <c r="AJ424" s="14"/>
      <c r="AK424" s="14"/>
      <c r="AL424" s="57" t="str">
        <f t="shared" si="7"/>
        <v/>
      </c>
      <c r="AM424" s="14"/>
      <c r="AN424" s="15"/>
      <c r="AO424" s="15"/>
      <c r="AP424" s="48"/>
      <c r="AQ424" s="15"/>
      <c r="AR424" s="15"/>
      <c r="AS424" s="15"/>
      <c r="AT424" s="60" t="str">
        <f>IF(ISNUMBER(MATCH(AU424,LOAI_THE!$B:$B,0)),INDEX(LOAI_THE!$A:$A,MATCH(AU424,LOAI_THE!$B:$B,0)),"")</f>
        <v/>
      </c>
      <c r="AU424" s="48"/>
      <c r="AV424" s="15"/>
      <c r="AW424" s="15"/>
      <c r="AX424" s="15"/>
      <c r="AY424" s="48"/>
    </row>
    <row r="425" spans="1:51" x14ac:dyDescent="0.3">
      <c r="A425" s="13" t="s">
        <v>4421</v>
      </c>
      <c r="B425" s="48"/>
      <c r="C425" s="48"/>
      <c r="D425" s="48"/>
      <c r="E425" s="48"/>
      <c r="F425" s="48"/>
      <c r="G425" s="58" t="str">
        <f>IF(ISNUMBER(MATCH(H425,GIOI_TINH!$B:$B,0)),INDEX(GIOI_TINH!$A:$A,MATCH(H425,GIOI_TINH!$B:$B,0)),"")</f>
        <v/>
      </c>
      <c r="H425" s="15"/>
      <c r="I425" s="15"/>
      <c r="J425" s="58" t="str">
        <f>IF(ISNUMBER(MATCH(K425,QUOC_GIA!$B:$B,0)),INDEX(QUOC_GIA!$A:$A,MATCH(K425,QUOC_GIA!$B:$B,0)),"")</f>
        <v/>
      </c>
      <c r="K425" s="50"/>
      <c r="L425" s="15"/>
      <c r="M425" s="58" t="str">
        <f>IF(ISNUMBER(MATCH(N425,LOAI_THUE!$B:$B,0)),INDEX(LOAI_THUE!$A:$A,MATCH(N425,LOAI_THUE!$B:$B,0)),"")</f>
        <v/>
      </c>
      <c r="N425" s="50"/>
      <c r="O425" s="58" t="str">
        <f>IF(ISNUMBER(MATCH(P425,CHI_TIET_LOAI_KH!$B:$B,0)),INDEX(CHI_TIET_LOAI_KH!$A:$A,MATCH(P425,CHI_TIET_LOAI_KH!$B:$B,0)),"")</f>
        <v/>
      </c>
      <c r="P425" s="50"/>
      <c r="Q425" s="58" t="str">
        <f>IF(ISNUMBER(MATCH(R425,NGHE_NGHIEP!$B:$B,0)),INDEX(NGHE_NGHIEP!$A:$A,MATCH(R425,NGHE_NGHIEP!$B:$B,0)),"")</f>
        <v/>
      </c>
      <c r="R425" s="50"/>
      <c r="S425" s="58" t="str">
        <f>IF(ISNUMBER(MATCH(T425,LOAI_ID!$B:$B,0)),INDEX(LOAI_ID!$A:$A,MATCH(T425,LOAI_ID!$B:$B,0)),"")</f>
        <v/>
      </c>
      <c r="T425" s="16"/>
      <c r="U425" s="48"/>
      <c r="V425" s="48"/>
      <c r="W425" s="17"/>
      <c r="X425" s="17"/>
      <c r="Y425" s="15"/>
      <c r="Z425" s="15"/>
      <c r="AA425" s="59" t="str">
        <f>IFERROR(INDEX(NOI_CAP!$B:$B,MATCH(Z425,NOI_CAP!$A:$A,0)),"")</f>
        <v/>
      </c>
      <c r="AB425" s="58" t="str">
        <f>IF(ISNUMBER(MATCH(AC425,LOAI_DIA_CHI!$B:$B,0)),INDEX(LOAI_DIA_CHI!$A:$A,MATCH(AC425,LOAI_DIA_CHI!$B:$B,0)),"")</f>
        <v/>
      </c>
      <c r="AC425" s="16"/>
      <c r="AD425" s="58" t="str">
        <f>IF(ISNUMBER(MATCH(AE425,QUOC_GIA!$B:$B,0)),INDEX(QUOC_GIA!$A:$A,MATCH(AE425,QUOC_GIA!$B:$B,0)),"")</f>
        <v/>
      </c>
      <c r="AE425" s="16"/>
      <c r="AF425" s="48"/>
      <c r="AG425" s="59" t="str">
        <f>IFERROR(INDEX(TINH_TP!$B:$B,MATCH(AF425,TINH_TP!$A:$A,0)),"")</f>
        <v/>
      </c>
      <c r="AH425" s="50"/>
      <c r="AI425" s="59" t="str">
        <f>IF(OR(AF425="",AH425=""),"",IF(COUNTIFS(PHUONG_XA!$A$2:$A$3323,AH425,PHUONG_XA!$C$2:$C$3323,AF425)=0,"",INDEX(PHUONG_XA!$B$2:$B$3323,SUMPRODUCT((PHUONG_XA!$A$2:$A$3323&amp;""=AH425&amp;"")*(PHUONG_XA!$C$2:$C$3323&amp;""=AF425&amp;"")*(ROW(PHUONG_XA!$A$2:$A$3323)-ROW(PHUONG_XA!$A$2)+1)))))</f>
        <v/>
      </c>
      <c r="AJ425" s="14"/>
      <c r="AK425" s="14"/>
      <c r="AL425" s="57" t="str">
        <f t="shared" si="7"/>
        <v/>
      </c>
      <c r="AM425" s="14"/>
      <c r="AN425" s="15"/>
      <c r="AO425" s="15"/>
      <c r="AP425" s="48"/>
      <c r="AQ425" s="15"/>
      <c r="AR425" s="15"/>
      <c r="AS425" s="15"/>
      <c r="AT425" s="60" t="str">
        <f>IF(ISNUMBER(MATCH(AU425,LOAI_THE!$B:$B,0)),INDEX(LOAI_THE!$A:$A,MATCH(AU425,LOAI_THE!$B:$B,0)),"")</f>
        <v/>
      </c>
      <c r="AU425" s="48"/>
      <c r="AV425" s="15"/>
      <c r="AW425" s="15"/>
      <c r="AX425" s="15"/>
      <c r="AY425" s="48"/>
    </row>
    <row r="426" spans="1:51" x14ac:dyDescent="0.3">
      <c r="A426" s="13" t="s">
        <v>4422</v>
      </c>
      <c r="B426" s="48"/>
      <c r="C426" s="48"/>
      <c r="D426" s="48"/>
      <c r="E426" s="48"/>
      <c r="F426" s="48"/>
      <c r="G426" s="58" t="str">
        <f>IF(ISNUMBER(MATCH(H426,GIOI_TINH!$B:$B,0)),INDEX(GIOI_TINH!$A:$A,MATCH(H426,GIOI_TINH!$B:$B,0)),"")</f>
        <v/>
      </c>
      <c r="H426" s="15"/>
      <c r="I426" s="15"/>
      <c r="J426" s="58" t="str">
        <f>IF(ISNUMBER(MATCH(K426,QUOC_GIA!$B:$B,0)),INDEX(QUOC_GIA!$A:$A,MATCH(K426,QUOC_GIA!$B:$B,0)),"")</f>
        <v/>
      </c>
      <c r="K426" s="50"/>
      <c r="L426" s="15"/>
      <c r="M426" s="58" t="str">
        <f>IF(ISNUMBER(MATCH(N426,LOAI_THUE!$B:$B,0)),INDEX(LOAI_THUE!$A:$A,MATCH(N426,LOAI_THUE!$B:$B,0)),"")</f>
        <v/>
      </c>
      <c r="N426" s="50"/>
      <c r="O426" s="58" t="str">
        <f>IF(ISNUMBER(MATCH(P426,CHI_TIET_LOAI_KH!$B:$B,0)),INDEX(CHI_TIET_LOAI_KH!$A:$A,MATCH(P426,CHI_TIET_LOAI_KH!$B:$B,0)),"")</f>
        <v/>
      </c>
      <c r="P426" s="50"/>
      <c r="Q426" s="58" t="str">
        <f>IF(ISNUMBER(MATCH(R426,NGHE_NGHIEP!$B:$B,0)),INDEX(NGHE_NGHIEP!$A:$A,MATCH(R426,NGHE_NGHIEP!$B:$B,0)),"")</f>
        <v/>
      </c>
      <c r="R426" s="50"/>
      <c r="S426" s="58" t="str">
        <f>IF(ISNUMBER(MATCH(T426,LOAI_ID!$B:$B,0)),INDEX(LOAI_ID!$A:$A,MATCH(T426,LOAI_ID!$B:$B,0)),"")</f>
        <v/>
      </c>
      <c r="T426" s="16"/>
      <c r="U426" s="48"/>
      <c r="V426" s="48"/>
      <c r="W426" s="17"/>
      <c r="X426" s="17"/>
      <c r="Y426" s="15"/>
      <c r="Z426" s="15"/>
      <c r="AA426" s="59" t="str">
        <f>IFERROR(INDEX(NOI_CAP!$B:$B,MATCH(Z426,NOI_CAP!$A:$A,0)),"")</f>
        <v/>
      </c>
      <c r="AB426" s="58" t="str">
        <f>IF(ISNUMBER(MATCH(AC426,LOAI_DIA_CHI!$B:$B,0)),INDEX(LOAI_DIA_CHI!$A:$A,MATCH(AC426,LOAI_DIA_CHI!$B:$B,0)),"")</f>
        <v/>
      </c>
      <c r="AC426" s="16"/>
      <c r="AD426" s="58" t="str">
        <f>IF(ISNUMBER(MATCH(AE426,QUOC_GIA!$B:$B,0)),INDEX(QUOC_GIA!$A:$A,MATCH(AE426,QUOC_GIA!$B:$B,0)),"")</f>
        <v/>
      </c>
      <c r="AE426" s="16"/>
      <c r="AF426" s="48"/>
      <c r="AG426" s="59" t="str">
        <f>IFERROR(INDEX(TINH_TP!$B:$B,MATCH(AF426,TINH_TP!$A:$A,0)),"")</f>
        <v/>
      </c>
      <c r="AH426" s="50"/>
      <c r="AI426" s="59" t="str">
        <f>IF(OR(AF426="",AH426=""),"",IF(COUNTIFS(PHUONG_XA!$A$2:$A$3323,AH426,PHUONG_XA!$C$2:$C$3323,AF426)=0,"",INDEX(PHUONG_XA!$B$2:$B$3323,SUMPRODUCT((PHUONG_XA!$A$2:$A$3323&amp;""=AH426&amp;"")*(PHUONG_XA!$C$2:$C$3323&amp;""=AF426&amp;"")*(ROW(PHUONG_XA!$A$2:$A$3323)-ROW(PHUONG_XA!$A$2)+1)))))</f>
        <v/>
      </c>
      <c r="AJ426" s="14"/>
      <c r="AK426" s="14"/>
      <c r="AL426" s="57" t="str">
        <f t="shared" si="7"/>
        <v/>
      </c>
      <c r="AM426" s="14"/>
      <c r="AN426" s="15"/>
      <c r="AO426" s="15"/>
      <c r="AP426" s="48"/>
      <c r="AQ426" s="15"/>
      <c r="AR426" s="15"/>
      <c r="AS426" s="15"/>
      <c r="AT426" s="60" t="str">
        <f>IF(ISNUMBER(MATCH(AU426,LOAI_THE!$B:$B,0)),INDEX(LOAI_THE!$A:$A,MATCH(AU426,LOAI_THE!$B:$B,0)),"")</f>
        <v/>
      </c>
      <c r="AU426" s="48"/>
      <c r="AV426" s="15"/>
      <c r="AW426" s="15"/>
      <c r="AX426" s="15"/>
      <c r="AY426" s="48"/>
    </row>
    <row r="427" spans="1:51" x14ac:dyDescent="0.3">
      <c r="A427" s="13" t="s">
        <v>4423</v>
      </c>
      <c r="B427" s="48"/>
      <c r="C427" s="48"/>
      <c r="D427" s="48"/>
      <c r="E427" s="48"/>
      <c r="F427" s="48"/>
      <c r="G427" s="58" t="str">
        <f>IF(ISNUMBER(MATCH(H427,GIOI_TINH!$B:$B,0)),INDEX(GIOI_TINH!$A:$A,MATCH(H427,GIOI_TINH!$B:$B,0)),"")</f>
        <v/>
      </c>
      <c r="H427" s="15"/>
      <c r="I427" s="15"/>
      <c r="J427" s="58" t="str">
        <f>IF(ISNUMBER(MATCH(K427,QUOC_GIA!$B:$B,0)),INDEX(QUOC_GIA!$A:$A,MATCH(K427,QUOC_GIA!$B:$B,0)),"")</f>
        <v/>
      </c>
      <c r="K427" s="50"/>
      <c r="L427" s="15"/>
      <c r="M427" s="58" t="str">
        <f>IF(ISNUMBER(MATCH(N427,LOAI_THUE!$B:$B,0)),INDEX(LOAI_THUE!$A:$A,MATCH(N427,LOAI_THUE!$B:$B,0)),"")</f>
        <v/>
      </c>
      <c r="N427" s="50"/>
      <c r="O427" s="58" t="str">
        <f>IF(ISNUMBER(MATCH(P427,CHI_TIET_LOAI_KH!$B:$B,0)),INDEX(CHI_TIET_LOAI_KH!$A:$A,MATCH(P427,CHI_TIET_LOAI_KH!$B:$B,0)),"")</f>
        <v/>
      </c>
      <c r="P427" s="50"/>
      <c r="Q427" s="58" t="str">
        <f>IF(ISNUMBER(MATCH(R427,NGHE_NGHIEP!$B:$B,0)),INDEX(NGHE_NGHIEP!$A:$A,MATCH(R427,NGHE_NGHIEP!$B:$B,0)),"")</f>
        <v/>
      </c>
      <c r="R427" s="50"/>
      <c r="S427" s="58" t="str">
        <f>IF(ISNUMBER(MATCH(T427,LOAI_ID!$B:$B,0)),INDEX(LOAI_ID!$A:$A,MATCH(T427,LOAI_ID!$B:$B,0)),"")</f>
        <v/>
      </c>
      <c r="T427" s="16"/>
      <c r="U427" s="48"/>
      <c r="V427" s="48"/>
      <c r="W427" s="17"/>
      <c r="X427" s="17"/>
      <c r="Y427" s="15"/>
      <c r="Z427" s="15"/>
      <c r="AA427" s="59" t="str">
        <f>IFERROR(INDEX(NOI_CAP!$B:$B,MATCH(Z427,NOI_CAP!$A:$A,0)),"")</f>
        <v/>
      </c>
      <c r="AB427" s="58" t="str">
        <f>IF(ISNUMBER(MATCH(AC427,LOAI_DIA_CHI!$B:$B,0)),INDEX(LOAI_DIA_CHI!$A:$A,MATCH(AC427,LOAI_DIA_CHI!$B:$B,0)),"")</f>
        <v/>
      </c>
      <c r="AC427" s="16"/>
      <c r="AD427" s="58" t="str">
        <f>IF(ISNUMBER(MATCH(AE427,QUOC_GIA!$B:$B,0)),INDEX(QUOC_GIA!$A:$A,MATCH(AE427,QUOC_GIA!$B:$B,0)),"")</f>
        <v/>
      </c>
      <c r="AE427" s="16"/>
      <c r="AF427" s="48"/>
      <c r="AG427" s="59" t="str">
        <f>IFERROR(INDEX(TINH_TP!$B:$B,MATCH(AF427,TINH_TP!$A:$A,0)),"")</f>
        <v/>
      </c>
      <c r="AH427" s="50"/>
      <c r="AI427" s="59" t="str">
        <f>IF(OR(AF427="",AH427=""),"",IF(COUNTIFS(PHUONG_XA!$A$2:$A$3323,AH427,PHUONG_XA!$C$2:$C$3323,AF427)=0,"",INDEX(PHUONG_XA!$B$2:$B$3323,SUMPRODUCT((PHUONG_XA!$A$2:$A$3323&amp;""=AH427&amp;"")*(PHUONG_XA!$C$2:$C$3323&amp;""=AF427&amp;"")*(ROW(PHUONG_XA!$A$2:$A$3323)-ROW(PHUONG_XA!$A$2)+1)))))</f>
        <v/>
      </c>
      <c r="AJ427" s="14"/>
      <c r="AK427" s="14"/>
      <c r="AL427" s="57" t="str">
        <f t="shared" si="7"/>
        <v/>
      </c>
      <c r="AM427" s="14"/>
      <c r="AN427" s="15"/>
      <c r="AO427" s="15"/>
      <c r="AP427" s="48"/>
      <c r="AQ427" s="15"/>
      <c r="AR427" s="15"/>
      <c r="AS427" s="15"/>
      <c r="AT427" s="60" t="str">
        <f>IF(ISNUMBER(MATCH(AU427,LOAI_THE!$B:$B,0)),INDEX(LOAI_THE!$A:$A,MATCH(AU427,LOAI_THE!$B:$B,0)),"")</f>
        <v/>
      </c>
      <c r="AU427" s="48"/>
      <c r="AV427" s="15"/>
      <c r="AW427" s="15"/>
      <c r="AX427" s="15"/>
      <c r="AY427" s="48"/>
    </row>
    <row r="428" spans="1:51" x14ac:dyDescent="0.3">
      <c r="A428" s="13" t="s">
        <v>4424</v>
      </c>
      <c r="B428" s="48"/>
      <c r="C428" s="48"/>
      <c r="D428" s="48"/>
      <c r="E428" s="48"/>
      <c r="F428" s="48"/>
      <c r="G428" s="58" t="str">
        <f>IF(ISNUMBER(MATCH(H428,GIOI_TINH!$B:$B,0)),INDEX(GIOI_TINH!$A:$A,MATCH(H428,GIOI_TINH!$B:$B,0)),"")</f>
        <v/>
      </c>
      <c r="H428" s="15"/>
      <c r="I428" s="15"/>
      <c r="J428" s="58" t="str">
        <f>IF(ISNUMBER(MATCH(K428,QUOC_GIA!$B:$B,0)),INDEX(QUOC_GIA!$A:$A,MATCH(K428,QUOC_GIA!$B:$B,0)),"")</f>
        <v/>
      </c>
      <c r="K428" s="50"/>
      <c r="L428" s="15"/>
      <c r="M428" s="58" t="str">
        <f>IF(ISNUMBER(MATCH(N428,LOAI_THUE!$B:$B,0)),INDEX(LOAI_THUE!$A:$A,MATCH(N428,LOAI_THUE!$B:$B,0)),"")</f>
        <v/>
      </c>
      <c r="N428" s="50"/>
      <c r="O428" s="58" t="str">
        <f>IF(ISNUMBER(MATCH(P428,CHI_TIET_LOAI_KH!$B:$B,0)),INDEX(CHI_TIET_LOAI_KH!$A:$A,MATCH(P428,CHI_TIET_LOAI_KH!$B:$B,0)),"")</f>
        <v/>
      </c>
      <c r="P428" s="50"/>
      <c r="Q428" s="58" t="str">
        <f>IF(ISNUMBER(MATCH(R428,NGHE_NGHIEP!$B:$B,0)),INDEX(NGHE_NGHIEP!$A:$A,MATCH(R428,NGHE_NGHIEP!$B:$B,0)),"")</f>
        <v/>
      </c>
      <c r="R428" s="50"/>
      <c r="S428" s="58" t="str">
        <f>IF(ISNUMBER(MATCH(T428,LOAI_ID!$B:$B,0)),INDEX(LOAI_ID!$A:$A,MATCH(T428,LOAI_ID!$B:$B,0)),"")</f>
        <v/>
      </c>
      <c r="T428" s="16"/>
      <c r="U428" s="48"/>
      <c r="V428" s="48"/>
      <c r="W428" s="17"/>
      <c r="X428" s="17"/>
      <c r="Y428" s="15"/>
      <c r="Z428" s="15"/>
      <c r="AA428" s="59" t="str">
        <f>IFERROR(INDEX(NOI_CAP!$B:$B,MATCH(Z428,NOI_CAP!$A:$A,0)),"")</f>
        <v/>
      </c>
      <c r="AB428" s="58" t="str">
        <f>IF(ISNUMBER(MATCH(AC428,LOAI_DIA_CHI!$B:$B,0)),INDEX(LOAI_DIA_CHI!$A:$A,MATCH(AC428,LOAI_DIA_CHI!$B:$B,0)),"")</f>
        <v/>
      </c>
      <c r="AC428" s="16"/>
      <c r="AD428" s="58" t="str">
        <f>IF(ISNUMBER(MATCH(AE428,QUOC_GIA!$B:$B,0)),INDEX(QUOC_GIA!$A:$A,MATCH(AE428,QUOC_GIA!$B:$B,0)),"")</f>
        <v/>
      </c>
      <c r="AE428" s="16"/>
      <c r="AF428" s="48"/>
      <c r="AG428" s="59" t="str">
        <f>IFERROR(INDEX(TINH_TP!$B:$B,MATCH(AF428,TINH_TP!$A:$A,0)),"")</f>
        <v/>
      </c>
      <c r="AH428" s="50"/>
      <c r="AI428" s="59" t="str">
        <f>IF(OR(AF428="",AH428=""),"",IF(COUNTIFS(PHUONG_XA!$A$2:$A$3323,AH428,PHUONG_XA!$C$2:$C$3323,AF428)=0,"",INDEX(PHUONG_XA!$B$2:$B$3323,SUMPRODUCT((PHUONG_XA!$A$2:$A$3323&amp;""=AH428&amp;"")*(PHUONG_XA!$C$2:$C$3323&amp;""=AF428&amp;"")*(ROW(PHUONG_XA!$A$2:$A$3323)-ROW(PHUONG_XA!$A$2)+1)))))</f>
        <v/>
      </c>
      <c r="AJ428" s="14"/>
      <c r="AK428" s="14"/>
      <c r="AL428" s="57" t="str">
        <f t="shared" si="7"/>
        <v/>
      </c>
      <c r="AM428" s="14"/>
      <c r="AN428" s="15"/>
      <c r="AO428" s="15"/>
      <c r="AP428" s="48"/>
      <c r="AQ428" s="15"/>
      <c r="AR428" s="15"/>
      <c r="AS428" s="15"/>
      <c r="AT428" s="60" t="str">
        <f>IF(ISNUMBER(MATCH(AU428,LOAI_THE!$B:$B,0)),INDEX(LOAI_THE!$A:$A,MATCH(AU428,LOAI_THE!$B:$B,0)),"")</f>
        <v/>
      </c>
      <c r="AU428" s="48"/>
      <c r="AV428" s="15"/>
      <c r="AW428" s="15"/>
      <c r="AX428" s="15"/>
      <c r="AY428" s="48"/>
    </row>
    <row r="429" spans="1:51" x14ac:dyDescent="0.3">
      <c r="A429" s="13" t="s">
        <v>4425</v>
      </c>
      <c r="B429" s="48"/>
      <c r="C429" s="48"/>
      <c r="D429" s="48"/>
      <c r="E429" s="48"/>
      <c r="F429" s="48"/>
      <c r="G429" s="58" t="str">
        <f>IF(ISNUMBER(MATCH(H429,GIOI_TINH!$B:$B,0)),INDEX(GIOI_TINH!$A:$A,MATCH(H429,GIOI_TINH!$B:$B,0)),"")</f>
        <v/>
      </c>
      <c r="H429" s="15"/>
      <c r="I429" s="15"/>
      <c r="J429" s="58" t="str">
        <f>IF(ISNUMBER(MATCH(K429,QUOC_GIA!$B:$B,0)),INDEX(QUOC_GIA!$A:$A,MATCH(K429,QUOC_GIA!$B:$B,0)),"")</f>
        <v/>
      </c>
      <c r="K429" s="50"/>
      <c r="L429" s="15"/>
      <c r="M429" s="58" t="str">
        <f>IF(ISNUMBER(MATCH(N429,LOAI_THUE!$B:$B,0)),INDEX(LOAI_THUE!$A:$A,MATCH(N429,LOAI_THUE!$B:$B,0)),"")</f>
        <v/>
      </c>
      <c r="N429" s="50"/>
      <c r="O429" s="58" t="str">
        <f>IF(ISNUMBER(MATCH(P429,CHI_TIET_LOAI_KH!$B:$B,0)),INDEX(CHI_TIET_LOAI_KH!$A:$A,MATCH(P429,CHI_TIET_LOAI_KH!$B:$B,0)),"")</f>
        <v/>
      </c>
      <c r="P429" s="50"/>
      <c r="Q429" s="58" t="str">
        <f>IF(ISNUMBER(MATCH(R429,NGHE_NGHIEP!$B:$B,0)),INDEX(NGHE_NGHIEP!$A:$A,MATCH(R429,NGHE_NGHIEP!$B:$B,0)),"")</f>
        <v/>
      </c>
      <c r="R429" s="50"/>
      <c r="S429" s="58" t="str">
        <f>IF(ISNUMBER(MATCH(T429,LOAI_ID!$B:$B,0)),INDEX(LOAI_ID!$A:$A,MATCH(T429,LOAI_ID!$B:$B,0)),"")</f>
        <v/>
      </c>
      <c r="T429" s="16"/>
      <c r="U429" s="48"/>
      <c r="V429" s="48"/>
      <c r="W429" s="17"/>
      <c r="X429" s="17"/>
      <c r="Y429" s="15"/>
      <c r="Z429" s="15"/>
      <c r="AA429" s="59" t="str">
        <f>IFERROR(INDEX(NOI_CAP!$B:$B,MATCH(Z429,NOI_CAP!$A:$A,0)),"")</f>
        <v/>
      </c>
      <c r="AB429" s="58" t="str">
        <f>IF(ISNUMBER(MATCH(AC429,LOAI_DIA_CHI!$B:$B,0)),INDEX(LOAI_DIA_CHI!$A:$A,MATCH(AC429,LOAI_DIA_CHI!$B:$B,0)),"")</f>
        <v/>
      </c>
      <c r="AC429" s="16"/>
      <c r="AD429" s="58" t="str">
        <f>IF(ISNUMBER(MATCH(AE429,QUOC_GIA!$B:$B,0)),INDEX(QUOC_GIA!$A:$A,MATCH(AE429,QUOC_GIA!$B:$B,0)),"")</f>
        <v/>
      </c>
      <c r="AE429" s="16"/>
      <c r="AF429" s="48"/>
      <c r="AG429" s="59" t="str">
        <f>IFERROR(INDEX(TINH_TP!$B:$B,MATCH(AF429,TINH_TP!$A:$A,0)),"")</f>
        <v/>
      </c>
      <c r="AH429" s="50"/>
      <c r="AI429" s="59" t="str">
        <f>IF(OR(AF429="",AH429=""),"",IF(COUNTIFS(PHUONG_XA!$A$2:$A$3323,AH429,PHUONG_XA!$C$2:$C$3323,AF429)=0,"",INDEX(PHUONG_XA!$B$2:$B$3323,SUMPRODUCT((PHUONG_XA!$A$2:$A$3323&amp;""=AH429&amp;"")*(PHUONG_XA!$C$2:$C$3323&amp;""=AF429&amp;"")*(ROW(PHUONG_XA!$A$2:$A$3323)-ROW(PHUONG_XA!$A$2)+1)))))</f>
        <v/>
      </c>
      <c r="AJ429" s="14"/>
      <c r="AK429" s="14"/>
      <c r="AL429" s="57" t="str">
        <f t="shared" si="7"/>
        <v/>
      </c>
      <c r="AM429" s="14"/>
      <c r="AN429" s="15"/>
      <c r="AO429" s="15"/>
      <c r="AP429" s="48"/>
      <c r="AQ429" s="15"/>
      <c r="AR429" s="15"/>
      <c r="AS429" s="15"/>
      <c r="AT429" s="60" t="str">
        <f>IF(ISNUMBER(MATCH(AU429,LOAI_THE!$B:$B,0)),INDEX(LOAI_THE!$A:$A,MATCH(AU429,LOAI_THE!$B:$B,0)),"")</f>
        <v/>
      </c>
      <c r="AU429" s="48"/>
      <c r="AV429" s="15"/>
      <c r="AW429" s="15"/>
      <c r="AX429" s="15"/>
      <c r="AY429" s="48"/>
    </row>
    <row r="430" spans="1:51" x14ac:dyDescent="0.3">
      <c r="A430" s="13" t="s">
        <v>4426</v>
      </c>
      <c r="B430" s="48"/>
      <c r="C430" s="48"/>
      <c r="D430" s="48"/>
      <c r="E430" s="48"/>
      <c r="F430" s="48"/>
      <c r="G430" s="58" t="str">
        <f>IF(ISNUMBER(MATCH(H430,GIOI_TINH!$B:$B,0)),INDEX(GIOI_TINH!$A:$A,MATCH(H430,GIOI_TINH!$B:$B,0)),"")</f>
        <v/>
      </c>
      <c r="H430" s="15"/>
      <c r="I430" s="15"/>
      <c r="J430" s="58" t="str">
        <f>IF(ISNUMBER(MATCH(K430,QUOC_GIA!$B:$B,0)),INDEX(QUOC_GIA!$A:$A,MATCH(K430,QUOC_GIA!$B:$B,0)),"")</f>
        <v/>
      </c>
      <c r="K430" s="50"/>
      <c r="L430" s="15"/>
      <c r="M430" s="58" t="str">
        <f>IF(ISNUMBER(MATCH(N430,LOAI_THUE!$B:$B,0)),INDEX(LOAI_THUE!$A:$A,MATCH(N430,LOAI_THUE!$B:$B,0)),"")</f>
        <v/>
      </c>
      <c r="N430" s="50"/>
      <c r="O430" s="58" t="str">
        <f>IF(ISNUMBER(MATCH(P430,CHI_TIET_LOAI_KH!$B:$B,0)),INDEX(CHI_TIET_LOAI_KH!$A:$A,MATCH(P430,CHI_TIET_LOAI_KH!$B:$B,0)),"")</f>
        <v/>
      </c>
      <c r="P430" s="50"/>
      <c r="Q430" s="58" t="str">
        <f>IF(ISNUMBER(MATCH(R430,NGHE_NGHIEP!$B:$B,0)),INDEX(NGHE_NGHIEP!$A:$A,MATCH(R430,NGHE_NGHIEP!$B:$B,0)),"")</f>
        <v/>
      </c>
      <c r="R430" s="50"/>
      <c r="S430" s="58" t="str">
        <f>IF(ISNUMBER(MATCH(T430,LOAI_ID!$B:$B,0)),INDEX(LOAI_ID!$A:$A,MATCH(T430,LOAI_ID!$B:$B,0)),"")</f>
        <v/>
      </c>
      <c r="T430" s="16"/>
      <c r="U430" s="48"/>
      <c r="V430" s="48"/>
      <c r="W430" s="17"/>
      <c r="X430" s="17"/>
      <c r="Y430" s="15"/>
      <c r="Z430" s="15"/>
      <c r="AA430" s="59" t="str">
        <f>IFERROR(INDEX(NOI_CAP!$B:$B,MATCH(Z430,NOI_CAP!$A:$A,0)),"")</f>
        <v/>
      </c>
      <c r="AB430" s="58" t="str">
        <f>IF(ISNUMBER(MATCH(AC430,LOAI_DIA_CHI!$B:$B,0)),INDEX(LOAI_DIA_CHI!$A:$A,MATCH(AC430,LOAI_DIA_CHI!$B:$B,0)),"")</f>
        <v/>
      </c>
      <c r="AC430" s="16"/>
      <c r="AD430" s="58" t="str">
        <f>IF(ISNUMBER(MATCH(AE430,QUOC_GIA!$B:$B,0)),INDEX(QUOC_GIA!$A:$A,MATCH(AE430,QUOC_GIA!$B:$B,0)),"")</f>
        <v/>
      </c>
      <c r="AE430" s="16"/>
      <c r="AF430" s="48"/>
      <c r="AG430" s="59" t="str">
        <f>IFERROR(INDEX(TINH_TP!$B:$B,MATCH(AF430,TINH_TP!$A:$A,0)),"")</f>
        <v/>
      </c>
      <c r="AH430" s="50"/>
      <c r="AI430" s="59" t="str">
        <f>IF(OR(AF430="",AH430=""),"",IF(COUNTIFS(PHUONG_XA!$A$2:$A$3323,AH430,PHUONG_XA!$C$2:$C$3323,AF430)=0,"",INDEX(PHUONG_XA!$B$2:$B$3323,SUMPRODUCT((PHUONG_XA!$A$2:$A$3323&amp;""=AH430&amp;"")*(PHUONG_XA!$C$2:$C$3323&amp;""=AF430&amp;"")*(ROW(PHUONG_XA!$A$2:$A$3323)-ROW(PHUONG_XA!$A$2)+1)))))</f>
        <v/>
      </c>
      <c r="AJ430" s="14"/>
      <c r="AK430" s="14"/>
      <c r="AL430" s="57" t="str">
        <f t="shared" si="7"/>
        <v/>
      </c>
      <c r="AM430" s="14"/>
      <c r="AN430" s="15"/>
      <c r="AO430" s="15"/>
      <c r="AP430" s="48"/>
      <c r="AQ430" s="15"/>
      <c r="AR430" s="15"/>
      <c r="AS430" s="15"/>
      <c r="AT430" s="60" t="str">
        <f>IF(ISNUMBER(MATCH(AU430,LOAI_THE!$B:$B,0)),INDEX(LOAI_THE!$A:$A,MATCH(AU430,LOAI_THE!$B:$B,0)),"")</f>
        <v/>
      </c>
      <c r="AU430" s="48"/>
      <c r="AV430" s="15"/>
      <c r="AW430" s="15"/>
      <c r="AX430" s="15"/>
      <c r="AY430" s="48"/>
    </row>
    <row r="431" spans="1:51" x14ac:dyDescent="0.3">
      <c r="A431" s="13" t="s">
        <v>4427</v>
      </c>
      <c r="B431" s="48"/>
      <c r="C431" s="48"/>
      <c r="D431" s="48"/>
      <c r="E431" s="48"/>
      <c r="F431" s="48"/>
      <c r="G431" s="58" t="str">
        <f>IF(ISNUMBER(MATCH(H431,GIOI_TINH!$B:$B,0)),INDEX(GIOI_TINH!$A:$A,MATCH(H431,GIOI_TINH!$B:$B,0)),"")</f>
        <v/>
      </c>
      <c r="H431" s="15"/>
      <c r="I431" s="15"/>
      <c r="J431" s="58" t="str">
        <f>IF(ISNUMBER(MATCH(K431,QUOC_GIA!$B:$B,0)),INDEX(QUOC_GIA!$A:$A,MATCH(K431,QUOC_GIA!$B:$B,0)),"")</f>
        <v/>
      </c>
      <c r="K431" s="50"/>
      <c r="L431" s="15"/>
      <c r="M431" s="58" t="str">
        <f>IF(ISNUMBER(MATCH(N431,LOAI_THUE!$B:$B,0)),INDEX(LOAI_THUE!$A:$A,MATCH(N431,LOAI_THUE!$B:$B,0)),"")</f>
        <v/>
      </c>
      <c r="N431" s="50"/>
      <c r="O431" s="58" t="str">
        <f>IF(ISNUMBER(MATCH(P431,CHI_TIET_LOAI_KH!$B:$B,0)),INDEX(CHI_TIET_LOAI_KH!$A:$A,MATCH(P431,CHI_TIET_LOAI_KH!$B:$B,0)),"")</f>
        <v/>
      </c>
      <c r="P431" s="50"/>
      <c r="Q431" s="58" t="str">
        <f>IF(ISNUMBER(MATCH(R431,NGHE_NGHIEP!$B:$B,0)),INDEX(NGHE_NGHIEP!$A:$A,MATCH(R431,NGHE_NGHIEP!$B:$B,0)),"")</f>
        <v/>
      </c>
      <c r="R431" s="50"/>
      <c r="S431" s="58" t="str">
        <f>IF(ISNUMBER(MATCH(T431,LOAI_ID!$B:$B,0)),INDEX(LOAI_ID!$A:$A,MATCH(T431,LOAI_ID!$B:$B,0)),"")</f>
        <v/>
      </c>
      <c r="T431" s="16"/>
      <c r="U431" s="48"/>
      <c r="V431" s="48"/>
      <c r="W431" s="17"/>
      <c r="X431" s="17"/>
      <c r="Y431" s="15"/>
      <c r="Z431" s="15"/>
      <c r="AA431" s="59" t="str">
        <f>IFERROR(INDEX(NOI_CAP!$B:$B,MATCH(Z431,NOI_CAP!$A:$A,0)),"")</f>
        <v/>
      </c>
      <c r="AB431" s="58" t="str">
        <f>IF(ISNUMBER(MATCH(AC431,LOAI_DIA_CHI!$B:$B,0)),INDEX(LOAI_DIA_CHI!$A:$A,MATCH(AC431,LOAI_DIA_CHI!$B:$B,0)),"")</f>
        <v/>
      </c>
      <c r="AC431" s="16"/>
      <c r="AD431" s="58" t="str">
        <f>IF(ISNUMBER(MATCH(AE431,QUOC_GIA!$B:$B,0)),INDEX(QUOC_GIA!$A:$A,MATCH(AE431,QUOC_GIA!$B:$B,0)),"")</f>
        <v/>
      </c>
      <c r="AE431" s="16"/>
      <c r="AF431" s="48"/>
      <c r="AG431" s="59" t="str">
        <f>IFERROR(INDEX(TINH_TP!$B:$B,MATCH(AF431,TINH_TP!$A:$A,0)),"")</f>
        <v/>
      </c>
      <c r="AH431" s="50"/>
      <c r="AI431" s="59" t="str">
        <f>IF(OR(AF431="",AH431=""),"",IF(COUNTIFS(PHUONG_XA!$A$2:$A$3323,AH431,PHUONG_XA!$C$2:$C$3323,AF431)=0,"",INDEX(PHUONG_XA!$B$2:$B$3323,SUMPRODUCT((PHUONG_XA!$A$2:$A$3323&amp;""=AH431&amp;"")*(PHUONG_XA!$C$2:$C$3323&amp;""=AF431&amp;"")*(ROW(PHUONG_XA!$A$2:$A$3323)-ROW(PHUONG_XA!$A$2)+1)))))</f>
        <v/>
      </c>
      <c r="AJ431" s="14"/>
      <c r="AK431" s="14"/>
      <c r="AL431" s="57" t="str">
        <f t="shared" si="7"/>
        <v/>
      </c>
      <c r="AM431" s="14"/>
      <c r="AN431" s="15"/>
      <c r="AO431" s="15"/>
      <c r="AP431" s="48"/>
      <c r="AQ431" s="15"/>
      <c r="AR431" s="15"/>
      <c r="AS431" s="15"/>
      <c r="AT431" s="60" t="str">
        <f>IF(ISNUMBER(MATCH(AU431,LOAI_THE!$B:$B,0)),INDEX(LOAI_THE!$A:$A,MATCH(AU431,LOAI_THE!$B:$B,0)),"")</f>
        <v/>
      </c>
      <c r="AU431" s="48"/>
      <c r="AV431" s="15"/>
      <c r="AW431" s="15"/>
      <c r="AX431" s="15"/>
      <c r="AY431" s="48"/>
    </row>
    <row r="432" spans="1:51" x14ac:dyDescent="0.3">
      <c r="A432" s="13" t="s">
        <v>4428</v>
      </c>
      <c r="B432" s="48"/>
      <c r="C432" s="48"/>
      <c r="D432" s="48"/>
      <c r="E432" s="48"/>
      <c r="F432" s="48"/>
      <c r="G432" s="58" t="str">
        <f>IF(ISNUMBER(MATCH(H432,GIOI_TINH!$B:$B,0)),INDEX(GIOI_TINH!$A:$A,MATCH(H432,GIOI_TINH!$B:$B,0)),"")</f>
        <v/>
      </c>
      <c r="H432" s="15"/>
      <c r="I432" s="15"/>
      <c r="J432" s="58" t="str">
        <f>IF(ISNUMBER(MATCH(K432,QUOC_GIA!$B:$B,0)),INDEX(QUOC_GIA!$A:$A,MATCH(K432,QUOC_GIA!$B:$B,0)),"")</f>
        <v/>
      </c>
      <c r="K432" s="50"/>
      <c r="L432" s="15"/>
      <c r="M432" s="58" t="str">
        <f>IF(ISNUMBER(MATCH(N432,LOAI_THUE!$B:$B,0)),INDEX(LOAI_THUE!$A:$A,MATCH(N432,LOAI_THUE!$B:$B,0)),"")</f>
        <v/>
      </c>
      <c r="N432" s="50"/>
      <c r="O432" s="58" t="str">
        <f>IF(ISNUMBER(MATCH(P432,CHI_TIET_LOAI_KH!$B:$B,0)),INDEX(CHI_TIET_LOAI_KH!$A:$A,MATCH(P432,CHI_TIET_LOAI_KH!$B:$B,0)),"")</f>
        <v/>
      </c>
      <c r="P432" s="50"/>
      <c r="Q432" s="58" t="str">
        <f>IF(ISNUMBER(MATCH(R432,NGHE_NGHIEP!$B:$B,0)),INDEX(NGHE_NGHIEP!$A:$A,MATCH(R432,NGHE_NGHIEP!$B:$B,0)),"")</f>
        <v/>
      </c>
      <c r="R432" s="50"/>
      <c r="S432" s="58" t="str">
        <f>IF(ISNUMBER(MATCH(T432,LOAI_ID!$B:$B,0)),INDEX(LOAI_ID!$A:$A,MATCH(T432,LOAI_ID!$B:$B,0)),"")</f>
        <v/>
      </c>
      <c r="T432" s="16"/>
      <c r="U432" s="48"/>
      <c r="V432" s="48"/>
      <c r="W432" s="17"/>
      <c r="X432" s="17"/>
      <c r="Y432" s="15"/>
      <c r="Z432" s="15"/>
      <c r="AA432" s="59" t="str">
        <f>IFERROR(INDEX(NOI_CAP!$B:$B,MATCH(Z432,NOI_CAP!$A:$A,0)),"")</f>
        <v/>
      </c>
      <c r="AB432" s="58" t="str">
        <f>IF(ISNUMBER(MATCH(AC432,LOAI_DIA_CHI!$B:$B,0)),INDEX(LOAI_DIA_CHI!$A:$A,MATCH(AC432,LOAI_DIA_CHI!$B:$B,0)),"")</f>
        <v/>
      </c>
      <c r="AC432" s="16"/>
      <c r="AD432" s="58" t="str">
        <f>IF(ISNUMBER(MATCH(AE432,QUOC_GIA!$B:$B,0)),INDEX(QUOC_GIA!$A:$A,MATCH(AE432,QUOC_GIA!$B:$B,0)),"")</f>
        <v/>
      </c>
      <c r="AE432" s="16"/>
      <c r="AF432" s="48"/>
      <c r="AG432" s="59" t="str">
        <f>IFERROR(INDEX(TINH_TP!$B:$B,MATCH(AF432,TINH_TP!$A:$A,0)),"")</f>
        <v/>
      </c>
      <c r="AH432" s="50"/>
      <c r="AI432" s="59" t="str">
        <f>IF(OR(AF432="",AH432=""),"",IF(COUNTIFS(PHUONG_XA!$A$2:$A$3323,AH432,PHUONG_XA!$C$2:$C$3323,AF432)=0,"",INDEX(PHUONG_XA!$B$2:$B$3323,SUMPRODUCT((PHUONG_XA!$A$2:$A$3323&amp;""=AH432&amp;"")*(PHUONG_XA!$C$2:$C$3323&amp;""=AF432&amp;"")*(ROW(PHUONG_XA!$A$2:$A$3323)-ROW(PHUONG_XA!$A$2)+1)))))</f>
        <v/>
      </c>
      <c r="AJ432" s="14"/>
      <c r="AK432" s="14"/>
      <c r="AL432" s="57" t="str">
        <f t="shared" si="7"/>
        <v/>
      </c>
      <c r="AM432" s="14"/>
      <c r="AN432" s="15"/>
      <c r="AO432" s="15"/>
      <c r="AP432" s="48"/>
      <c r="AQ432" s="15"/>
      <c r="AR432" s="15"/>
      <c r="AS432" s="15"/>
      <c r="AT432" s="60" t="str">
        <f>IF(ISNUMBER(MATCH(AU432,LOAI_THE!$B:$B,0)),INDEX(LOAI_THE!$A:$A,MATCH(AU432,LOAI_THE!$B:$B,0)),"")</f>
        <v/>
      </c>
      <c r="AU432" s="48"/>
      <c r="AV432" s="15"/>
      <c r="AW432" s="15"/>
      <c r="AX432" s="15"/>
      <c r="AY432" s="48"/>
    </row>
    <row r="433" spans="1:51" x14ac:dyDescent="0.3">
      <c r="A433" s="13" t="s">
        <v>4429</v>
      </c>
      <c r="B433" s="48"/>
      <c r="C433" s="48"/>
      <c r="D433" s="48"/>
      <c r="E433" s="48"/>
      <c r="F433" s="48"/>
      <c r="G433" s="58" t="str">
        <f>IF(ISNUMBER(MATCH(H433,GIOI_TINH!$B:$B,0)),INDEX(GIOI_TINH!$A:$A,MATCH(H433,GIOI_TINH!$B:$B,0)),"")</f>
        <v/>
      </c>
      <c r="H433" s="15"/>
      <c r="I433" s="15"/>
      <c r="J433" s="58" t="str">
        <f>IF(ISNUMBER(MATCH(K433,QUOC_GIA!$B:$B,0)),INDEX(QUOC_GIA!$A:$A,MATCH(K433,QUOC_GIA!$B:$B,0)),"")</f>
        <v/>
      </c>
      <c r="K433" s="50"/>
      <c r="L433" s="15"/>
      <c r="M433" s="58" t="str">
        <f>IF(ISNUMBER(MATCH(N433,LOAI_THUE!$B:$B,0)),INDEX(LOAI_THUE!$A:$A,MATCH(N433,LOAI_THUE!$B:$B,0)),"")</f>
        <v/>
      </c>
      <c r="N433" s="50"/>
      <c r="O433" s="58" t="str">
        <f>IF(ISNUMBER(MATCH(P433,CHI_TIET_LOAI_KH!$B:$B,0)),INDEX(CHI_TIET_LOAI_KH!$A:$A,MATCH(P433,CHI_TIET_LOAI_KH!$B:$B,0)),"")</f>
        <v/>
      </c>
      <c r="P433" s="50"/>
      <c r="Q433" s="58" t="str">
        <f>IF(ISNUMBER(MATCH(R433,NGHE_NGHIEP!$B:$B,0)),INDEX(NGHE_NGHIEP!$A:$A,MATCH(R433,NGHE_NGHIEP!$B:$B,0)),"")</f>
        <v/>
      </c>
      <c r="R433" s="50"/>
      <c r="S433" s="58" t="str">
        <f>IF(ISNUMBER(MATCH(T433,LOAI_ID!$B:$B,0)),INDEX(LOAI_ID!$A:$A,MATCH(T433,LOAI_ID!$B:$B,0)),"")</f>
        <v/>
      </c>
      <c r="T433" s="16"/>
      <c r="U433" s="48"/>
      <c r="V433" s="48"/>
      <c r="W433" s="17"/>
      <c r="X433" s="17"/>
      <c r="Y433" s="15"/>
      <c r="Z433" s="15"/>
      <c r="AA433" s="59" t="str">
        <f>IFERROR(INDEX(NOI_CAP!$B:$B,MATCH(Z433,NOI_CAP!$A:$A,0)),"")</f>
        <v/>
      </c>
      <c r="AB433" s="58" t="str">
        <f>IF(ISNUMBER(MATCH(AC433,LOAI_DIA_CHI!$B:$B,0)),INDEX(LOAI_DIA_CHI!$A:$A,MATCH(AC433,LOAI_DIA_CHI!$B:$B,0)),"")</f>
        <v/>
      </c>
      <c r="AC433" s="16"/>
      <c r="AD433" s="58" t="str">
        <f>IF(ISNUMBER(MATCH(AE433,QUOC_GIA!$B:$B,0)),INDEX(QUOC_GIA!$A:$A,MATCH(AE433,QUOC_GIA!$B:$B,0)),"")</f>
        <v/>
      </c>
      <c r="AE433" s="16"/>
      <c r="AF433" s="48"/>
      <c r="AG433" s="59" t="str">
        <f>IFERROR(INDEX(TINH_TP!$B:$B,MATCH(AF433,TINH_TP!$A:$A,0)),"")</f>
        <v/>
      </c>
      <c r="AH433" s="50"/>
      <c r="AI433" s="59" t="str">
        <f>IF(OR(AF433="",AH433=""),"",IF(COUNTIFS(PHUONG_XA!$A$2:$A$3323,AH433,PHUONG_XA!$C$2:$C$3323,AF433)=0,"",INDEX(PHUONG_XA!$B$2:$B$3323,SUMPRODUCT((PHUONG_XA!$A$2:$A$3323&amp;""=AH433&amp;"")*(PHUONG_XA!$C$2:$C$3323&amp;""=AF433&amp;"")*(ROW(PHUONG_XA!$A$2:$A$3323)-ROW(PHUONG_XA!$A$2)+1)))))</f>
        <v/>
      </c>
      <c r="AJ433" s="14"/>
      <c r="AK433" s="14"/>
      <c r="AL433" s="57" t="str">
        <f t="shared" si="7"/>
        <v/>
      </c>
      <c r="AM433" s="14"/>
      <c r="AN433" s="15"/>
      <c r="AO433" s="15"/>
      <c r="AP433" s="48"/>
      <c r="AQ433" s="15"/>
      <c r="AR433" s="15"/>
      <c r="AS433" s="15"/>
      <c r="AT433" s="60" t="str">
        <f>IF(ISNUMBER(MATCH(AU433,LOAI_THE!$B:$B,0)),INDEX(LOAI_THE!$A:$A,MATCH(AU433,LOAI_THE!$B:$B,0)),"")</f>
        <v/>
      </c>
      <c r="AU433" s="48"/>
      <c r="AV433" s="15"/>
      <c r="AW433" s="15"/>
      <c r="AX433" s="15"/>
      <c r="AY433" s="48"/>
    </row>
    <row r="434" spans="1:51" x14ac:dyDescent="0.3">
      <c r="A434" s="13" t="s">
        <v>817</v>
      </c>
      <c r="B434" s="48"/>
      <c r="C434" s="48"/>
      <c r="D434" s="48"/>
      <c r="E434" s="48"/>
      <c r="F434" s="48"/>
      <c r="G434" s="58" t="str">
        <f>IF(ISNUMBER(MATCH(H434,GIOI_TINH!$B:$B,0)),INDEX(GIOI_TINH!$A:$A,MATCH(H434,GIOI_TINH!$B:$B,0)),"")</f>
        <v/>
      </c>
      <c r="H434" s="15"/>
      <c r="I434" s="15"/>
      <c r="J434" s="58" t="str">
        <f>IF(ISNUMBER(MATCH(K434,QUOC_GIA!$B:$B,0)),INDEX(QUOC_GIA!$A:$A,MATCH(K434,QUOC_GIA!$B:$B,0)),"")</f>
        <v/>
      </c>
      <c r="K434" s="50"/>
      <c r="L434" s="15"/>
      <c r="M434" s="58" t="str">
        <f>IF(ISNUMBER(MATCH(N434,LOAI_THUE!$B:$B,0)),INDEX(LOAI_THUE!$A:$A,MATCH(N434,LOAI_THUE!$B:$B,0)),"")</f>
        <v/>
      </c>
      <c r="N434" s="50"/>
      <c r="O434" s="58" t="str">
        <f>IF(ISNUMBER(MATCH(P434,CHI_TIET_LOAI_KH!$B:$B,0)),INDEX(CHI_TIET_LOAI_KH!$A:$A,MATCH(P434,CHI_TIET_LOAI_KH!$B:$B,0)),"")</f>
        <v/>
      </c>
      <c r="P434" s="50"/>
      <c r="Q434" s="58" t="str">
        <f>IF(ISNUMBER(MATCH(R434,NGHE_NGHIEP!$B:$B,0)),INDEX(NGHE_NGHIEP!$A:$A,MATCH(R434,NGHE_NGHIEP!$B:$B,0)),"")</f>
        <v/>
      </c>
      <c r="R434" s="50"/>
      <c r="S434" s="58" t="str">
        <f>IF(ISNUMBER(MATCH(T434,LOAI_ID!$B:$B,0)),INDEX(LOAI_ID!$A:$A,MATCH(T434,LOAI_ID!$B:$B,0)),"")</f>
        <v/>
      </c>
      <c r="T434" s="16"/>
      <c r="U434" s="48"/>
      <c r="V434" s="48"/>
      <c r="W434" s="17"/>
      <c r="X434" s="17"/>
      <c r="Y434" s="15"/>
      <c r="Z434" s="15"/>
      <c r="AA434" s="59" t="str">
        <f>IFERROR(INDEX(NOI_CAP!$B:$B,MATCH(Z434,NOI_CAP!$A:$A,0)),"")</f>
        <v/>
      </c>
      <c r="AB434" s="58" t="str">
        <f>IF(ISNUMBER(MATCH(AC434,LOAI_DIA_CHI!$B:$B,0)),INDEX(LOAI_DIA_CHI!$A:$A,MATCH(AC434,LOAI_DIA_CHI!$B:$B,0)),"")</f>
        <v/>
      </c>
      <c r="AC434" s="16"/>
      <c r="AD434" s="58" t="str">
        <f>IF(ISNUMBER(MATCH(AE434,QUOC_GIA!$B:$B,0)),INDEX(QUOC_GIA!$A:$A,MATCH(AE434,QUOC_GIA!$B:$B,0)),"")</f>
        <v/>
      </c>
      <c r="AE434" s="16"/>
      <c r="AF434" s="48"/>
      <c r="AG434" s="59" t="str">
        <f>IFERROR(INDEX(TINH_TP!$B:$B,MATCH(AF434,TINH_TP!$A:$A,0)),"")</f>
        <v/>
      </c>
      <c r="AH434" s="50"/>
      <c r="AI434" s="59" t="str">
        <f>IF(OR(AF434="",AH434=""),"",IF(COUNTIFS(PHUONG_XA!$A$2:$A$3323,AH434,PHUONG_XA!$C$2:$C$3323,AF434)=0,"",INDEX(PHUONG_XA!$B$2:$B$3323,SUMPRODUCT((PHUONG_XA!$A$2:$A$3323&amp;""=AH434&amp;"")*(PHUONG_XA!$C$2:$C$3323&amp;""=AF434&amp;"")*(ROW(PHUONG_XA!$A$2:$A$3323)-ROW(PHUONG_XA!$A$2)+1)))))</f>
        <v/>
      </c>
      <c r="AJ434" s="14"/>
      <c r="AK434" s="14"/>
      <c r="AL434" s="57" t="str">
        <f t="shared" si="7"/>
        <v/>
      </c>
      <c r="AM434" s="14"/>
      <c r="AN434" s="15"/>
      <c r="AO434" s="15"/>
      <c r="AP434" s="48"/>
      <c r="AQ434" s="15"/>
      <c r="AR434" s="15"/>
      <c r="AS434" s="15"/>
      <c r="AT434" s="60" t="str">
        <f>IF(ISNUMBER(MATCH(AU434,LOAI_THE!$B:$B,0)),INDEX(LOAI_THE!$A:$A,MATCH(AU434,LOAI_THE!$B:$B,0)),"")</f>
        <v/>
      </c>
      <c r="AU434" s="48"/>
      <c r="AV434" s="15"/>
      <c r="AW434" s="15"/>
      <c r="AX434" s="15"/>
      <c r="AY434" s="48"/>
    </row>
    <row r="435" spans="1:51" x14ac:dyDescent="0.3">
      <c r="A435" s="13" t="s">
        <v>4430</v>
      </c>
      <c r="B435" s="48"/>
      <c r="C435" s="48"/>
      <c r="D435" s="48"/>
      <c r="E435" s="48"/>
      <c r="F435" s="48"/>
      <c r="G435" s="58" t="str">
        <f>IF(ISNUMBER(MATCH(H435,GIOI_TINH!$B:$B,0)),INDEX(GIOI_TINH!$A:$A,MATCH(H435,GIOI_TINH!$B:$B,0)),"")</f>
        <v/>
      </c>
      <c r="H435" s="15"/>
      <c r="I435" s="15"/>
      <c r="J435" s="58" t="str">
        <f>IF(ISNUMBER(MATCH(K435,QUOC_GIA!$B:$B,0)),INDEX(QUOC_GIA!$A:$A,MATCH(K435,QUOC_GIA!$B:$B,0)),"")</f>
        <v/>
      </c>
      <c r="K435" s="50"/>
      <c r="L435" s="15"/>
      <c r="M435" s="58" t="str">
        <f>IF(ISNUMBER(MATCH(N435,LOAI_THUE!$B:$B,0)),INDEX(LOAI_THUE!$A:$A,MATCH(N435,LOAI_THUE!$B:$B,0)),"")</f>
        <v/>
      </c>
      <c r="N435" s="50"/>
      <c r="O435" s="58" t="str">
        <f>IF(ISNUMBER(MATCH(P435,CHI_TIET_LOAI_KH!$B:$B,0)),INDEX(CHI_TIET_LOAI_KH!$A:$A,MATCH(P435,CHI_TIET_LOAI_KH!$B:$B,0)),"")</f>
        <v/>
      </c>
      <c r="P435" s="50"/>
      <c r="Q435" s="58" t="str">
        <f>IF(ISNUMBER(MATCH(R435,NGHE_NGHIEP!$B:$B,0)),INDEX(NGHE_NGHIEP!$A:$A,MATCH(R435,NGHE_NGHIEP!$B:$B,0)),"")</f>
        <v/>
      </c>
      <c r="R435" s="50"/>
      <c r="S435" s="58" t="str">
        <f>IF(ISNUMBER(MATCH(T435,LOAI_ID!$B:$B,0)),INDEX(LOAI_ID!$A:$A,MATCH(T435,LOAI_ID!$B:$B,0)),"")</f>
        <v/>
      </c>
      <c r="T435" s="16"/>
      <c r="U435" s="48"/>
      <c r="V435" s="48"/>
      <c r="W435" s="17"/>
      <c r="X435" s="17"/>
      <c r="Y435" s="15"/>
      <c r="Z435" s="15"/>
      <c r="AA435" s="59" t="str">
        <f>IFERROR(INDEX(NOI_CAP!$B:$B,MATCH(Z435,NOI_CAP!$A:$A,0)),"")</f>
        <v/>
      </c>
      <c r="AB435" s="58" t="str">
        <f>IF(ISNUMBER(MATCH(AC435,LOAI_DIA_CHI!$B:$B,0)),INDEX(LOAI_DIA_CHI!$A:$A,MATCH(AC435,LOAI_DIA_CHI!$B:$B,0)),"")</f>
        <v/>
      </c>
      <c r="AC435" s="16"/>
      <c r="AD435" s="58" t="str">
        <f>IF(ISNUMBER(MATCH(AE435,QUOC_GIA!$B:$B,0)),INDEX(QUOC_GIA!$A:$A,MATCH(AE435,QUOC_GIA!$B:$B,0)),"")</f>
        <v/>
      </c>
      <c r="AE435" s="16"/>
      <c r="AF435" s="48"/>
      <c r="AG435" s="59" t="str">
        <f>IFERROR(INDEX(TINH_TP!$B:$B,MATCH(AF435,TINH_TP!$A:$A,0)),"")</f>
        <v/>
      </c>
      <c r="AH435" s="50"/>
      <c r="AI435" s="59" t="str">
        <f>IF(OR(AF435="",AH435=""),"",IF(COUNTIFS(PHUONG_XA!$A$2:$A$3323,AH435,PHUONG_XA!$C$2:$C$3323,AF435)=0,"",INDEX(PHUONG_XA!$B$2:$B$3323,SUMPRODUCT((PHUONG_XA!$A$2:$A$3323&amp;""=AH435&amp;"")*(PHUONG_XA!$C$2:$C$3323&amp;""=AF435&amp;"")*(ROW(PHUONG_XA!$A$2:$A$3323)-ROW(PHUONG_XA!$A$2)+1)))))</f>
        <v/>
      </c>
      <c r="AJ435" s="14"/>
      <c r="AK435" s="14"/>
      <c r="AL435" s="57" t="str">
        <f t="shared" si="7"/>
        <v/>
      </c>
      <c r="AM435" s="14"/>
      <c r="AN435" s="15"/>
      <c r="AO435" s="15"/>
      <c r="AP435" s="48"/>
      <c r="AQ435" s="15"/>
      <c r="AR435" s="15"/>
      <c r="AS435" s="15"/>
      <c r="AT435" s="60" t="str">
        <f>IF(ISNUMBER(MATCH(AU435,LOAI_THE!$B:$B,0)),INDEX(LOAI_THE!$A:$A,MATCH(AU435,LOAI_THE!$B:$B,0)),"")</f>
        <v/>
      </c>
      <c r="AU435" s="48"/>
      <c r="AV435" s="15"/>
      <c r="AW435" s="15"/>
      <c r="AX435" s="15"/>
      <c r="AY435" s="48"/>
    </row>
    <row r="436" spans="1:51" x14ac:dyDescent="0.3">
      <c r="A436" s="13" t="s">
        <v>4431</v>
      </c>
      <c r="B436" s="48"/>
      <c r="C436" s="48"/>
      <c r="D436" s="48"/>
      <c r="E436" s="48"/>
      <c r="F436" s="48"/>
      <c r="G436" s="58" t="str">
        <f>IF(ISNUMBER(MATCH(H436,GIOI_TINH!$B:$B,0)),INDEX(GIOI_TINH!$A:$A,MATCH(H436,GIOI_TINH!$B:$B,0)),"")</f>
        <v/>
      </c>
      <c r="H436" s="15"/>
      <c r="I436" s="15"/>
      <c r="J436" s="58" t="str">
        <f>IF(ISNUMBER(MATCH(K436,QUOC_GIA!$B:$B,0)),INDEX(QUOC_GIA!$A:$A,MATCH(K436,QUOC_GIA!$B:$B,0)),"")</f>
        <v/>
      </c>
      <c r="K436" s="50"/>
      <c r="L436" s="15"/>
      <c r="M436" s="58" t="str">
        <f>IF(ISNUMBER(MATCH(N436,LOAI_THUE!$B:$B,0)),INDEX(LOAI_THUE!$A:$A,MATCH(N436,LOAI_THUE!$B:$B,0)),"")</f>
        <v/>
      </c>
      <c r="N436" s="50"/>
      <c r="O436" s="58" t="str">
        <f>IF(ISNUMBER(MATCH(P436,CHI_TIET_LOAI_KH!$B:$B,0)),INDEX(CHI_TIET_LOAI_KH!$A:$A,MATCH(P436,CHI_TIET_LOAI_KH!$B:$B,0)),"")</f>
        <v/>
      </c>
      <c r="P436" s="50"/>
      <c r="Q436" s="58" t="str">
        <f>IF(ISNUMBER(MATCH(R436,NGHE_NGHIEP!$B:$B,0)),INDEX(NGHE_NGHIEP!$A:$A,MATCH(R436,NGHE_NGHIEP!$B:$B,0)),"")</f>
        <v/>
      </c>
      <c r="R436" s="50"/>
      <c r="S436" s="58" t="str">
        <f>IF(ISNUMBER(MATCH(T436,LOAI_ID!$B:$B,0)),INDEX(LOAI_ID!$A:$A,MATCH(T436,LOAI_ID!$B:$B,0)),"")</f>
        <v/>
      </c>
      <c r="T436" s="16"/>
      <c r="U436" s="48"/>
      <c r="V436" s="48"/>
      <c r="W436" s="17"/>
      <c r="X436" s="17"/>
      <c r="Y436" s="15"/>
      <c r="Z436" s="15"/>
      <c r="AA436" s="59" t="str">
        <f>IFERROR(INDEX(NOI_CAP!$B:$B,MATCH(Z436,NOI_CAP!$A:$A,0)),"")</f>
        <v/>
      </c>
      <c r="AB436" s="58" t="str">
        <f>IF(ISNUMBER(MATCH(AC436,LOAI_DIA_CHI!$B:$B,0)),INDEX(LOAI_DIA_CHI!$A:$A,MATCH(AC436,LOAI_DIA_CHI!$B:$B,0)),"")</f>
        <v/>
      </c>
      <c r="AC436" s="16"/>
      <c r="AD436" s="58" t="str">
        <f>IF(ISNUMBER(MATCH(AE436,QUOC_GIA!$B:$B,0)),INDEX(QUOC_GIA!$A:$A,MATCH(AE436,QUOC_GIA!$B:$B,0)),"")</f>
        <v/>
      </c>
      <c r="AE436" s="16"/>
      <c r="AF436" s="48"/>
      <c r="AG436" s="59" t="str">
        <f>IFERROR(INDEX(TINH_TP!$B:$B,MATCH(AF436,TINH_TP!$A:$A,0)),"")</f>
        <v/>
      </c>
      <c r="AH436" s="50"/>
      <c r="AI436" s="59" t="str">
        <f>IF(OR(AF436="",AH436=""),"",IF(COUNTIFS(PHUONG_XA!$A$2:$A$3323,AH436,PHUONG_XA!$C$2:$C$3323,AF436)=0,"",INDEX(PHUONG_XA!$B$2:$B$3323,SUMPRODUCT((PHUONG_XA!$A$2:$A$3323&amp;""=AH436&amp;"")*(PHUONG_XA!$C$2:$C$3323&amp;""=AF436&amp;"")*(ROW(PHUONG_XA!$A$2:$A$3323)-ROW(PHUONG_XA!$A$2)+1)))))</f>
        <v/>
      </c>
      <c r="AJ436" s="14"/>
      <c r="AK436" s="14"/>
      <c r="AL436" s="57" t="str">
        <f t="shared" si="7"/>
        <v/>
      </c>
      <c r="AM436" s="14"/>
      <c r="AN436" s="15"/>
      <c r="AO436" s="15"/>
      <c r="AP436" s="48"/>
      <c r="AQ436" s="15"/>
      <c r="AR436" s="15"/>
      <c r="AS436" s="15"/>
      <c r="AT436" s="60" t="str">
        <f>IF(ISNUMBER(MATCH(AU436,LOAI_THE!$B:$B,0)),INDEX(LOAI_THE!$A:$A,MATCH(AU436,LOAI_THE!$B:$B,0)),"")</f>
        <v/>
      </c>
      <c r="AU436" s="48"/>
      <c r="AV436" s="15"/>
      <c r="AW436" s="15"/>
      <c r="AX436" s="15"/>
      <c r="AY436" s="48"/>
    </row>
    <row r="437" spans="1:51" x14ac:dyDescent="0.3">
      <c r="A437" s="13" t="s">
        <v>4432</v>
      </c>
      <c r="B437" s="48"/>
      <c r="C437" s="48"/>
      <c r="D437" s="48"/>
      <c r="E437" s="48"/>
      <c r="F437" s="48"/>
      <c r="G437" s="58" t="str">
        <f>IF(ISNUMBER(MATCH(H437,GIOI_TINH!$B:$B,0)),INDEX(GIOI_TINH!$A:$A,MATCH(H437,GIOI_TINH!$B:$B,0)),"")</f>
        <v/>
      </c>
      <c r="H437" s="15"/>
      <c r="I437" s="15"/>
      <c r="J437" s="58" t="str">
        <f>IF(ISNUMBER(MATCH(K437,QUOC_GIA!$B:$B,0)),INDEX(QUOC_GIA!$A:$A,MATCH(K437,QUOC_GIA!$B:$B,0)),"")</f>
        <v/>
      </c>
      <c r="K437" s="50"/>
      <c r="L437" s="15"/>
      <c r="M437" s="58" t="str">
        <f>IF(ISNUMBER(MATCH(N437,LOAI_THUE!$B:$B,0)),INDEX(LOAI_THUE!$A:$A,MATCH(N437,LOAI_THUE!$B:$B,0)),"")</f>
        <v/>
      </c>
      <c r="N437" s="50"/>
      <c r="O437" s="58" t="str">
        <f>IF(ISNUMBER(MATCH(P437,CHI_TIET_LOAI_KH!$B:$B,0)),INDEX(CHI_TIET_LOAI_KH!$A:$A,MATCH(P437,CHI_TIET_LOAI_KH!$B:$B,0)),"")</f>
        <v/>
      </c>
      <c r="P437" s="50"/>
      <c r="Q437" s="58" t="str">
        <f>IF(ISNUMBER(MATCH(R437,NGHE_NGHIEP!$B:$B,0)),INDEX(NGHE_NGHIEP!$A:$A,MATCH(R437,NGHE_NGHIEP!$B:$B,0)),"")</f>
        <v/>
      </c>
      <c r="R437" s="50"/>
      <c r="S437" s="58" t="str">
        <f>IF(ISNUMBER(MATCH(T437,LOAI_ID!$B:$B,0)),INDEX(LOAI_ID!$A:$A,MATCH(T437,LOAI_ID!$B:$B,0)),"")</f>
        <v/>
      </c>
      <c r="T437" s="16"/>
      <c r="U437" s="48"/>
      <c r="V437" s="48"/>
      <c r="W437" s="17"/>
      <c r="X437" s="17"/>
      <c r="Y437" s="15"/>
      <c r="Z437" s="15"/>
      <c r="AA437" s="59" t="str">
        <f>IFERROR(INDEX(NOI_CAP!$B:$B,MATCH(Z437,NOI_CAP!$A:$A,0)),"")</f>
        <v/>
      </c>
      <c r="AB437" s="58" t="str">
        <f>IF(ISNUMBER(MATCH(AC437,LOAI_DIA_CHI!$B:$B,0)),INDEX(LOAI_DIA_CHI!$A:$A,MATCH(AC437,LOAI_DIA_CHI!$B:$B,0)),"")</f>
        <v/>
      </c>
      <c r="AC437" s="16"/>
      <c r="AD437" s="58" t="str">
        <f>IF(ISNUMBER(MATCH(AE437,QUOC_GIA!$B:$B,0)),INDEX(QUOC_GIA!$A:$A,MATCH(AE437,QUOC_GIA!$B:$B,0)),"")</f>
        <v/>
      </c>
      <c r="AE437" s="16"/>
      <c r="AF437" s="48"/>
      <c r="AG437" s="59" t="str">
        <f>IFERROR(INDEX(TINH_TP!$B:$B,MATCH(AF437,TINH_TP!$A:$A,0)),"")</f>
        <v/>
      </c>
      <c r="AH437" s="50"/>
      <c r="AI437" s="59" t="str">
        <f>IF(OR(AF437="",AH437=""),"",IF(COUNTIFS(PHUONG_XA!$A$2:$A$3323,AH437,PHUONG_XA!$C$2:$C$3323,AF437)=0,"",INDEX(PHUONG_XA!$B$2:$B$3323,SUMPRODUCT((PHUONG_XA!$A$2:$A$3323&amp;""=AH437&amp;"")*(PHUONG_XA!$C$2:$C$3323&amp;""=AF437&amp;"")*(ROW(PHUONG_XA!$A$2:$A$3323)-ROW(PHUONG_XA!$A$2)+1)))))</f>
        <v/>
      </c>
      <c r="AJ437" s="14"/>
      <c r="AK437" s="14"/>
      <c r="AL437" s="57" t="str">
        <f t="shared" si="7"/>
        <v/>
      </c>
      <c r="AM437" s="14"/>
      <c r="AN437" s="15"/>
      <c r="AO437" s="15"/>
      <c r="AP437" s="48"/>
      <c r="AQ437" s="15"/>
      <c r="AR437" s="15"/>
      <c r="AS437" s="15"/>
      <c r="AT437" s="60" t="str">
        <f>IF(ISNUMBER(MATCH(AU437,LOAI_THE!$B:$B,0)),INDEX(LOAI_THE!$A:$A,MATCH(AU437,LOAI_THE!$B:$B,0)),"")</f>
        <v/>
      </c>
      <c r="AU437" s="48"/>
      <c r="AV437" s="15"/>
      <c r="AW437" s="15"/>
      <c r="AX437" s="15"/>
      <c r="AY437" s="48"/>
    </row>
    <row r="438" spans="1:51" x14ac:dyDescent="0.3">
      <c r="A438" s="13" t="s">
        <v>4433</v>
      </c>
      <c r="B438" s="48"/>
      <c r="C438" s="48"/>
      <c r="D438" s="48"/>
      <c r="E438" s="48"/>
      <c r="F438" s="48"/>
      <c r="G438" s="58" t="str">
        <f>IF(ISNUMBER(MATCH(H438,GIOI_TINH!$B:$B,0)),INDEX(GIOI_TINH!$A:$A,MATCH(H438,GIOI_TINH!$B:$B,0)),"")</f>
        <v/>
      </c>
      <c r="H438" s="15"/>
      <c r="I438" s="15"/>
      <c r="J438" s="58" t="str">
        <f>IF(ISNUMBER(MATCH(K438,QUOC_GIA!$B:$B,0)),INDEX(QUOC_GIA!$A:$A,MATCH(K438,QUOC_GIA!$B:$B,0)),"")</f>
        <v/>
      </c>
      <c r="K438" s="50"/>
      <c r="L438" s="15"/>
      <c r="M438" s="58" t="str">
        <f>IF(ISNUMBER(MATCH(N438,LOAI_THUE!$B:$B,0)),INDEX(LOAI_THUE!$A:$A,MATCH(N438,LOAI_THUE!$B:$B,0)),"")</f>
        <v/>
      </c>
      <c r="N438" s="50"/>
      <c r="O438" s="58" t="str">
        <f>IF(ISNUMBER(MATCH(P438,CHI_TIET_LOAI_KH!$B:$B,0)),INDEX(CHI_TIET_LOAI_KH!$A:$A,MATCH(P438,CHI_TIET_LOAI_KH!$B:$B,0)),"")</f>
        <v/>
      </c>
      <c r="P438" s="50"/>
      <c r="Q438" s="58" t="str">
        <f>IF(ISNUMBER(MATCH(R438,NGHE_NGHIEP!$B:$B,0)),INDEX(NGHE_NGHIEP!$A:$A,MATCH(R438,NGHE_NGHIEP!$B:$B,0)),"")</f>
        <v/>
      </c>
      <c r="R438" s="50"/>
      <c r="S438" s="58" t="str">
        <f>IF(ISNUMBER(MATCH(T438,LOAI_ID!$B:$B,0)),INDEX(LOAI_ID!$A:$A,MATCH(T438,LOAI_ID!$B:$B,0)),"")</f>
        <v/>
      </c>
      <c r="T438" s="16"/>
      <c r="U438" s="48"/>
      <c r="V438" s="48"/>
      <c r="W438" s="17"/>
      <c r="X438" s="17"/>
      <c r="Y438" s="15"/>
      <c r="Z438" s="15"/>
      <c r="AA438" s="59" t="str">
        <f>IFERROR(INDEX(NOI_CAP!$B:$B,MATCH(Z438,NOI_CAP!$A:$A,0)),"")</f>
        <v/>
      </c>
      <c r="AB438" s="58" t="str">
        <f>IF(ISNUMBER(MATCH(AC438,LOAI_DIA_CHI!$B:$B,0)),INDEX(LOAI_DIA_CHI!$A:$A,MATCH(AC438,LOAI_DIA_CHI!$B:$B,0)),"")</f>
        <v/>
      </c>
      <c r="AC438" s="16"/>
      <c r="AD438" s="58" t="str">
        <f>IF(ISNUMBER(MATCH(AE438,QUOC_GIA!$B:$B,0)),INDEX(QUOC_GIA!$A:$A,MATCH(AE438,QUOC_GIA!$B:$B,0)),"")</f>
        <v/>
      </c>
      <c r="AE438" s="16"/>
      <c r="AF438" s="48"/>
      <c r="AG438" s="59" t="str">
        <f>IFERROR(INDEX(TINH_TP!$B:$B,MATCH(AF438,TINH_TP!$A:$A,0)),"")</f>
        <v/>
      </c>
      <c r="AH438" s="50"/>
      <c r="AI438" s="59" t="str">
        <f>IF(OR(AF438="",AH438=""),"",IF(COUNTIFS(PHUONG_XA!$A$2:$A$3323,AH438,PHUONG_XA!$C$2:$C$3323,AF438)=0,"",INDEX(PHUONG_XA!$B$2:$B$3323,SUMPRODUCT((PHUONG_XA!$A$2:$A$3323&amp;""=AH438&amp;"")*(PHUONG_XA!$C$2:$C$3323&amp;""=AF438&amp;"")*(ROW(PHUONG_XA!$A$2:$A$3323)-ROW(PHUONG_XA!$A$2)+1)))))</f>
        <v/>
      </c>
      <c r="AJ438" s="14"/>
      <c r="AK438" s="14"/>
      <c r="AL438" s="57" t="str">
        <f t="shared" si="7"/>
        <v/>
      </c>
      <c r="AM438" s="14"/>
      <c r="AN438" s="15"/>
      <c r="AO438" s="15"/>
      <c r="AP438" s="48"/>
      <c r="AQ438" s="15"/>
      <c r="AR438" s="15"/>
      <c r="AS438" s="15"/>
      <c r="AT438" s="60" t="str">
        <f>IF(ISNUMBER(MATCH(AU438,LOAI_THE!$B:$B,0)),INDEX(LOAI_THE!$A:$A,MATCH(AU438,LOAI_THE!$B:$B,0)),"")</f>
        <v/>
      </c>
      <c r="AU438" s="48"/>
      <c r="AV438" s="15"/>
      <c r="AW438" s="15"/>
      <c r="AX438" s="15"/>
      <c r="AY438" s="48"/>
    </row>
    <row r="439" spans="1:51" x14ac:dyDescent="0.3">
      <c r="A439" s="13" t="s">
        <v>4434</v>
      </c>
      <c r="B439" s="48"/>
      <c r="C439" s="48"/>
      <c r="D439" s="48"/>
      <c r="E439" s="48"/>
      <c r="F439" s="48"/>
      <c r="G439" s="58" t="str">
        <f>IF(ISNUMBER(MATCH(H439,GIOI_TINH!$B:$B,0)),INDEX(GIOI_TINH!$A:$A,MATCH(H439,GIOI_TINH!$B:$B,0)),"")</f>
        <v/>
      </c>
      <c r="H439" s="15"/>
      <c r="I439" s="15"/>
      <c r="J439" s="58" t="str">
        <f>IF(ISNUMBER(MATCH(K439,QUOC_GIA!$B:$B,0)),INDEX(QUOC_GIA!$A:$A,MATCH(K439,QUOC_GIA!$B:$B,0)),"")</f>
        <v/>
      </c>
      <c r="K439" s="50"/>
      <c r="L439" s="15"/>
      <c r="M439" s="58" t="str">
        <f>IF(ISNUMBER(MATCH(N439,LOAI_THUE!$B:$B,0)),INDEX(LOAI_THUE!$A:$A,MATCH(N439,LOAI_THUE!$B:$B,0)),"")</f>
        <v/>
      </c>
      <c r="N439" s="50"/>
      <c r="O439" s="58" t="str">
        <f>IF(ISNUMBER(MATCH(P439,CHI_TIET_LOAI_KH!$B:$B,0)),INDEX(CHI_TIET_LOAI_KH!$A:$A,MATCH(P439,CHI_TIET_LOAI_KH!$B:$B,0)),"")</f>
        <v/>
      </c>
      <c r="P439" s="50"/>
      <c r="Q439" s="58" t="str">
        <f>IF(ISNUMBER(MATCH(R439,NGHE_NGHIEP!$B:$B,0)),INDEX(NGHE_NGHIEP!$A:$A,MATCH(R439,NGHE_NGHIEP!$B:$B,0)),"")</f>
        <v/>
      </c>
      <c r="R439" s="50"/>
      <c r="S439" s="58" t="str">
        <f>IF(ISNUMBER(MATCH(T439,LOAI_ID!$B:$B,0)),INDEX(LOAI_ID!$A:$A,MATCH(T439,LOAI_ID!$B:$B,0)),"")</f>
        <v/>
      </c>
      <c r="T439" s="16"/>
      <c r="U439" s="48"/>
      <c r="V439" s="48"/>
      <c r="W439" s="17"/>
      <c r="X439" s="17"/>
      <c r="Y439" s="15"/>
      <c r="Z439" s="15"/>
      <c r="AA439" s="59" t="str">
        <f>IFERROR(INDEX(NOI_CAP!$B:$B,MATCH(Z439,NOI_CAP!$A:$A,0)),"")</f>
        <v/>
      </c>
      <c r="AB439" s="58" t="str">
        <f>IF(ISNUMBER(MATCH(AC439,LOAI_DIA_CHI!$B:$B,0)),INDEX(LOAI_DIA_CHI!$A:$A,MATCH(AC439,LOAI_DIA_CHI!$B:$B,0)),"")</f>
        <v/>
      </c>
      <c r="AC439" s="16"/>
      <c r="AD439" s="58" t="str">
        <f>IF(ISNUMBER(MATCH(AE439,QUOC_GIA!$B:$B,0)),INDEX(QUOC_GIA!$A:$A,MATCH(AE439,QUOC_GIA!$B:$B,0)),"")</f>
        <v/>
      </c>
      <c r="AE439" s="16"/>
      <c r="AF439" s="48"/>
      <c r="AG439" s="59" t="str">
        <f>IFERROR(INDEX(TINH_TP!$B:$B,MATCH(AF439,TINH_TP!$A:$A,0)),"")</f>
        <v/>
      </c>
      <c r="AH439" s="50"/>
      <c r="AI439" s="59" t="str">
        <f>IF(OR(AF439="",AH439=""),"",IF(COUNTIFS(PHUONG_XA!$A$2:$A$3323,AH439,PHUONG_XA!$C$2:$C$3323,AF439)=0,"",INDEX(PHUONG_XA!$B$2:$B$3323,SUMPRODUCT((PHUONG_XA!$A$2:$A$3323&amp;""=AH439&amp;"")*(PHUONG_XA!$C$2:$C$3323&amp;""=AF439&amp;"")*(ROW(PHUONG_XA!$A$2:$A$3323)-ROW(PHUONG_XA!$A$2)+1)))))</f>
        <v/>
      </c>
      <c r="AJ439" s="14"/>
      <c r="AK439" s="14"/>
      <c r="AL439" s="57" t="str">
        <f t="shared" si="7"/>
        <v/>
      </c>
      <c r="AM439" s="14"/>
      <c r="AN439" s="15"/>
      <c r="AO439" s="15"/>
      <c r="AP439" s="48"/>
      <c r="AQ439" s="15"/>
      <c r="AR439" s="15"/>
      <c r="AS439" s="15"/>
      <c r="AT439" s="60" t="str">
        <f>IF(ISNUMBER(MATCH(AU439,LOAI_THE!$B:$B,0)),INDEX(LOAI_THE!$A:$A,MATCH(AU439,LOAI_THE!$B:$B,0)),"")</f>
        <v/>
      </c>
      <c r="AU439" s="48"/>
      <c r="AV439" s="15"/>
      <c r="AW439" s="15"/>
      <c r="AX439" s="15"/>
      <c r="AY439" s="48"/>
    </row>
    <row r="440" spans="1:51" x14ac:dyDescent="0.3">
      <c r="A440" s="13" t="s">
        <v>4435</v>
      </c>
      <c r="B440" s="48"/>
      <c r="C440" s="48"/>
      <c r="D440" s="48"/>
      <c r="E440" s="48"/>
      <c r="F440" s="48"/>
      <c r="G440" s="58" t="str">
        <f>IF(ISNUMBER(MATCH(H440,GIOI_TINH!$B:$B,0)),INDEX(GIOI_TINH!$A:$A,MATCH(H440,GIOI_TINH!$B:$B,0)),"")</f>
        <v/>
      </c>
      <c r="H440" s="15"/>
      <c r="I440" s="15"/>
      <c r="J440" s="58" t="str">
        <f>IF(ISNUMBER(MATCH(K440,QUOC_GIA!$B:$B,0)),INDEX(QUOC_GIA!$A:$A,MATCH(K440,QUOC_GIA!$B:$B,0)),"")</f>
        <v/>
      </c>
      <c r="K440" s="50"/>
      <c r="L440" s="15"/>
      <c r="M440" s="58" t="str">
        <f>IF(ISNUMBER(MATCH(N440,LOAI_THUE!$B:$B,0)),INDEX(LOAI_THUE!$A:$A,MATCH(N440,LOAI_THUE!$B:$B,0)),"")</f>
        <v/>
      </c>
      <c r="N440" s="50"/>
      <c r="O440" s="58" t="str">
        <f>IF(ISNUMBER(MATCH(P440,CHI_TIET_LOAI_KH!$B:$B,0)),INDEX(CHI_TIET_LOAI_KH!$A:$A,MATCH(P440,CHI_TIET_LOAI_KH!$B:$B,0)),"")</f>
        <v/>
      </c>
      <c r="P440" s="50"/>
      <c r="Q440" s="58" t="str">
        <f>IF(ISNUMBER(MATCH(R440,NGHE_NGHIEP!$B:$B,0)),INDEX(NGHE_NGHIEP!$A:$A,MATCH(R440,NGHE_NGHIEP!$B:$B,0)),"")</f>
        <v/>
      </c>
      <c r="R440" s="50"/>
      <c r="S440" s="58" t="str">
        <f>IF(ISNUMBER(MATCH(T440,LOAI_ID!$B:$B,0)),INDEX(LOAI_ID!$A:$A,MATCH(T440,LOAI_ID!$B:$B,0)),"")</f>
        <v/>
      </c>
      <c r="T440" s="16"/>
      <c r="U440" s="48"/>
      <c r="V440" s="48"/>
      <c r="W440" s="17"/>
      <c r="X440" s="17"/>
      <c r="Y440" s="15"/>
      <c r="Z440" s="15"/>
      <c r="AA440" s="59" t="str">
        <f>IFERROR(INDEX(NOI_CAP!$B:$B,MATCH(Z440,NOI_CAP!$A:$A,0)),"")</f>
        <v/>
      </c>
      <c r="AB440" s="58" t="str">
        <f>IF(ISNUMBER(MATCH(AC440,LOAI_DIA_CHI!$B:$B,0)),INDEX(LOAI_DIA_CHI!$A:$A,MATCH(AC440,LOAI_DIA_CHI!$B:$B,0)),"")</f>
        <v/>
      </c>
      <c r="AC440" s="16"/>
      <c r="AD440" s="58" t="str">
        <f>IF(ISNUMBER(MATCH(AE440,QUOC_GIA!$B:$B,0)),INDEX(QUOC_GIA!$A:$A,MATCH(AE440,QUOC_GIA!$B:$B,0)),"")</f>
        <v/>
      </c>
      <c r="AE440" s="16"/>
      <c r="AF440" s="48"/>
      <c r="AG440" s="59" t="str">
        <f>IFERROR(INDEX(TINH_TP!$B:$B,MATCH(AF440,TINH_TP!$A:$A,0)),"")</f>
        <v/>
      </c>
      <c r="AH440" s="50"/>
      <c r="AI440" s="59" t="str">
        <f>IF(OR(AF440="",AH440=""),"",IF(COUNTIFS(PHUONG_XA!$A$2:$A$3323,AH440,PHUONG_XA!$C$2:$C$3323,AF440)=0,"",INDEX(PHUONG_XA!$B$2:$B$3323,SUMPRODUCT((PHUONG_XA!$A$2:$A$3323&amp;""=AH440&amp;"")*(PHUONG_XA!$C$2:$C$3323&amp;""=AF440&amp;"")*(ROW(PHUONG_XA!$A$2:$A$3323)-ROW(PHUONG_XA!$A$2)+1)))))</f>
        <v/>
      </c>
      <c r="AJ440" s="14"/>
      <c r="AK440" s="14"/>
      <c r="AL440" s="57" t="str">
        <f t="shared" si="7"/>
        <v/>
      </c>
      <c r="AM440" s="14"/>
      <c r="AN440" s="15"/>
      <c r="AO440" s="15"/>
      <c r="AP440" s="48"/>
      <c r="AQ440" s="15"/>
      <c r="AR440" s="15"/>
      <c r="AS440" s="15"/>
      <c r="AT440" s="60" t="str">
        <f>IF(ISNUMBER(MATCH(AU440,LOAI_THE!$B:$B,0)),INDEX(LOAI_THE!$A:$A,MATCH(AU440,LOAI_THE!$B:$B,0)),"")</f>
        <v/>
      </c>
      <c r="AU440" s="48"/>
      <c r="AV440" s="15"/>
      <c r="AW440" s="15"/>
      <c r="AX440" s="15"/>
      <c r="AY440" s="48"/>
    </row>
    <row r="441" spans="1:51" x14ac:dyDescent="0.3">
      <c r="A441" s="13" t="s">
        <v>4436</v>
      </c>
      <c r="B441" s="48"/>
      <c r="C441" s="48"/>
      <c r="D441" s="48"/>
      <c r="E441" s="48"/>
      <c r="F441" s="48"/>
      <c r="G441" s="58" t="str">
        <f>IF(ISNUMBER(MATCH(H441,GIOI_TINH!$B:$B,0)),INDEX(GIOI_TINH!$A:$A,MATCH(H441,GIOI_TINH!$B:$B,0)),"")</f>
        <v/>
      </c>
      <c r="H441" s="15"/>
      <c r="I441" s="15"/>
      <c r="J441" s="58" t="str">
        <f>IF(ISNUMBER(MATCH(K441,QUOC_GIA!$B:$B,0)),INDEX(QUOC_GIA!$A:$A,MATCH(K441,QUOC_GIA!$B:$B,0)),"")</f>
        <v/>
      </c>
      <c r="K441" s="50"/>
      <c r="L441" s="15"/>
      <c r="M441" s="58" t="str">
        <f>IF(ISNUMBER(MATCH(N441,LOAI_THUE!$B:$B,0)),INDEX(LOAI_THUE!$A:$A,MATCH(N441,LOAI_THUE!$B:$B,0)),"")</f>
        <v/>
      </c>
      <c r="N441" s="50"/>
      <c r="O441" s="58" t="str">
        <f>IF(ISNUMBER(MATCH(P441,CHI_TIET_LOAI_KH!$B:$B,0)),INDEX(CHI_TIET_LOAI_KH!$A:$A,MATCH(P441,CHI_TIET_LOAI_KH!$B:$B,0)),"")</f>
        <v/>
      </c>
      <c r="P441" s="50"/>
      <c r="Q441" s="58" t="str">
        <f>IF(ISNUMBER(MATCH(R441,NGHE_NGHIEP!$B:$B,0)),INDEX(NGHE_NGHIEP!$A:$A,MATCH(R441,NGHE_NGHIEP!$B:$B,0)),"")</f>
        <v/>
      </c>
      <c r="R441" s="50"/>
      <c r="S441" s="58" t="str">
        <f>IF(ISNUMBER(MATCH(T441,LOAI_ID!$B:$B,0)),INDEX(LOAI_ID!$A:$A,MATCH(T441,LOAI_ID!$B:$B,0)),"")</f>
        <v/>
      </c>
      <c r="T441" s="16"/>
      <c r="U441" s="48"/>
      <c r="V441" s="48"/>
      <c r="W441" s="17"/>
      <c r="X441" s="17"/>
      <c r="Y441" s="15"/>
      <c r="Z441" s="15"/>
      <c r="AA441" s="59" t="str">
        <f>IFERROR(INDEX(NOI_CAP!$B:$B,MATCH(Z441,NOI_CAP!$A:$A,0)),"")</f>
        <v/>
      </c>
      <c r="AB441" s="58" t="str">
        <f>IF(ISNUMBER(MATCH(AC441,LOAI_DIA_CHI!$B:$B,0)),INDEX(LOAI_DIA_CHI!$A:$A,MATCH(AC441,LOAI_DIA_CHI!$B:$B,0)),"")</f>
        <v/>
      </c>
      <c r="AC441" s="16"/>
      <c r="AD441" s="58" t="str">
        <f>IF(ISNUMBER(MATCH(AE441,QUOC_GIA!$B:$B,0)),INDEX(QUOC_GIA!$A:$A,MATCH(AE441,QUOC_GIA!$B:$B,0)),"")</f>
        <v/>
      </c>
      <c r="AE441" s="16"/>
      <c r="AF441" s="48"/>
      <c r="AG441" s="59" t="str">
        <f>IFERROR(INDEX(TINH_TP!$B:$B,MATCH(AF441,TINH_TP!$A:$A,0)),"")</f>
        <v/>
      </c>
      <c r="AH441" s="50"/>
      <c r="AI441" s="59" t="str">
        <f>IF(OR(AF441="",AH441=""),"",IF(COUNTIFS(PHUONG_XA!$A$2:$A$3323,AH441,PHUONG_XA!$C$2:$C$3323,AF441)=0,"",INDEX(PHUONG_XA!$B$2:$B$3323,SUMPRODUCT((PHUONG_XA!$A$2:$A$3323&amp;""=AH441&amp;"")*(PHUONG_XA!$C$2:$C$3323&amp;""=AF441&amp;"")*(ROW(PHUONG_XA!$A$2:$A$3323)-ROW(PHUONG_XA!$A$2)+1)))))</f>
        <v/>
      </c>
      <c r="AJ441" s="14"/>
      <c r="AK441" s="14"/>
      <c r="AL441" s="57" t="str">
        <f t="shared" si="7"/>
        <v/>
      </c>
      <c r="AM441" s="14"/>
      <c r="AN441" s="15"/>
      <c r="AO441" s="15"/>
      <c r="AP441" s="48"/>
      <c r="AQ441" s="15"/>
      <c r="AR441" s="15"/>
      <c r="AS441" s="15"/>
      <c r="AT441" s="60" t="str">
        <f>IF(ISNUMBER(MATCH(AU441,LOAI_THE!$B:$B,0)),INDEX(LOAI_THE!$A:$A,MATCH(AU441,LOAI_THE!$B:$B,0)),"")</f>
        <v/>
      </c>
      <c r="AU441" s="48"/>
      <c r="AV441" s="15"/>
      <c r="AW441" s="15"/>
      <c r="AX441" s="15"/>
      <c r="AY441" s="48"/>
    </row>
    <row r="442" spans="1:51" x14ac:dyDescent="0.3">
      <c r="A442" s="13" t="s">
        <v>4437</v>
      </c>
      <c r="B442" s="48"/>
      <c r="C442" s="48"/>
      <c r="D442" s="48"/>
      <c r="E442" s="48"/>
      <c r="F442" s="48"/>
      <c r="G442" s="58" t="str">
        <f>IF(ISNUMBER(MATCH(H442,GIOI_TINH!$B:$B,0)),INDEX(GIOI_TINH!$A:$A,MATCH(H442,GIOI_TINH!$B:$B,0)),"")</f>
        <v/>
      </c>
      <c r="H442" s="15"/>
      <c r="I442" s="15"/>
      <c r="J442" s="58" t="str">
        <f>IF(ISNUMBER(MATCH(K442,QUOC_GIA!$B:$B,0)),INDEX(QUOC_GIA!$A:$A,MATCH(K442,QUOC_GIA!$B:$B,0)),"")</f>
        <v/>
      </c>
      <c r="K442" s="50"/>
      <c r="L442" s="15"/>
      <c r="M442" s="58" t="str">
        <f>IF(ISNUMBER(MATCH(N442,LOAI_THUE!$B:$B,0)),INDEX(LOAI_THUE!$A:$A,MATCH(N442,LOAI_THUE!$B:$B,0)),"")</f>
        <v/>
      </c>
      <c r="N442" s="50"/>
      <c r="O442" s="58" t="str">
        <f>IF(ISNUMBER(MATCH(P442,CHI_TIET_LOAI_KH!$B:$B,0)),INDEX(CHI_TIET_LOAI_KH!$A:$A,MATCH(P442,CHI_TIET_LOAI_KH!$B:$B,0)),"")</f>
        <v/>
      </c>
      <c r="P442" s="50"/>
      <c r="Q442" s="58" t="str">
        <f>IF(ISNUMBER(MATCH(R442,NGHE_NGHIEP!$B:$B,0)),INDEX(NGHE_NGHIEP!$A:$A,MATCH(R442,NGHE_NGHIEP!$B:$B,0)),"")</f>
        <v/>
      </c>
      <c r="R442" s="50"/>
      <c r="S442" s="58" t="str">
        <f>IF(ISNUMBER(MATCH(T442,LOAI_ID!$B:$B,0)),INDEX(LOAI_ID!$A:$A,MATCH(T442,LOAI_ID!$B:$B,0)),"")</f>
        <v/>
      </c>
      <c r="T442" s="16"/>
      <c r="U442" s="48"/>
      <c r="V442" s="48"/>
      <c r="W442" s="17"/>
      <c r="X442" s="17"/>
      <c r="Y442" s="15"/>
      <c r="Z442" s="15"/>
      <c r="AA442" s="59" t="str">
        <f>IFERROR(INDEX(NOI_CAP!$B:$B,MATCH(Z442,NOI_CAP!$A:$A,0)),"")</f>
        <v/>
      </c>
      <c r="AB442" s="58" t="str">
        <f>IF(ISNUMBER(MATCH(AC442,LOAI_DIA_CHI!$B:$B,0)),INDEX(LOAI_DIA_CHI!$A:$A,MATCH(AC442,LOAI_DIA_CHI!$B:$B,0)),"")</f>
        <v/>
      </c>
      <c r="AC442" s="16"/>
      <c r="AD442" s="58" t="str">
        <f>IF(ISNUMBER(MATCH(AE442,QUOC_GIA!$B:$B,0)),INDEX(QUOC_GIA!$A:$A,MATCH(AE442,QUOC_GIA!$B:$B,0)),"")</f>
        <v/>
      </c>
      <c r="AE442" s="16"/>
      <c r="AF442" s="48"/>
      <c r="AG442" s="59" t="str">
        <f>IFERROR(INDEX(TINH_TP!$B:$B,MATCH(AF442,TINH_TP!$A:$A,0)),"")</f>
        <v/>
      </c>
      <c r="AH442" s="50"/>
      <c r="AI442" s="59" t="str">
        <f>IF(OR(AF442="",AH442=""),"",IF(COUNTIFS(PHUONG_XA!$A$2:$A$3323,AH442,PHUONG_XA!$C$2:$C$3323,AF442)=0,"",INDEX(PHUONG_XA!$B$2:$B$3323,SUMPRODUCT((PHUONG_XA!$A$2:$A$3323&amp;""=AH442&amp;"")*(PHUONG_XA!$C$2:$C$3323&amp;""=AF442&amp;"")*(ROW(PHUONG_XA!$A$2:$A$3323)-ROW(PHUONG_XA!$A$2)+1)))))</f>
        <v/>
      </c>
      <c r="AJ442" s="14"/>
      <c r="AK442" s="14"/>
      <c r="AL442" s="57" t="str">
        <f t="shared" si="7"/>
        <v/>
      </c>
      <c r="AM442" s="14"/>
      <c r="AN442" s="15"/>
      <c r="AO442" s="15"/>
      <c r="AP442" s="48"/>
      <c r="AQ442" s="15"/>
      <c r="AR442" s="15"/>
      <c r="AS442" s="15"/>
      <c r="AT442" s="60" t="str">
        <f>IF(ISNUMBER(MATCH(AU442,LOAI_THE!$B:$B,0)),INDEX(LOAI_THE!$A:$A,MATCH(AU442,LOAI_THE!$B:$B,0)),"")</f>
        <v/>
      </c>
      <c r="AU442" s="48"/>
      <c r="AV442" s="15"/>
      <c r="AW442" s="15"/>
      <c r="AX442" s="15"/>
      <c r="AY442" s="48"/>
    </row>
    <row r="443" spans="1:51" x14ac:dyDescent="0.3">
      <c r="A443" s="13" t="s">
        <v>4438</v>
      </c>
      <c r="B443" s="48"/>
      <c r="C443" s="48"/>
      <c r="D443" s="48"/>
      <c r="E443" s="48"/>
      <c r="F443" s="48"/>
      <c r="G443" s="58" t="str">
        <f>IF(ISNUMBER(MATCH(H443,GIOI_TINH!$B:$B,0)),INDEX(GIOI_TINH!$A:$A,MATCH(H443,GIOI_TINH!$B:$B,0)),"")</f>
        <v/>
      </c>
      <c r="H443" s="15"/>
      <c r="I443" s="15"/>
      <c r="J443" s="58" t="str">
        <f>IF(ISNUMBER(MATCH(K443,QUOC_GIA!$B:$B,0)),INDEX(QUOC_GIA!$A:$A,MATCH(K443,QUOC_GIA!$B:$B,0)),"")</f>
        <v/>
      </c>
      <c r="K443" s="50"/>
      <c r="L443" s="15"/>
      <c r="M443" s="58" t="str">
        <f>IF(ISNUMBER(MATCH(N443,LOAI_THUE!$B:$B,0)),INDEX(LOAI_THUE!$A:$A,MATCH(N443,LOAI_THUE!$B:$B,0)),"")</f>
        <v/>
      </c>
      <c r="N443" s="50"/>
      <c r="O443" s="58" t="str">
        <f>IF(ISNUMBER(MATCH(P443,CHI_TIET_LOAI_KH!$B:$B,0)),INDEX(CHI_TIET_LOAI_KH!$A:$A,MATCH(P443,CHI_TIET_LOAI_KH!$B:$B,0)),"")</f>
        <v/>
      </c>
      <c r="P443" s="50"/>
      <c r="Q443" s="58" t="str">
        <f>IF(ISNUMBER(MATCH(R443,NGHE_NGHIEP!$B:$B,0)),INDEX(NGHE_NGHIEP!$A:$A,MATCH(R443,NGHE_NGHIEP!$B:$B,0)),"")</f>
        <v/>
      </c>
      <c r="R443" s="50"/>
      <c r="S443" s="58" t="str">
        <f>IF(ISNUMBER(MATCH(T443,LOAI_ID!$B:$B,0)),INDEX(LOAI_ID!$A:$A,MATCH(T443,LOAI_ID!$B:$B,0)),"")</f>
        <v/>
      </c>
      <c r="T443" s="16"/>
      <c r="U443" s="48"/>
      <c r="V443" s="48"/>
      <c r="W443" s="17"/>
      <c r="X443" s="17"/>
      <c r="Y443" s="15"/>
      <c r="Z443" s="15"/>
      <c r="AA443" s="59" t="str">
        <f>IFERROR(INDEX(NOI_CAP!$B:$B,MATCH(Z443,NOI_CAP!$A:$A,0)),"")</f>
        <v/>
      </c>
      <c r="AB443" s="58" t="str">
        <f>IF(ISNUMBER(MATCH(AC443,LOAI_DIA_CHI!$B:$B,0)),INDEX(LOAI_DIA_CHI!$A:$A,MATCH(AC443,LOAI_DIA_CHI!$B:$B,0)),"")</f>
        <v/>
      </c>
      <c r="AC443" s="16"/>
      <c r="AD443" s="58" t="str">
        <f>IF(ISNUMBER(MATCH(AE443,QUOC_GIA!$B:$B,0)),INDEX(QUOC_GIA!$A:$A,MATCH(AE443,QUOC_GIA!$B:$B,0)),"")</f>
        <v/>
      </c>
      <c r="AE443" s="16"/>
      <c r="AF443" s="48"/>
      <c r="AG443" s="59" t="str">
        <f>IFERROR(INDEX(TINH_TP!$B:$B,MATCH(AF443,TINH_TP!$A:$A,0)),"")</f>
        <v/>
      </c>
      <c r="AH443" s="50"/>
      <c r="AI443" s="59" t="str">
        <f>IF(OR(AF443="",AH443=""),"",IF(COUNTIFS(PHUONG_XA!$A$2:$A$3323,AH443,PHUONG_XA!$C$2:$C$3323,AF443)=0,"",INDEX(PHUONG_XA!$B$2:$B$3323,SUMPRODUCT((PHUONG_XA!$A$2:$A$3323&amp;""=AH443&amp;"")*(PHUONG_XA!$C$2:$C$3323&amp;""=AF443&amp;"")*(ROW(PHUONG_XA!$A$2:$A$3323)-ROW(PHUONG_XA!$A$2)+1)))))</f>
        <v/>
      </c>
      <c r="AJ443" s="14"/>
      <c r="AK443" s="14"/>
      <c r="AL443" s="57" t="str">
        <f t="shared" si="7"/>
        <v/>
      </c>
      <c r="AM443" s="14"/>
      <c r="AN443" s="15"/>
      <c r="AO443" s="15"/>
      <c r="AP443" s="48"/>
      <c r="AQ443" s="15"/>
      <c r="AR443" s="15"/>
      <c r="AS443" s="15"/>
      <c r="AT443" s="60" t="str">
        <f>IF(ISNUMBER(MATCH(AU443,LOAI_THE!$B:$B,0)),INDEX(LOAI_THE!$A:$A,MATCH(AU443,LOAI_THE!$B:$B,0)),"")</f>
        <v/>
      </c>
      <c r="AU443" s="48"/>
      <c r="AV443" s="15"/>
      <c r="AW443" s="15"/>
      <c r="AX443" s="15"/>
      <c r="AY443" s="48"/>
    </row>
    <row r="444" spans="1:51" x14ac:dyDescent="0.3">
      <c r="A444" s="13" t="s">
        <v>4439</v>
      </c>
      <c r="B444" s="48"/>
      <c r="C444" s="48"/>
      <c r="D444" s="48"/>
      <c r="E444" s="48"/>
      <c r="F444" s="48"/>
      <c r="G444" s="58" t="str">
        <f>IF(ISNUMBER(MATCH(H444,GIOI_TINH!$B:$B,0)),INDEX(GIOI_TINH!$A:$A,MATCH(H444,GIOI_TINH!$B:$B,0)),"")</f>
        <v/>
      </c>
      <c r="H444" s="15"/>
      <c r="I444" s="15"/>
      <c r="J444" s="58" t="str">
        <f>IF(ISNUMBER(MATCH(K444,QUOC_GIA!$B:$B,0)),INDEX(QUOC_GIA!$A:$A,MATCH(K444,QUOC_GIA!$B:$B,0)),"")</f>
        <v/>
      </c>
      <c r="K444" s="50"/>
      <c r="L444" s="15"/>
      <c r="M444" s="58" t="str">
        <f>IF(ISNUMBER(MATCH(N444,LOAI_THUE!$B:$B,0)),INDEX(LOAI_THUE!$A:$A,MATCH(N444,LOAI_THUE!$B:$B,0)),"")</f>
        <v/>
      </c>
      <c r="N444" s="50"/>
      <c r="O444" s="58" t="str">
        <f>IF(ISNUMBER(MATCH(P444,CHI_TIET_LOAI_KH!$B:$B,0)),INDEX(CHI_TIET_LOAI_KH!$A:$A,MATCH(P444,CHI_TIET_LOAI_KH!$B:$B,0)),"")</f>
        <v/>
      </c>
      <c r="P444" s="50"/>
      <c r="Q444" s="58" t="str">
        <f>IF(ISNUMBER(MATCH(R444,NGHE_NGHIEP!$B:$B,0)),INDEX(NGHE_NGHIEP!$A:$A,MATCH(R444,NGHE_NGHIEP!$B:$B,0)),"")</f>
        <v/>
      </c>
      <c r="R444" s="50"/>
      <c r="S444" s="58" t="str">
        <f>IF(ISNUMBER(MATCH(T444,LOAI_ID!$B:$B,0)),INDEX(LOAI_ID!$A:$A,MATCH(T444,LOAI_ID!$B:$B,0)),"")</f>
        <v/>
      </c>
      <c r="T444" s="16"/>
      <c r="U444" s="48"/>
      <c r="V444" s="48"/>
      <c r="W444" s="17"/>
      <c r="X444" s="17"/>
      <c r="Y444" s="15"/>
      <c r="Z444" s="15"/>
      <c r="AA444" s="59" t="str">
        <f>IFERROR(INDEX(NOI_CAP!$B:$B,MATCH(Z444,NOI_CAP!$A:$A,0)),"")</f>
        <v/>
      </c>
      <c r="AB444" s="58" t="str">
        <f>IF(ISNUMBER(MATCH(AC444,LOAI_DIA_CHI!$B:$B,0)),INDEX(LOAI_DIA_CHI!$A:$A,MATCH(AC444,LOAI_DIA_CHI!$B:$B,0)),"")</f>
        <v/>
      </c>
      <c r="AC444" s="16"/>
      <c r="AD444" s="58" t="str">
        <f>IF(ISNUMBER(MATCH(AE444,QUOC_GIA!$B:$B,0)),INDEX(QUOC_GIA!$A:$A,MATCH(AE444,QUOC_GIA!$B:$B,0)),"")</f>
        <v/>
      </c>
      <c r="AE444" s="16"/>
      <c r="AF444" s="48"/>
      <c r="AG444" s="59" t="str">
        <f>IFERROR(INDEX(TINH_TP!$B:$B,MATCH(AF444,TINH_TP!$A:$A,0)),"")</f>
        <v/>
      </c>
      <c r="AH444" s="50"/>
      <c r="AI444" s="59" t="str">
        <f>IF(OR(AF444="",AH444=""),"",IF(COUNTIFS(PHUONG_XA!$A$2:$A$3323,AH444,PHUONG_XA!$C$2:$C$3323,AF444)=0,"",INDEX(PHUONG_XA!$B$2:$B$3323,SUMPRODUCT((PHUONG_XA!$A$2:$A$3323&amp;""=AH444&amp;"")*(PHUONG_XA!$C$2:$C$3323&amp;""=AF444&amp;"")*(ROW(PHUONG_XA!$A$2:$A$3323)-ROW(PHUONG_XA!$A$2)+1)))))</f>
        <v/>
      </c>
      <c r="AJ444" s="14"/>
      <c r="AK444" s="14"/>
      <c r="AL444" s="57" t="str">
        <f t="shared" si="7"/>
        <v/>
      </c>
      <c r="AM444" s="14"/>
      <c r="AN444" s="15"/>
      <c r="AO444" s="15"/>
      <c r="AP444" s="48"/>
      <c r="AQ444" s="15"/>
      <c r="AR444" s="15"/>
      <c r="AS444" s="15"/>
      <c r="AT444" s="60" t="str">
        <f>IF(ISNUMBER(MATCH(AU444,LOAI_THE!$B:$B,0)),INDEX(LOAI_THE!$A:$A,MATCH(AU444,LOAI_THE!$B:$B,0)),"")</f>
        <v/>
      </c>
      <c r="AU444" s="48"/>
      <c r="AV444" s="15"/>
      <c r="AW444" s="15"/>
      <c r="AX444" s="15"/>
      <c r="AY444" s="48"/>
    </row>
    <row r="445" spans="1:51" x14ac:dyDescent="0.3">
      <c r="A445" s="13" t="s">
        <v>4440</v>
      </c>
      <c r="B445" s="48"/>
      <c r="C445" s="48"/>
      <c r="D445" s="48"/>
      <c r="E445" s="48"/>
      <c r="F445" s="48"/>
      <c r="G445" s="58" t="str">
        <f>IF(ISNUMBER(MATCH(H445,GIOI_TINH!$B:$B,0)),INDEX(GIOI_TINH!$A:$A,MATCH(H445,GIOI_TINH!$B:$B,0)),"")</f>
        <v/>
      </c>
      <c r="H445" s="15"/>
      <c r="I445" s="15"/>
      <c r="J445" s="58" t="str">
        <f>IF(ISNUMBER(MATCH(K445,QUOC_GIA!$B:$B,0)),INDEX(QUOC_GIA!$A:$A,MATCH(K445,QUOC_GIA!$B:$B,0)),"")</f>
        <v/>
      </c>
      <c r="K445" s="50"/>
      <c r="L445" s="15"/>
      <c r="M445" s="58" t="str">
        <f>IF(ISNUMBER(MATCH(N445,LOAI_THUE!$B:$B,0)),INDEX(LOAI_THUE!$A:$A,MATCH(N445,LOAI_THUE!$B:$B,0)),"")</f>
        <v/>
      </c>
      <c r="N445" s="50"/>
      <c r="O445" s="58" t="str">
        <f>IF(ISNUMBER(MATCH(P445,CHI_TIET_LOAI_KH!$B:$B,0)),INDEX(CHI_TIET_LOAI_KH!$A:$A,MATCH(P445,CHI_TIET_LOAI_KH!$B:$B,0)),"")</f>
        <v/>
      </c>
      <c r="P445" s="50"/>
      <c r="Q445" s="58" t="str">
        <f>IF(ISNUMBER(MATCH(R445,NGHE_NGHIEP!$B:$B,0)),INDEX(NGHE_NGHIEP!$A:$A,MATCH(R445,NGHE_NGHIEP!$B:$B,0)),"")</f>
        <v/>
      </c>
      <c r="R445" s="50"/>
      <c r="S445" s="58" t="str">
        <f>IF(ISNUMBER(MATCH(T445,LOAI_ID!$B:$B,0)),INDEX(LOAI_ID!$A:$A,MATCH(T445,LOAI_ID!$B:$B,0)),"")</f>
        <v/>
      </c>
      <c r="T445" s="16"/>
      <c r="U445" s="48"/>
      <c r="V445" s="48"/>
      <c r="W445" s="17"/>
      <c r="X445" s="17"/>
      <c r="Y445" s="15"/>
      <c r="Z445" s="15"/>
      <c r="AA445" s="59" t="str">
        <f>IFERROR(INDEX(NOI_CAP!$B:$B,MATCH(Z445,NOI_CAP!$A:$A,0)),"")</f>
        <v/>
      </c>
      <c r="AB445" s="58" t="str">
        <f>IF(ISNUMBER(MATCH(AC445,LOAI_DIA_CHI!$B:$B,0)),INDEX(LOAI_DIA_CHI!$A:$A,MATCH(AC445,LOAI_DIA_CHI!$B:$B,0)),"")</f>
        <v/>
      </c>
      <c r="AC445" s="16"/>
      <c r="AD445" s="58" t="str">
        <f>IF(ISNUMBER(MATCH(AE445,QUOC_GIA!$B:$B,0)),INDEX(QUOC_GIA!$A:$A,MATCH(AE445,QUOC_GIA!$B:$B,0)),"")</f>
        <v/>
      </c>
      <c r="AE445" s="16"/>
      <c r="AF445" s="48"/>
      <c r="AG445" s="59" t="str">
        <f>IFERROR(INDEX(TINH_TP!$B:$B,MATCH(AF445,TINH_TP!$A:$A,0)),"")</f>
        <v/>
      </c>
      <c r="AH445" s="50"/>
      <c r="AI445" s="59" t="str">
        <f>IF(OR(AF445="",AH445=""),"",IF(COUNTIFS(PHUONG_XA!$A$2:$A$3323,AH445,PHUONG_XA!$C$2:$C$3323,AF445)=0,"",INDEX(PHUONG_XA!$B$2:$B$3323,SUMPRODUCT((PHUONG_XA!$A$2:$A$3323&amp;""=AH445&amp;"")*(PHUONG_XA!$C$2:$C$3323&amp;""=AF445&amp;"")*(ROW(PHUONG_XA!$A$2:$A$3323)-ROW(PHUONG_XA!$A$2)+1)))))</f>
        <v/>
      </c>
      <c r="AJ445" s="14"/>
      <c r="AK445" s="14"/>
      <c r="AL445" s="57" t="str">
        <f t="shared" si="7"/>
        <v/>
      </c>
      <c r="AM445" s="14"/>
      <c r="AN445" s="15"/>
      <c r="AO445" s="15"/>
      <c r="AP445" s="48"/>
      <c r="AQ445" s="15"/>
      <c r="AR445" s="15"/>
      <c r="AS445" s="15"/>
      <c r="AT445" s="60" t="str">
        <f>IF(ISNUMBER(MATCH(AU445,LOAI_THE!$B:$B,0)),INDEX(LOAI_THE!$A:$A,MATCH(AU445,LOAI_THE!$B:$B,0)),"")</f>
        <v/>
      </c>
      <c r="AU445" s="48"/>
      <c r="AV445" s="15"/>
      <c r="AW445" s="15"/>
      <c r="AX445" s="15"/>
      <c r="AY445" s="48"/>
    </row>
    <row r="446" spans="1:51" x14ac:dyDescent="0.3">
      <c r="A446" s="13" t="s">
        <v>4441</v>
      </c>
      <c r="B446" s="48"/>
      <c r="C446" s="48"/>
      <c r="D446" s="48"/>
      <c r="E446" s="48"/>
      <c r="F446" s="48"/>
      <c r="G446" s="58" t="str">
        <f>IF(ISNUMBER(MATCH(H446,GIOI_TINH!$B:$B,0)),INDEX(GIOI_TINH!$A:$A,MATCH(H446,GIOI_TINH!$B:$B,0)),"")</f>
        <v/>
      </c>
      <c r="H446" s="15"/>
      <c r="I446" s="15"/>
      <c r="J446" s="58" t="str">
        <f>IF(ISNUMBER(MATCH(K446,QUOC_GIA!$B:$B,0)),INDEX(QUOC_GIA!$A:$A,MATCH(K446,QUOC_GIA!$B:$B,0)),"")</f>
        <v/>
      </c>
      <c r="K446" s="50"/>
      <c r="L446" s="15"/>
      <c r="M446" s="58" t="str">
        <f>IF(ISNUMBER(MATCH(N446,LOAI_THUE!$B:$B,0)),INDEX(LOAI_THUE!$A:$A,MATCH(N446,LOAI_THUE!$B:$B,0)),"")</f>
        <v/>
      </c>
      <c r="N446" s="50"/>
      <c r="O446" s="58" t="str">
        <f>IF(ISNUMBER(MATCH(P446,CHI_TIET_LOAI_KH!$B:$B,0)),INDEX(CHI_TIET_LOAI_KH!$A:$A,MATCH(P446,CHI_TIET_LOAI_KH!$B:$B,0)),"")</f>
        <v/>
      </c>
      <c r="P446" s="50"/>
      <c r="Q446" s="58" t="str">
        <f>IF(ISNUMBER(MATCH(R446,NGHE_NGHIEP!$B:$B,0)),INDEX(NGHE_NGHIEP!$A:$A,MATCH(R446,NGHE_NGHIEP!$B:$B,0)),"")</f>
        <v/>
      </c>
      <c r="R446" s="50"/>
      <c r="S446" s="58" t="str">
        <f>IF(ISNUMBER(MATCH(T446,LOAI_ID!$B:$B,0)),INDEX(LOAI_ID!$A:$A,MATCH(T446,LOAI_ID!$B:$B,0)),"")</f>
        <v/>
      </c>
      <c r="T446" s="16"/>
      <c r="U446" s="48"/>
      <c r="V446" s="48"/>
      <c r="W446" s="17"/>
      <c r="X446" s="17"/>
      <c r="Y446" s="15"/>
      <c r="Z446" s="15"/>
      <c r="AA446" s="59" t="str">
        <f>IFERROR(INDEX(NOI_CAP!$B:$B,MATCH(Z446,NOI_CAP!$A:$A,0)),"")</f>
        <v/>
      </c>
      <c r="AB446" s="58" t="str">
        <f>IF(ISNUMBER(MATCH(AC446,LOAI_DIA_CHI!$B:$B,0)),INDEX(LOAI_DIA_CHI!$A:$A,MATCH(AC446,LOAI_DIA_CHI!$B:$B,0)),"")</f>
        <v/>
      </c>
      <c r="AC446" s="16"/>
      <c r="AD446" s="58" t="str">
        <f>IF(ISNUMBER(MATCH(AE446,QUOC_GIA!$B:$B,0)),INDEX(QUOC_GIA!$A:$A,MATCH(AE446,QUOC_GIA!$B:$B,0)),"")</f>
        <v/>
      </c>
      <c r="AE446" s="16"/>
      <c r="AF446" s="48"/>
      <c r="AG446" s="59" t="str">
        <f>IFERROR(INDEX(TINH_TP!$B:$B,MATCH(AF446,TINH_TP!$A:$A,0)),"")</f>
        <v/>
      </c>
      <c r="AH446" s="50"/>
      <c r="AI446" s="59" t="str">
        <f>IF(OR(AF446="",AH446=""),"",IF(COUNTIFS(PHUONG_XA!$A$2:$A$3323,AH446,PHUONG_XA!$C$2:$C$3323,AF446)=0,"",INDEX(PHUONG_XA!$B$2:$B$3323,SUMPRODUCT((PHUONG_XA!$A$2:$A$3323&amp;""=AH446&amp;"")*(PHUONG_XA!$C$2:$C$3323&amp;""=AF446&amp;"")*(ROW(PHUONG_XA!$A$2:$A$3323)-ROW(PHUONG_XA!$A$2)+1)))))</f>
        <v/>
      </c>
      <c r="AJ446" s="14"/>
      <c r="AK446" s="14"/>
      <c r="AL446" s="57" t="str">
        <f t="shared" si="7"/>
        <v/>
      </c>
      <c r="AM446" s="14"/>
      <c r="AN446" s="15"/>
      <c r="AO446" s="15"/>
      <c r="AP446" s="48"/>
      <c r="AQ446" s="15"/>
      <c r="AR446" s="15"/>
      <c r="AS446" s="15"/>
      <c r="AT446" s="60" t="str">
        <f>IF(ISNUMBER(MATCH(AU446,LOAI_THE!$B:$B,0)),INDEX(LOAI_THE!$A:$A,MATCH(AU446,LOAI_THE!$B:$B,0)),"")</f>
        <v/>
      </c>
      <c r="AU446" s="48"/>
      <c r="AV446" s="15"/>
      <c r="AW446" s="15"/>
      <c r="AX446" s="15"/>
      <c r="AY446" s="48"/>
    </row>
    <row r="447" spans="1:51" x14ac:dyDescent="0.3">
      <c r="A447" s="13" t="s">
        <v>4442</v>
      </c>
      <c r="B447" s="48"/>
      <c r="C447" s="48"/>
      <c r="D447" s="48"/>
      <c r="E447" s="48"/>
      <c r="F447" s="48"/>
      <c r="G447" s="58" t="str">
        <f>IF(ISNUMBER(MATCH(H447,GIOI_TINH!$B:$B,0)),INDEX(GIOI_TINH!$A:$A,MATCH(H447,GIOI_TINH!$B:$B,0)),"")</f>
        <v/>
      </c>
      <c r="H447" s="15"/>
      <c r="I447" s="15"/>
      <c r="J447" s="58" t="str">
        <f>IF(ISNUMBER(MATCH(K447,QUOC_GIA!$B:$B,0)),INDEX(QUOC_GIA!$A:$A,MATCH(K447,QUOC_GIA!$B:$B,0)),"")</f>
        <v/>
      </c>
      <c r="K447" s="50"/>
      <c r="L447" s="15"/>
      <c r="M447" s="58" t="str">
        <f>IF(ISNUMBER(MATCH(N447,LOAI_THUE!$B:$B,0)),INDEX(LOAI_THUE!$A:$A,MATCH(N447,LOAI_THUE!$B:$B,0)),"")</f>
        <v/>
      </c>
      <c r="N447" s="50"/>
      <c r="O447" s="58" t="str">
        <f>IF(ISNUMBER(MATCH(P447,CHI_TIET_LOAI_KH!$B:$B,0)),INDEX(CHI_TIET_LOAI_KH!$A:$A,MATCH(P447,CHI_TIET_LOAI_KH!$B:$B,0)),"")</f>
        <v/>
      </c>
      <c r="P447" s="50"/>
      <c r="Q447" s="58" t="str">
        <f>IF(ISNUMBER(MATCH(R447,NGHE_NGHIEP!$B:$B,0)),INDEX(NGHE_NGHIEP!$A:$A,MATCH(R447,NGHE_NGHIEP!$B:$B,0)),"")</f>
        <v/>
      </c>
      <c r="R447" s="50"/>
      <c r="S447" s="58" t="str">
        <f>IF(ISNUMBER(MATCH(T447,LOAI_ID!$B:$B,0)),INDEX(LOAI_ID!$A:$A,MATCH(T447,LOAI_ID!$B:$B,0)),"")</f>
        <v/>
      </c>
      <c r="T447" s="16"/>
      <c r="U447" s="48"/>
      <c r="V447" s="48"/>
      <c r="W447" s="17"/>
      <c r="X447" s="17"/>
      <c r="Y447" s="15"/>
      <c r="Z447" s="15"/>
      <c r="AA447" s="59" t="str">
        <f>IFERROR(INDEX(NOI_CAP!$B:$B,MATCH(Z447,NOI_CAP!$A:$A,0)),"")</f>
        <v/>
      </c>
      <c r="AB447" s="58" t="str">
        <f>IF(ISNUMBER(MATCH(AC447,LOAI_DIA_CHI!$B:$B,0)),INDEX(LOAI_DIA_CHI!$A:$A,MATCH(AC447,LOAI_DIA_CHI!$B:$B,0)),"")</f>
        <v/>
      </c>
      <c r="AC447" s="16"/>
      <c r="AD447" s="58" t="str">
        <f>IF(ISNUMBER(MATCH(AE447,QUOC_GIA!$B:$B,0)),INDEX(QUOC_GIA!$A:$A,MATCH(AE447,QUOC_GIA!$B:$B,0)),"")</f>
        <v/>
      </c>
      <c r="AE447" s="16"/>
      <c r="AF447" s="48"/>
      <c r="AG447" s="59" t="str">
        <f>IFERROR(INDEX(TINH_TP!$B:$B,MATCH(AF447,TINH_TP!$A:$A,0)),"")</f>
        <v/>
      </c>
      <c r="AH447" s="50"/>
      <c r="AI447" s="59" t="str">
        <f>IF(OR(AF447="",AH447=""),"",IF(COUNTIFS(PHUONG_XA!$A$2:$A$3323,AH447,PHUONG_XA!$C$2:$C$3323,AF447)=0,"",INDEX(PHUONG_XA!$B$2:$B$3323,SUMPRODUCT((PHUONG_XA!$A$2:$A$3323&amp;""=AH447&amp;"")*(PHUONG_XA!$C$2:$C$3323&amp;""=AF447&amp;"")*(ROW(PHUONG_XA!$A$2:$A$3323)-ROW(PHUONG_XA!$A$2)+1)))))</f>
        <v/>
      </c>
      <c r="AJ447" s="14"/>
      <c r="AK447" s="14"/>
      <c r="AL447" s="57" t="str">
        <f t="shared" si="7"/>
        <v/>
      </c>
      <c r="AM447" s="14"/>
      <c r="AN447" s="15"/>
      <c r="AO447" s="15"/>
      <c r="AP447" s="48"/>
      <c r="AQ447" s="15"/>
      <c r="AR447" s="15"/>
      <c r="AS447" s="15"/>
      <c r="AT447" s="60" t="str">
        <f>IF(ISNUMBER(MATCH(AU447,LOAI_THE!$B:$B,0)),INDEX(LOAI_THE!$A:$A,MATCH(AU447,LOAI_THE!$B:$B,0)),"")</f>
        <v/>
      </c>
      <c r="AU447" s="48"/>
      <c r="AV447" s="15"/>
      <c r="AW447" s="15"/>
      <c r="AX447" s="15"/>
      <c r="AY447" s="48"/>
    </row>
    <row r="448" spans="1:51" x14ac:dyDescent="0.3">
      <c r="A448" s="13" t="s">
        <v>4443</v>
      </c>
      <c r="B448" s="48"/>
      <c r="C448" s="48"/>
      <c r="D448" s="48"/>
      <c r="E448" s="48"/>
      <c r="F448" s="48"/>
      <c r="G448" s="58" t="str">
        <f>IF(ISNUMBER(MATCH(H448,GIOI_TINH!$B:$B,0)),INDEX(GIOI_TINH!$A:$A,MATCH(H448,GIOI_TINH!$B:$B,0)),"")</f>
        <v/>
      </c>
      <c r="H448" s="15"/>
      <c r="I448" s="15"/>
      <c r="J448" s="58" t="str">
        <f>IF(ISNUMBER(MATCH(K448,QUOC_GIA!$B:$B,0)),INDEX(QUOC_GIA!$A:$A,MATCH(K448,QUOC_GIA!$B:$B,0)),"")</f>
        <v/>
      </c>
      <c r="K448" s="50"/>
      <c r="L448" s="15"/>
      <c r="M448" s="58" t="str">
        <f>IF(ISNUMBER(MATCH(N448,LOAI_THUE!$B:$B,0)),INDEX(LOAI_THUE!$A:$A,MATCH(N448,LOAI_THUE!$B:$B,0)),"")</f>
        <v/>
      </c>
      <c r="N448" s="50"/>
      <c r="O448" s="58" t="str">
        <f>IF(ISNUMBER(MATCH(P448,CHI_TIET_LOAI_KH!$B:$B,0)),INDEX(CHI_TIET_LOAI_KH!$A:$A,MATCH(P448,CHI_TIET_LOAI_KH!$B:$B,0)),"")</f>
        <v/>
      </c>
      <c r="P448" s="50"/>
      <c r="Q448" s="58" t="str">
        <f>IF(ISNUMBER(MATCH(R448,NGHE_NGHIEP!$B:$B,0)),INDEX(NGHE_NGHIEP!$A:$A,MATCH(R448,NGHE_NGHIEP!$B:$B,0)),"")</f>
        <v/>
      </c>
      <c r="R448" s="50"/>
      <c r="S448" s="58" t="str">
        <f>IF(ISNUMBER(MATCH(T448,LOAI_ID!$B:$B,0)),INDEX(LOAI_ID!$A:$A,MATCH(T448,LOAI_ID!$B:$B,0)),"")</f>
        <v/>
      </c>
      <c r="T448" s="16"/>
      <c r="U448" s="48"/>
      <c r="V448" s="48"/>
      <c r="W448" s="17"/>
      <c r="X448" s="17"/>
      <c r="Y448" s="15"/>
      <c r="Z448" s="15"/>
      <c r="AA448" s="59" t="str">
        <f>IFERROR(INDEX(NOI_CAP!$B:$B,MATCH(Z448,NOI_CAP!$A:$A,0)),"")</f>
        <v/>
      </c>
      <c r="AB448" s="58" t="str">
        <f>IF(ISNUMBER(MATCH(AC448,LOAI_DIA_CHI!$B:$B,0)),INDEX(LOAI_DIA_CHI!$A:$A,MATCH(AC448,LOAI_DIA_CHI!$B:$B,0)),"")</f>
        <v/>
      </c>
      <c r="AC448" s="16"/>
      <c r="AD448" s="58" t="str">
        <f>IF(ISNUMBER(MATCH(AE448,QUOC_GIA!$B:$B,0)),INDEX(QUOC_GIA!$A:$A,MATCH(AE448,QUOC_GIA!$B:$B,0)),"")</f>
        <v/>
      </c>
      <c r="AE448" s="16"/>
      <c r="AF448" s="48"/>
      <c r="AG448" s="59" t="str">
        <f>IFERROR(INDEX(TINH_TP!$B:$B,MATCH(AF448,TINH_TP!$A:$A,0)),"")</f>
        <v/>
      </c>
      <c r="AH448" s="50"/>
      <c r="AI448" s="59" t="str">
        <f>IF(OR(AF448="",AH448=""),"",IF(COUNTIFS(PHUONG_XA!$A$2:$A$3323,AH448,PHUONG_XA!$C$2:$C$3323,AF448)=0,"",INDEX(PHUONG_XA!$B$2:$B$3323,SUMPRODUCT((PHUONG_XA!$A$2:$A$3323&amp;""=AH448&amp;"")*(PHUONG_XA!$C$2:$C$3323&amp;""=AF448&amp;"")*(ROW(PHUONG_XA!$A$2:$A$3323)-ROW(PHUONG_XA!$A$2)+1)))))</f>
        <v/>
      </c>
      <c r="AJ448" s="14"/>
      <c r="AK448" s="14"/>
      <c r="AL448" s="57" t="str">
        <f t="shared" si="7"/>
        <v/>
      </c>
      <c r="AM448" s="14"/>
      <c r="AN448" s="15"/>
      <c r="AO448" s="15"/>
      <c r="AP448" s="48"/>
      <c r="AQ448" s="15"/>
      <c r="AR448" s="15"/>
      <c r="AS448" s="15"/>
      <c r="AT448" s="60" t="str">
        <f>IF(ISNUMBER(MATCH(AU448,LOAI_THE!$B:$B,0)),INDEX(LOAI_THE!$A:$A,MATCH(AU448,LOAI_THE!$B:$B,0)),"")</f>
        <v/>
      </c>
      <c r="AU448" s="48"/>
      <c r="AV448" s="15"/>
      <c r="AW448" s="15"/>
      <c r="AX448" s="15"/>
      <c r="AY448" s="48"/>
    </row>
    <row r="449" spans="1:51" x14ac:dyDescent="0.3">
      <c r="A449" s="13" t="s">
        <v>4444</v>
      </c>
      <c r="B449" s="48"/>
      <c r="C449" s="48"/>
      <c r="D449" s="48"/>
      <c r="E449" s="48"/>
      <c r="F449" s="48"/>
      <c r="G449" s="58" t="str">
        <f>IF(ISNUMBER(MATCH(H449,GIOI_TINH!$B:$B,0)),INDEX(GIOI_TINH!$A:$A,MATCH(H449,GIOI_TINH!$B:$B,0)),"")</f>
        <v/>
      </c>
      <c r="H449" s="15"/>
      <c r="I449" s="15"/>
      <c r="J449" s="58" t="str">
        <f>IF(ISNUMBER(MATCH(K449,QUOC_GIA!$B:$B,0)),INDEX(QUOC_GIA!$A:$A,MATCH(K449,QUOC_GIA!$B:$B,0)),"")</f>
        <v/>
      </c>
      <c r="K449" s="50"/>
      <c r="L449" s="15"/>
      <c r="M449" s="58" t="str">
        <f>IF(ISNUMBER(MATCH(N449,LOAI_THUE!$B:$B,0)),INDEX(LOAI_THUE!$A:$A,MATCH(N449,LOAI_THUE!$B:$B,0)),"")</f>
        <v/>
      </c>
      <c r="N449" s="50"/>
      <c r="O449" s="58" t="str">
        <f>IF(ISNUMBER(MATCH(P449,CHI_TIET_LOAI_KH!$B:$B,0)),INDEX(CHI_TIET_LOAI_KH!$A:$A,MATCH(P449,CHI_TIET_LOAI_KH!$B:$B,0)),"")</f>
        <v/>
      </c>
      <c r="P449" s="50"/>
      <c r="Q449" s="58" t="str">
        <f>IF(ISNUMBER(MATCH(R449,NGHE_NGHIEP!$B:$B,0)),INDEX(NGHE_NGHIEP!$A:$A,MATCH(R449,NGHE_NGHIEP!$B:$B,0)),"")</f>
        <v/>
      </c>
      <c r="R449" s="50"/>
      <c r="S449" s="58" t="str">
        <f>IF(ISNUMBER(MATCH(T449,LOAI_ID!$B:$B,0)),INDEX(LOAI_ID!$A:$A,MATCH(T449,LOAI_ID!$B:$B,0)),"")</f>
        <v/>
      </c>
      <c r="T449" s="16"/>
      <c r="U449" s="48"/>
      <c r="V449" s="48"/>
      <c r="W449" s="17"/>
      <c r="X449" s="17"/>
      <c r="Y449" s="15"/>
      <c r="Z449" s="15"/>
      <c r="AA449" s="59" t="str">
        <f>IFERROR(INDEX(NOI_CAP!$B:$B,MATCH(Z449,NOI_CAP!$A:$A,0)),"")</f>
        <v/>
      </c>
      <c r="AB449" s="58" t="str">
        <f>IF(ISNUMBER(MATCH(AC449,LOAI_DIA_CHI!$B:$B,0)),INDEX(LOAI_DIA_CHI!$A:$A,MATCH(AC449,LOAI_DIA_CHI!$B:$B,0)),"")</f>
        <v/>
      </c>
      <c r="AC449" s="16"/>
      <c r="AD449" s="58" t="str">
        <f>IF(ISNUMBER(MATCH(AE449,QUOC_GIA!$B:$B,0)),INDEX(QUOC_GIA!$A:$A,MATCH(AE449,QUOC_GIA!$B:$B,0)),"")</f>
        <v/>
      </c>
      <c r="AE449" s="16"/>
      <c r="AF449" s="48"/>
      <c r="AG449" s="59" t="str">
        <f>IFERROR(INDEX(TINH_TP!$B:$B,MATCH(AF449,TINH_TP!$A:$A,0)),"")</f>
        <v/>
      </c>
      <c r="AH449" s="50"/>
      <c r="AI449" s="59" t="str">
        <f>IF(OR(AF449="",AH449=""),"",IF(COUNTIFS(PHUONG_XA!$A$2:$A$3323,AH449,PHUONG_XA!$C$2:$C$3323,AF449)=0,"",INDEX(PHUONG_XA!$B$2:$B$3323,SUMPRODUCT((PHUONG_XA!$A$2:$A$3323&amp;""=AH449&amp;"")*(PHUONG_XA!$C$2:$C$3323&amp;""=AF449&amp;"")*(ROW(PHUONG_XA!$A$2:$A$3323)-ROW(PHUONG_XA!$A$2)+1)))))</f>
        <v/>
      </c>
      <c r="AJ449" s="14"/>
      <c r="AK449" s="14"/>
      <c r="AL449" s="57" t="str">
        <f t="shared" si="7"/>
        <v/>
      </c>
      <c r="AM449" s="14"/>
      <c r="AN449" s="15"/>
      <c r="AO449" s="15"/>
      <c r="AP449" s="48"/>
      <c r="AQ449" s="15"/>
      <c r="AR449" s="15"/>
      <c r="AS449" s="15"/>
      <c r="AT449" s="60" t="str">
        <f>IF(ISNUMBER(MATCH(AU449,LOAI_THE!$B:$B,0)),INDEX(LOAI_THE!$A:$A,MATCH(AU449,LOAI_THE!$B:$B,0)),"")</f>
        <v/>
      </c>
      <c r="AU449" s="48"/>
      <c r="AV449" s="15"/>
      <c r="AW449" s="15"/>
      <c r="AX449" s="15"/>
      <c r="AY449" s="48"/>
    </row>
    <row r="450" spans="1:51" x14ac:dyDescent="0.3">
      <c r="A450" s="13" t="s">
        <v>4445</v>
      </c>
      <c r="B450" s="48"/>
      <c r="C450" s="48"/>
      <c r="D450" s="48"/>
      <c r="E450" s="48"/>
      <c r="F450" s="48"/>
      <c r="G450" s="58" t="str">
        <f>IF(ISNUMBER(MATCH(H450,GIOI_TINH!$B:$B,0)),INDEX(GIOI_TINH!$A:$A,MATCH(H450,GIOI_TINH!$B:$B,0)),"")</f>
        <v/>
      </c>
      <c r="H450" s="15"/>
      <c r="I450" s="15"/>
      <c r="J450" s="58" t="str">
        <f>IF(ISNUMBER(MATCH(K450,QUOC_GIA!$B:$B,0)),INDEX(QUOC_GIA!$A:$A,MATCH(K450,QUOC_GIA!$B:$B,0)),"")</f>
        <v/>
      </c>
      <c r="K450" s="50"/>
      <c r="L450" s="15"/>
      <c r="M450" s="58" t="str">
        <f>IF(ISNUMBER(MATCH(N450,LOAI_THUE!$B:$B,0)),INDEX(LOAI_THUE!$A:$A,MATCH(N450,LOAI_THUE!$B:$B,0)),"")</f>
        <v/>
      </c>
      <c r="N450" s="50"/>
      <c r="O450" s="58" t="str">
        <f>IF(ISNUMBER(MATCH(P450,CHI_TIET_LOAI_KH!$B:$B,0)),INDEX(CHI_TIET_LOAI_KH!$A:$A,MATCH(P450,CHI_TIET_LOAI_KH!$B:$B,0)),"")</f>
        <v/>
      </c>
      <c r="P450" s="50"/>
      <c r="Q450" s="58" t="str">
        <f>IF(ISNUMBER(MATCH(R450,NGHE_NGHIEP!$B:$B,0)),INDEX(NGHE_NGHIEP!$A:$A,MATCH(R450,NGHE_NGHIEP!$B:$B,0)),"")</f>
        <v/>
      </c>
      <c r="R450" s="50"/>
      <c r="S450" s="58" t="str">
        <f>IF(ISNUMBER(MATCH(T450,LOAI_ID!$B:$B,0)),INDEX(LOAI_ID!$A:$A,MATCH(T450,LOAI_ID!$B:$B,0)),"")</f>
        <v/>
      </c>
      <c r="T450" s="16"/>
      <c r="U450" s="48"/>
      <c r="V450" s="48"/>
      <c r="W450" s="17"/>
      <c r="X450" s="17"/>
      <c r="Y450" s="15"/>
      <c r="Z450" s="15"/>
      <c r="AA450" s="59" t="str">
        <f>IFERROR(INDEX(NOI_CAP!$B:$B,MATCH(Z450,NOI_CAP!$A:$A,0)),"")</f>
        <v/>
      </c>
      <c r="AB450" s="58" t="str">
        <f>IF(ISNUMBER(MATCH(AC450,LOAI_DIA_CHI!$B:$B,0)),INDEX(LOAI_DIA_CHI!$A:$A,MATCH(AC450,LOAI_DIA_CHI!$B:$B,0)),"")</f>
        <v/>
      </c>
      <c r="AC450" s="16"/>
      <c r="AD450" s="58" t="str">
        <f>IF(ISNUMBER(MATCH(AE450,QUOC_GIA!$B:$B,0)),INDEX(QUOC_GIA!$A:$A,MATCH(AE450,QUOC_GIA!$B:$B,0)),"")</f>
        <v/>
      </c>
      <c r="AE450" s="16"/>
      <c r="AF450" s="48"/>
      <c r="AG450" s="59" t="str">
        <f>IFERROR(INDEX(TINH_TP!$B:$B,MATCH(AF450,TINH_TP!$A:$A,0)),"")</f>
        <v/>
      </c>
      <c r="AH450" s="50"/>
      <c r="AI450" s="59" t="str">
        <f>IF(OR(AF450="",AH450=""),"",IF(COUNTIFS(PHUONG_XA!$A$2:$A$3323,AH450,PHUONG_XA!$C$2:$C$3323,AF450)=0,"",INDEX(PHUONG_XA!$B$2:$B$3323,SUMPRODUCT((PHUONG_XA!$A$2:$A$3323&amp;""=AH450&amp;"")*(PHUONG_XA!$C$2:$C$3323&amp;""=AF450&amp;"")*(ROW(PHUONG_XA!$A$2:$A$3323)-ROW(PHUONG_XA!$A$2)+1)))))</f>
        <v/>
      </c>
      <c r="AJ450" s="14"/>
      <c r="AK450" s="14"/>
      <c r="AL450" s="57" t="str">
        <f t="shared" si="7"/>
        <v/>
      </c>
      <c r="AM450" s="14"/>
      <c r="AN450" s="15"/>
      <c r="AO450" s="15"/>
      <c r="AP450" s="48"/>
      <c r="AQ450" s="15"/>
      <c r="AR450" s="15"/>
      <c r="AS450" s="15"/>
      <c r="AT450" s="60" t="str">
        <f>IF(ISNUMBER(MATCH(AU450,LOAI_THE!$B:$B,0)),INDEX(LOAI_THE!$A:$A,MATCH(AU450,LOAI_THE!$B:$B,0)),"")</f>
        <v/>
      </c>
      <c r="AU450" s="48"/>
      <c r="AV450" s="15"/>
      <c r="AW450" s="15"/>
      <c r="AX450" s="15"/>
      <c r="AY450" s="48"/>
    </row>
    <row r="451" spans="1:51" x14ac:dyDescent="0.3">
      <c r="A451" s="13" t="s">
        <v>4446</v>
      </c>
      <c r="B451" s="48"/>
      <c r="C451" s="48"/>
      <c r="D451" s="48"/>
      <c r="E451" s="48"/>
      <c r="F451" s="48"/>
      <c r="G451" s="58" t="str">
        <f>IF(ISNUMBER(MATCH(H451,GIOI_TINH!$B:$B,0)),INDEX(GIOI_TINH!$A:$A,MATCH(H451,GIOI_TINH!$B:$B,0)),"")</f>
        <v/>
      </c>
      <c r="H451" s="15"/>
      <c r="I451" s="15"/>
      <c r="J451" s="58" t="str">
        <f>IF(ISNUMBER(MATCH(K451,QUOC_GIA!$B:$B,0)),INDEX(QUOC_GIA!$A:$A,MATCH(K451,QUOC_GIA!$B:$B,0)),"")</f>
        <v/>
      </c>
      <c r="K451" s="50"/>
      <c r="L451" s="15"/>
      <c r="M451" s="58" t="str">
        <f>IF(ISNUMBER(MATCH(N451,LOAI_THUE!$B:$B,0)),INDEX(LOAI_THUE!$A:$A,MATCH(N451,LOAI_THUE!$B:$B,0)),"")</f>
        <v/>
      </c>
      <c r="N451" s="50"/>
      <c r="O451" s="58" t="str">
        <f>IF(ISNUMBER(MATCH(P451,CHI_TIET_LOAI_KH!$B:$B,0)),INDEX(CHI_TIET_LOAI_KH!$A:$A,MATCH(P451,CHI_TIET_LOAI_KH!$B:$B,0)),"")</f>
        <v/>
      </c>
      <c r="P451" s="50"/>
      <c r="Q451" s="58" t="str">
        <f>IF(ISNUMBER(MATCH(R451,NGHE_NGHIEP!$B:$B,0)),INDEX(NGHE_NGHIEP!$A:$A,MATCH(R451,NGHE_NGHIEP!$B:$B,0)),"")</f>
        <v/>
      </c>
      <c r="R451" s="50"/>
      <c r="S451" s="58" t="str">
        <f>IF(ISNUMBER(MATCH(T451,LOAI_ID!$B:$B,0)),INDEX(LOAI_ID!$A:$A,MATCH(T451,LOAI_ID!$B:$B,0)),"")</f>
        <v/>
      </c>
      <c r="T451" s="16"/>
      <c r="U451" s="48"/>
      <c r="V451" s="48"/>
      <c r="W451" s="17"/>
      <c r="X451" s="17"/>
      <c r="Y451" s="15"/>
      <c r="Z451" s="15"/>
      <c r="AA451" s="59" t="str">
        <f>IFERROR(INDEX(NOI_CAP!$B:$B,MATCH(Z451,NOI_CAP!$A:$A,0)),"")</f>
        <v/>
      </c>
      <c r="AB451" s="58" t="str">
        <f>IF(ISNUMBER(MATCH(AC451,LOAI_DIA_CHI!$B:$B,0)),INDEX(LOAI_DIA_CHI!$A:$A,MATCH(AC451,LOAI_DIA_CHI!$B:$B,0)),"")</f>
        <v/>
      </c>
      <c r="AC451" s="16"/>
      <c r="AD451" s="58" t="str">
        <f>IF(ISNUMBER(MATCH(AE451,QUOC_GIA!$B:$B,0)),INDEX(QUOC_GIA!$A:$A,MATCH(AE451,QUOC_GIA!$B:$B,0)),"")</f>
        <v/>
      </c>
      <c r="AE451" s="16"/>
      <c r="AF451" s="48"/>
      <c r="AG451" s="59" t="str">
        <f>IFERROR(INDEX(TINH_TP!$B:$B,MATCH(AF451,TINH_TP!$A:$A,0)),"")</f>
        <v/>
      </c>
      <c r="AH451" s="50"/>
      <c r="AI451" s="59" t="str">
        <f>IF(OR(AF451="",AH451=""),"",IF(COUNTIFS(PHUONG_XA!$A$2:$A$3323,AH451,PHUONG_XA!$C$2:$C$3323,AF451)=0,"",INDEX(PHUONG_XA!$B$2:$B$3323,SUMPRODUCT((PHUONG_XA!$A$2:$A$3323&amp;""=AH451&amp;"")*(PHUONG_XA!$C$2:$C$3323&amp;""=AF451&amp;"")*(ROW(PHUONG_XA!$A$2:$A$3323)-ROW(PHUONG_XA!$A$2)+1)))))</f>
        <v/>
      </c>
      <c r="AJ451" s="14"/>
      <c r="AK451" s="14"/>
      <c r="AL451" s="57" t="str">
        <f t="shared" si="7"/>
        <v/>
      </c>
      <c r="AM451" s="14"/>
      <c r="AN451" s="15"/>
      <c r="AO451" s="15"/>
      <c r="AP451" s="48"/>
      <c r="AQ451" s="15"/>
      <c r="AR451" s="15"/>
      <c r="AS451" s="15"/>
      <c r="AT451" s="60" t="str">
        <f>IF(ISNUMBER(MATCH(AU451,LOAI_THE!$B:$B,0)),INDEX(LOAI_THE!$A:$A,MATCH(AU451,LOAI_THE!$B:$B,0)),"")</f>
        <v/>
      </c>
      <c r="AU451" s="48"/>
      <c r="AV451" s="15"/>
      <c r="AW451" s="15"/>
      <c r="AX451" s="15"/>
      <c r="AY451" s="48"/>
    </row>
    <row r="452" spans="1:51" x14ac:dyDescent="0.3">
      <c r="A452" s="13" t="s">
        <v>4447</v>
      </c>
      <c r="B452" s="48"/>
      <c r="C452" s="48"/>
      <c r="D452" s="48"/>
      <c r="E452" s="48"/>
      <c r="F452" s="48"/>
      <c r="G452" s="58" t="str">
        <f>IF(ISNUMBER(MATCH(H452,GIOI_TINH!$B:$B,0)),INDEX(GIOI_TINH!$A:$A,MATCH(H452,GIOI_TINH!$B:$B,0)),"")</f>
        <v/>
      </c>
      <c r="H452" s="15"/>
      <c r="I452" s="15"/>
      <c r="J452" s="58" t="str">
        <f>IF(ISNUMBER(MATCH(K452,QUOC_GIA!$B:$B,0)),INDEX(QUOC_GIA!$A:$A,MATCH(K452,QUOC_GIA!$B:$B,0)),"")</f>
        <v/>
      </c>
      <c r="K452" s="50"/>
      <c r="L452" s="15"/>
      <c r="M452" s="58" t="str">
        <f>IF(ISNUMBER(MATCH(N452,LOAI_THUE!$B:$B,0)),INDEX(LOAI_THUE!$A:$A,MATCH(N452,LOAI_THUE!$B:$B,0)),"")</f>
        <v/>
      </c>
      <c r="N452" s="50"/>
      <c r="O452" s="58" t="str">
        <f>IF(ISNUMBER(MATCH(P452,CHI_TIET_LOAI_KH!$B:$B,0)),INDEX(CHI_TIET_LOAI_KH!$A:$A,MATCH(P452,CHI_TIET_LOAI_KH!$B:$B,0)),"")</f>
        <v/>
      </c>
      <c r="P452" s="50"/>
      <c r="Q452" s="58" t="str">
        <f>IF(ISNUMBER(MATCH(R452,NGHE_NGHIEP!$B:$B,0)),INDEX(NGHE_NGHIEP!$A:$A,MATCH(R452,NGHE_NGHIEP!$B:$B,0)),"")</f>
        <v/>
      </c>
      <c r="R452" s="50"/>
      <c r="S452" s="58" t="str">
        <f>IF(ISNUMBER(MATCH(T452,LOAI_ID!$B:$B,0)),INDEX(LOAI_ID!$A:$A,MATCH(T452,LOAI_ID!$B:$B,0)),"")</f>
        <v/>
      </c>
      <c r="T452" s="16"/>
      <c r="U452" s="48"/>
      <c r="V452" s="48"/>
      <c r="W452" s="17"/>
      <c r="X452" s="17"/>
      <c r="Y452" s="15"/>
      <c r="Z452" s="15"/>
      <c r="AA452" s="59" t="str">
        <f>IFERROR(INDEX(NOI_CAP!$B:$B,MATCH(Z452,NOI_CAP!$A:$A,0)),"")</f>
        <v/>
      </c>
      <c r="AB452" s="58" t="str">
        <f>IF(ISNUMBER(MATCH(AC452,LOAI_DIA_CHI!$B:$B,0)),INDEX(LOAI_DIA_CHI!$A:$A,MATCH(AC452,LOAI_DIA_CHI!$B:$B,0)),"")</f>
        <v/>
      </c>
      <c r="AC452" s="16"/>
      <c r="AD452" s="58" t="str">
        <f>IF(ISNUMBER(MATCH(AE452,QUOC_GIA!$B:$B,0)),INDEX(QUOC_GIA!$A:$A,MATCH(AE452,QUOC_GIA!$B:$B,0)),"")</f>
        <v/>
      </c>
      <c r="AE452" s="16"/>
      <c r="AF452" s="48"/>
      <c r="AG452" s="59" t="str">
        <f>IFERROR(INDEX(TINH_TP!$B:$B,MATCH(AF452,TINH_TP!$A:$A,0)),"")</f>
        <v/>
      </c>
      <c r="AH452" s="50"/>
      <c r="AI452" s="59" t="str">
        <f>IF(OR(AF452="",AH452=""),"",IF(COUNTIFS(PHUONG_XA!$A$2:$A$3323,AH452,PHUONG_XA!$C$2:$C$3323,AF452)=0,"",INDEX(PHUONG_XA!$B$2:$B$3323,SUMPRODUCT((PHUONG_XA!$A$2:$A$3323&amp;""=AH452&amp;"")*(PHUONG_XA!$C$2:$C$3323&amp;""=AF452&amp;"")*(ROW(PHUONG_XA!$A$2:$A$3323)-ROW(PHUONG_XA!$A$2)+1)))))</f>
        <v/>
      </c>
      <c r="AJ452" s="14"/>
      <c r="AK452" s="14"/>
      <c r="AL452" s="57" t="str">
        <f t="shared" si="7"/>
        <v/>
      </c>
      <c r="AM452" s="14"/>
      <c r="AN452" s="15"/>
      <c r="AO452" s="15"/>
      <c r="AP452" s="48"/>
      <c r="AQ452" s="15"/>
      <c r="AR452" s="15"/>
      <c r="AS452" s="15"/>
      <c r="AT452" s="60" t="str">
        <f>IF(ISNUMBER(MATCH(AU452,LOAI_THE!$B:$B,0)),INDEX(LOAI_THE!$A:$A,MATCH(AU452,LOAI_THE!$B:$B,0)),"")</f>
        <v/>
      </c>
      <c r="AU452" s="48"/>
      <c r="AV452" s="15"/>
      <c r="AW452" s="15"/>
      <c r="AX452" s="15"/>
      <c r="AY452" s="48"/>
    </row>
    <row r="453" spans="1:51" x14ac:dyDescent="0.3">
      <c r="A453" s="13" t="s">
        <v>4448</v>
      </c>
      <c r="B453" s="48"/>
      <c r="C453" s="48"/>
      <c r="D453" s="48"/>
      <c r="E453" s="48"/>
      <c r="F453" s="48"/>
      <c r="G453" s="58" t="str">
        <f>IF(ISNUMBER(MATCH(H453,GIOI_TINH!$B:$B,0)),INDEX(GIOI_TINH!$A:$A,MATCH(H453,GIOI_TINH!$B:$B,0)),"")</f>
        <v/>
      </c>
      <c r="H453" s="15"/>
      <c r="I453" s="15"/>
      <c r="J453" s="58" t="str">
        <f>IF(ISNUMBER(MATCH(K453,QUOC_GIA!$B:$B,0)),INDEX(QUOC_GIA!$A:$A,MATCH(K453,QUOC_GIA!$B:$B,0)),"")</f>
        <v/>
      </c>
      <c r="K453" s="50"/>
      <c r="L453" s="15"/>
      <c r="M453" s="58" t="str">
        <f>IF(ISNUMBER(MATCH(N453,LOAI_THUE!$B:$B,0)),INDEX(LOAI_THUE!$A:$A,MATCH(N453,LOAI_THUE!$B:$B,0)),"")</f>
        <v/>
      </c>
      <c r="N453" s="50"/>
      <c r="O453" s="58" t="str">
        <f>IF(ISNUMBER(MATCH(P453,CHI_TIET_LOAI_KH!$B:$B,0)),INDEX(CHI_TIET_LOAI_KH!$A:$A,MATCH(P453,CHI_TIET_LOAI_KH!$B:$B,0)),"")</f>
        <v/>
      </c>
      <c r="P453" s="50"/>
      <c r="Q453" s="58" t="str">
        <f>IF(ISNUMBER(MATCH(R453,NGHE_NGHIEP!$B:$B,0)),INDEX(NGHE_NGHIEP!$A:$A,MATCH(R453,NGHE_NGHIEP!$B:$B,0)),"")</f>
        <v/>
      </c>
      <c r="R453" s="50"/>
      <c r="S453" s="58" t="str">
        <f>IF(ISNUMBER(MATCH(T453,LOAI_ID!$B:$B,0)),INDEX(LOAI_ID!$A:$A,MATCH(T453,LOAI_ID!$B:$B,0)),"")</f>
        <v/>
      </c>
      <c r="T453" s="16"/>
      <c r="U453" s="48"/>
      <c r="V453" s="48"/>
      <c r="W453" s="17"/>
      <c r="X453" s="17"/>
      <c r="Y453" s="15"/>
      <c r="Z453" s="15"/>
      <c r="AA453" s="59" t="str">
        <f>IFERROR(INDEX(NOI_CAP!$B:$B,MATCH(Z453,NOI_CAP!$A:$A,0)),"")</f>
        <v/>
      </c>
      <c r="AB453" s="58" t="str">
        <f>IF(ISNUMBER(MATCH(AC453,LOAI_DIA_CHI!$B:$B,0)),INDEX(LOAI_DIA_CHI!$A:$A,MATCH(AC453,LOAI_DIA_CHI!$B:$B,0)),"")</f>
        <v/>
      </c>
      <c r="AC453" s="16"/>
      <c r="AD453" s="58" t="str">
        <f>IF(ISNUMBER(MATCH(AE453,QUOC_GIA!$B:$B,0)),INDEX(QUOC_GIA!$A:$A,MATCH(AE453,QUOC_GIA!$B:$B,0)),"")</f>
        <v/>
      </c>
      <c r="AE453" s="16"/>
      <c r="AF453" s="48"/>
      <c r="AG453" s="59" t="str">
        <f>IFERROR(INDEX(TINH_TP!$B:$B,MATCH(AF453,TINH_TP!$A:$A,0)),"")</f>
        <v/>
      </c>
      <c r="AH453" s="50"/>
      <c r="AI453" s="59" t="str">
        <f>IF(OR(AF453="",AH453=""),"",IF(COUNTIFS(PHUONG_XA!$A$2:$A$3323,AH453,PHUONG_XA!$C$2:$C$3323,AF453)=0,"",INDEX(PHUONG_XA!$B$2:$B$3323,SUMPRODUCT((PHUONG_XA!$A$2:$A$3323&amp;""=AH453&amp;"")*(PHUONG_XA!$C$2:$C$3323&amp;""=AF453&amp;"")*(ROW(PHUONG_XA!$A$2:$A$3323)-ROW(PHUONG_XA!$A$2)+1)))))</f>
        <v/>
      </c>
      <c r="AJ453" s="14"/>
      <c r="AK453" s="14"/>
      <c r="AL453" s="57" t="str">
        <f t="shared" si="7"/>
        <v/>
      </c>
      <c r="AM453" s="14"/>
      <c r="AN453" s="15"/>
      <c r="AO453" s="15"/>
      <c r="AP453" s="48"/>
      <c r="AQ453" s="15"/>
      <c r="AR453" s="15"/>
      <c r="AS453" s="15"/>
      <c r="AT453" s="60" t="str">
        <f>IF(ISNUMBER(MATCH(AU453,LOAI_THE!$B:$B,0)),INDEX(LOAI_THE!$A:$A,MATCH(AU453,LOAI_THE!$B:$B,0)),"")</f>
        <v/>
      </c>
      <c r="AU453" s="48"/>
      <c r="AV453" s="15"/>
      <c r="AW453" s="15"/>
      <c r="AX453" s="15"/>
      <c r="AY453" s="48"/>
    </row>
    <row r="454" spans="1:51" x14ac:dyDescent="0.3">
      <c r="A454" s="13" t="s">
        <v>4449</v>
      </c>
      <c r="B454" s="48"/>
      <c r="C454" s="48"/>
      <c r="D454" s="48"/>
      <c r="E454" s="48"/>
      <c r="F454" s="48"/>
      <c r="G454" s="58" t="str">
        <f>IF(ISNUMBER(MATCH(H454,GIOI_TINH!$B:$B,0)),INDEX(GIOI_TINH!$A:$A,MATCH(H454,GIOI_TINH!$B:$B,0)),"")</f>
        <v/>
      </c>
      <c r="H454" s="15"/>
      <c r="I454" s="15"/>
      <c r="J454" s="58" t="str">
        <f>IF(ISNUMBER(MATCH(K454,QUOC_GIA!$B:$B,0)),INDEX(QUOC_GIA!$A:$A,MATCH(K454,QUOC_GIA!$B:$B,0)),"")</f>
        <v/>
      </c>
      <c r="K454" s="50"/>
      <c r="L454" s="15"/>
      <c r="M454" s="58" t="str">
        <f>IF(ISNUMBER(MATCH(N454,LOAI_THUE!$B:$B,0)),INDEX(LOAI_THUE!$A:$A,MATCH(N454,LOAI_THUE!$B:$B,0)),"")</f>
        <v/>
      </c>
      <c r="N454" s="50"/>
      <c r="O454" s="58" t="str">
        <f>IF(ISNUMBER(MATCH(P454,CHI_TIET_LOAI_KH!$B:$B,0)),INDEX(CHI_TIET_LOAI_KH!$A:$A,MATCH(P454,CHI_TIET_LOAI_KH!$B:$B,0)),"")</f>
        <v/>
      </c>
      <c r="P454" s="50"/>
      <c r="Q454" s="58" t="str">
        <f>IF(ISNUMBER(MATCH(R454,NGHE_NGHIEP!$B:$B,0)),INDEX(NGHE_NGHIEP!$A:$A,MATCH(R454,NGHE_NGHIEP!$B:$B,0)),"")</f>
        <v/>
      </c>
      <c r="R454" s="50"/>
      <c r="S454" s="58" t="str">
        <f>IF(ISNUMBER(MATCH(T454,LOAI_ID!$B:$B,0)),INDEX(LOAI_ID!$A:$A,MATCH(T454,LOAI_ID!$B:$B,0)),"")</f>
        <v/>
      </c>
      <c r="T454" s="16"/>
      <c r="U454" s="48"/>
      <c r="V454" s="48"/>
      <c r="W454" s="17"/>
      <c r="X454" s="17"/>
      <c r="Y454" s="15"/>
      <c r="Z454" s="15"/>
      <c r="AA454" s="59" t="str">
        <f>IFERROR(INDEX(NOI_CAP!$B:$B,MATCH(Z454,NOI_CAP!$A:$A,0)),"")</f>
        <v/>
      </c>
      <c r="AB454" s="58" t="str">
        <f>IF(ISNUMBER(MATCH(AC454,LOAI_DIA_CHI!$B:$B,0)),INDEX(LOAI_DIA_CHI!$A:$A,MATCH(AC454,LOAI_DIA_CHI!$B:$B,0)),"")</f>
        <v/>
      </c>
      <c r="AC454" s="16"/>
      <c r="AD454" s="58" t="str">
        <f>IF(ISNUMBER(MATCH(AE454,QUOC_GIA!$B:$B,0)),INDEX(QUOC_GIA!$A:$A,MATCH(AE454,QUOC_GIA!$B:$B,0)),"")</f>
        <v/>
      </c>
      <c r="AE454" s="16"/>
      <c r="AF454" s="48"/>
      <c r="AG454" s="59" t="str">
        <f>IFERROR(INDEX(TINH_TP!$B:$B,MATCH(AF454,TINH_TP!$A:$A,0)),"")</f>
        <v/>
      </c>
      <c r="AH454" s="50"/>
      <c r="AI454" s="59" t="str">
        <f>IF(OR(AF454="",AH454=""),"",IF(COUNTIFS(PHUONG_XA!$A$2:$A$3323,AH454,PHUONG_XA!$C$2:$C$3323,AF454)=0,"",INDEX(PHUONG_XA!$B$2:$B$3323,SUMPRODUCT((PHUONG_XA!$A$2:$A$3323&amp;""=AH454&amp;"")*(PHUONG_XA!$C$2:$C$3323&amp;""=AF454&amp;"")*(ROW(PHUONG_XA!$A$2:$A$3323)-ROW(PHUONG_XA!$A$2)+1)))))</f>
        <v/>
      </c>
      <c r="AJ454" s="14"/>
      <c r="AK454" s="14"/>
      <c r="AL454" s="57" t="str">
        <f t="shared" si="7"/>
        <v/>
      </c>
      <c r="AM454" s="14"/>
      <c r="AN454" s="15"/>
      <c r="AO454" s="15"/>
      <c r="AP454" s="48"/>
      <c r="AQ454" s="15"/>
      <c r="AR454" s="15"/>
      <c r="AS454" s="15"/>
      <c r="AT454" s="60" t="str">
        <f>IF(ISNUMBER(MATCH(AU454,LOAI_THE!$B:$B,0)),INDEX(LOAI_THE!$A:$A,MATCH(AU454,LOAI_THE!$B:$B,0)),"")</f>
        <v/>
      </c>
      <c r="AU454" s="48"/>
      <c r="AV454" s="15"/>
      <c r="AW454" s="15"/>
      <c r="AX454" s="15"/>
      <c r="AY454" s="48"/>
    </row>
    <row r="455" spans="1:51" x14ac:dyDescent="0.3">
      <c r="A455" s="13" t="s">
        <v>4450</v>
      </c>
      <c r="B455" s="48"/>
      <c r="C455" s="48"/>
      <c r="D455" s="48"/>
      <c r="E455" s="48"/>
      <c r="F455" s="48"/>
      <c r="G455" s="58" t="str">
        <f>IF(ISNUMBER(MATCH(H455,GIOI_TINH!$B:$B,0)),INDEX(GIOI_TINH!$A:$A,MATCH(H455,GIOI_TINH!$B:$B,0)),"")</f>
        <v/>
      </c>
      <c r="H455" s="15"/>
      <c r="I455" s="15"/>
      <c r="J455" s="58" t="str">
        <f>IF(ISNUMBER(MATCH(K455,QUOC_GIA!$B:$B,0)),INDEX(QUOC_GIA!$A:$A,MATCH(K455,QUOC_GIA!$B:$B,0)),"")</f>
        <v/>
      </c>
      <c r="K455" s="50"/>
      <c r="L455" s="15"/>
      <c r="M455" s="58" t="str">
        <f>IF(ISNUMBER(MATCH(N455,LOAI_THUE!$B:$B,0)),INDEX(LOAI_THUE!$A:$A,MATCH(N455,LOAI_THUE!$B:$B,0)),"")</f>
        <v/>
      </c>
      <c r="N455" s="50"/>
      <c r="O455" s="58" t="str">
        <f>IF(ISNUMBER(MATCH(P455,CHI_TIET_LOAI_KH!$B:$B,0)),INDEX(CHI_TIET_LOAI_KH!$A:$A,MATCH(P455,CHI_TIET_LOAI_KH!$B:$B,0)),"")</f>
        <v/>
      </c>
      <c r="P455" s="50"/>
      <c r="Q455" s="58" t="str">
        <f>IF(ISNUMBER(MATCH(R455,NGHE_NGHIEP!$B:$B,0)),INDEX(NGHE_NGHIEP!$A:$A,MATCH(R455,NGHE_NGHIEP!$B:$B,0)),"")</f>
        <v/>
      </c>
      <c r="R455" s="50"/>
      <c r="S455" s="58" t="str">
        <f>IF(ISNUMBER(MATCH(T455,LOAI_ID!$B:$B,0)),INDEX(LOAI_ID!$A:$A,MATCH(T455,LOAI_ID!$B:$B,0)),"")</f>
        <v/>
      </c>
      <c r="T455" s="16"/>
      <c r="U455" s="48"/>
      <c r="V455" s="48"/>
      <c r="W455" s="17"/>
      <c r="X455" s="17"/>
      <c r="Y455" s="15"/>
      <c r="Z455" s="15"/>
      <c r="AA455" s="59" t="str">
        <f>IFERROR(INDEX(NOI_CAP!$B:$B,MATCH(Z455,NOI_CAP!$A:$A,0)),"")</f>
        <v/>
      </c>
      <c r="AB455" s="58" t="str">
        <f>IF(ISNUMBER(MATCH(AC455,LOAI_DIA_CHI!$B:$B,0)),INDEX(LOAI_DIA_CHI!$A:$A,MATCH(AC455,LOAI_DIA_CHI!$B:$B,0)),"")</f>
        <v/>
      </c>
      <c r="AC455" s="16"/>
      <c r="AD455" s="58" t="str">
        <f>IF(ISNUMBER(MATCH(AE455,QUOC_GIA!$B:$B,0)),INDEX(QUOC_GIA!$A:$A,MATCH(AE455,QUOC_GIA!$B:$B,0)),"")</f>
        <v/>
      </c>
      <c r="AE455" s="16"/>
      <c r="AF455" s="48"/>
      <c r="AG455" s="59" t="str">
        <f>IFERROR(INDEX(TINH_TP!$B:$B,MATCH(AF455,TINH_TP!$A:$A,0)),"")</f>
        <v/>
      </c>
      <c r="AH455" s="50"/>
      <c r="AI455" s="59" t="str">
        <f>IF(OR(AF455="",AH455=""),"",IF(COUNTIFS(PHUONG_XA!$A$2:$A$3323,AH455,PHUONG_XA!$C$2:$C$3323,AF455)=0,"",INDEX(PHUONG_XA!$B$2:$B$3323,SUMPRODUCT((PHUONG_XA!$A$2:$A$3323&amp;""=AH455&amp;"")*(PHUONG_XA!$C$2:$C$3323&amp;""=AF455&amp;"")*(ROW(PHUONG_XA!$A$2:$A$3323)-ROW(PHUONG_XA!$A$2)+1)))))</f>
        <v/>
      </c>
      <c r="AJ455" s="14"/>
      <c r="AK455" s="14"/>
      <c r="AL455" s="57" t="str">
        <f t="shared" ref="AL455:AL503" si="8">IF(OR(AI455="",AG455=""),"",SUBSTITUTE(SUBSTITUTE(AI455,"Phường","P."),"Xã","X.")&amp;", "&amp;SUBSTITUTE(SUBSTITUTE(AG455,"Thành phố","TP."),"Tỉnh","T."))</f>
        <v/>
      </c>
      <c r="AM455" s="14"/>
      <c r="AN455" s="15"/>
      <c r="AO455" s="15"/>
      <c r="AP455" s="48"/>
      <c r="AQ455" s="15"/>
      <c r="AR455" s="15"/>
      <c r="AS455" s="15"/>
      <c r="AT455" s="60" t="str">
        <f>IF(ISNUMBER(MATCH(AU455,LOAI_THE!$B:$B,0)),INDEX(LOAI_THE!$A:$A,MATCH(AU455,LOAI_THE!$B:$B,0)),"")</f>
        <v/>
      </c>
      <c r="AU455" s="48"/>
      <c r="AV455" s="15"/>
      <c r="AW455" s="15"/>
      <c r="AX455" s="15"/>
      <c r="AY455" s="48"/>
    </row>
    <row r="456" spans="1:51" x14ac:dyDescent="0.3">
      <c r="A456" s="13" t="s">
        <v>4451</v>
      </c>
      <c r="B456" s="48"/>
      <c r="C456" s="48"/>
      <c r="D456" s="48"/>
      <c r="E456" s="48"/>
      <c r="F456" s="48"/>
      <c r="G456" s="58" t="str">
        <f>IF(ISNUMBER(MATCH(H456,GIOI_TINH!$B:$B,0)),INDEX(GIOI_TINH!$A:$A,MATCH(H456,GIOI_TINH!$B:$B,0)),"")</f>
        <v/>
      </c>
      <c r="H456" s="15"/>
      <c r="I456" s="15"/>
      <c r="J456" s="58" t="str">
        <f>IF(ISNUMBER(MATCH(K456,QUOC_GIA!$B:$B,0)),INDEX(QUOC_GIA!$A:$A,MATCH(K456,QUOC_GIA!$B:$B,0)),"")</f>
        <v/>
      </c>
      <c r="K456" s="50"/>
      <c r="L456" s="15"/>
      <c r="M456" s="58" t="str">
        <f>IF(ISNUMBER(MATCH(N456,LOAI_THUE!$B:$B,0)),INDEX(LOAI_THUE!$A:$A,MATCH(N456,LOAI_THUE!$B:$B,0)),"")</f>
        <v/>
      </c>
      <c r="N456" s="50"/>
      <c r="O456" s="58" t="str">
        <f>IF(ISNUMBER(MATCH(P456,CHI_TIET_LOAI_KH!$B:$B,0)),INDEX(CHI_TIET_LOAI_KH!$A:$A,MATCH(P456,CHI_TIET_LOAI_KH!$B:$B,0)),"")</f>
        <v/>
      </c>
      <c r="P456" s="50"/>
      <c r="Q456" s="58" t="str">
        <f>IF(ISNUMBER(MATCH(R456,NGHE_NGHIEP!$B:$B,0)),INDEX(NGHE_NGHIEP!$A:$A,MATCH(R456,NGHE_NGHIEP!$B:$B,0)),"")</f>
        <v/>
      </c>
      <c r="R456" s="50"/>
      <c r="S456" s="58" t="str">
        <f>IF(ISNUMBER(MATCH(T456,LOAI_ID!$B:$B,0)),INDEX(LOAI_ID!$A:$A,MATCH(T456,LOAI_ID!$B:$B,0)),"")</f>
        <v/>
      </c>
      <c r="T456" s="16"/>
      <c r="U456" s="48"/>
      <c r="V456" s="48"/>
      <c r="W456" s="17"/>
      <c r="X456" s="17"/>
      <c r="Y456" s="15"/>
      <c r="Z456" s="15"/>
      <c r="AA456" s="59" t="str">
        <f>IFERROR(INDEX(NOI_CAP!$B:$B,MATCH(Z456,NOI_CAP!$A:$A,0)),"")</f>
        <v/>
      </c>
      <c r="AB456" s="58" t="str">
        <f>IF(ISNUMBER(MATCH(AC456,LOAI_DIA_CHI!$B:$B,0)),INDEX(LOAI_DIA_CHI!$A:$A,MATCH(AC456,LOAI_DIA_CHI!$B:$B,0)),"")</f>
        <v/>
      </c>
      <c r="AC456" s="16"/>
      <c r="AD456" s="58" t="str">
        <f>IF(ISNUMBER(MATCH(AE456,QUOC_GIA!$B:$B,0)),INDEX(QUOC_GIA!$A:$A,MATCH(AE456,QUOC_GIA!$B:$B,0)),"")</f>
        <v/>
      </c>
      <c r="AE456" s="16"/>
      <c r="AF456" s="48"/>
      <c r="AG456" s="59" t="str">
        <f>IFERROR(INDEX(TINH_TP!$B:$B,MATCH(AF456,TINH_TP!$A:$A,0)),"")</f>
        <v/>
      </c>
      <c r="AH456" s="50"/>
      <c r="AI456" s="59" t="str">
        <f>IF(OR(AF456="",AH456=""),"",IF(COUNTIFS(PHUONG_XA!$A$2:$A$3323,AH456,PHUONG_XA!$C$2:$C$3323,AF456)=0,"",INDEX(PHUONG_XA!$B$2:$B$3323,SUMPRODUCT((PHUONG_XA!$A$2:$A$3323&amp;""=AH456&amp;"")*(PHUONG_XA!$C$2:$C$3323&amp;""=AF456&amp;"")*(ROW(PHUONG_XA!$A$2:$A$3323)-ROW(PHUONG_XA!$A$2)+1)))))</f>
        <v/>
      </c>
      <c r="AJ456" s="14"/>
      <c r="AK456" s="14"/>
      <c r="AL456" s="57" t="str">
        <f t="shared" si="8"/>
        <v/>
      </c>
      <c r="AM456" s="14"/>
      <c r="AN456" s="15"/>
      <c r="AO456" s="15"/>
      <c r="AP456" s="48"/>
      <c r="AQ456" s="15"/>
      <c r="AR456" s="15"/>
      <c r="AS456" s="15"/>
      <c r="AT456" s="60" t="str">
        <f>IF(ISNUMBER(MATCH(AU456,LOAI_THE!$B:$B,0)),INDEX(LOAI_THE!$A:$A,MATCH(AU456,LOAI_THE!$B:$B,0)),"")</f>
        <v/>
      </c>
      <c r="AU456" s="48"/>
      <c r="AV456" s="15"/>
      <c r="AW456" s="15"/>
      <c r="AX456" s="15"/>
      <c r="AY456" s="48"/>
    </row>
    <row r="457" spans="1:51" x14ac:dyDescent="0.3">
      <c r="A457" s="13" t="s">
        <v>4452</v>
      </c>
      <c r="B457" s="48"/>
      <c r="C457" s="48"/>
      <c r="D457" s="48"/>
      <c r="E457" s="48"/>
      <c r="F457" s="48"/>
      <c r="G457" s="58" t="str">
        <f>IF(ISNUMBER(MATCH(H457,GIOI_TINH!$B:$B,0)),INDEX(GIOI_TINH!$A:$A,MATCH(H457,GIOI_TINH!$B:$B,0)),"")</f>
        <v/>
      </c>
      <c r="H457" s="15"/>
      <c r="I457" s="15"/>
      <c r="J457" s="58" t="str">
        <f>IF(ISNUMBER(MATCH(K457,QUOC_GIA!$B:$B,0)),INDEX(QUOC_GIA!$A:$A,MATCH(K457,QUOC_GIA!$B:$B,0)),"")</f>
        <v/>
      </c>
      <c r="K457" s="50"/>
      <c r="L457" s="15"/>
      <c r="M457" s="58" t="str">
        <f>IF(ISNUMBER(MATCH(N457,LOAI_THUE!$B:$B,0)),INDEX(LOAI_THUE!$A:$A,MATCH(N457,LOAI_THUE!$B:$B,0)),"")</f>
        <v/>
      </c>
      <c r="N457" s="50"/>
      <c r="O457" s="58" t="str">
        <f>IF(ISNUMBER(MATCH(P457,CHI_TIET_LOAI_KH!$B:$B,0)),INDEX(CHI_TIET_LOAI_KH!$A:$A,MATCH(P457,CHI_TIET_LOAI_KH!$B:$B,0)),"")</f>
        <v/>
      </c>
      <c r="P457" s="50"/>
      <c r="Q457" s="58" t="str">
        <f>IF(ISNUMBER(MATCH(R457,NGHE_NGHIEP!$B:$B,0)),INDEX(NGHE_NGHIEP!$A:$A,MATCH(R457,NGHE_NGHIEP!$B:$B,0)),"")</f>
        <v/>
      </c>
      <c r="R457" s="50"/>
      <c r="S457" s="58" t="str">
        <f>IF(ISNUMBER(MATCH(T457,LOAI_ID!$B:$B,0)),INDEX(LOAI_ID!$A:$A,MATCH(T457,LOAI_ID!$B:$B,0)),"")</f>
        <v/>
      </c>
      <c r="T457" s="16"/>
      <c r="U457" s="48"/>
      <c r="V457" s="48"/>
      <c r="W457" s="17"/>
      <c r="X457" s="17"/>
      <c r="Y457" s="15"/>
      <c r="Z457" s="15"/>
      <c r="AA457" s="59" t="str">
        <f>IFERROR(INDEX(NOI_CAP!$B:$B,MATCH(Z457,NOI_CAP!$A:$A,0)),"")</f>
        <v/>
      </c>
      <c r="AB457" s="58" t="str">
        <f>IF(ISNUMBER(MATCH(AC457,LOAI_DIA_CHI!$B:$B,0)),INDEX(LOAI_DIA_CHI!$A:$A,MATCH(AC457,LOAI_DIA_CHI!$B:$B,0)),"")</f>
        <v/>
      </c>
      <c r="AC457" s="16"/>
      <c r="AD457" s="58" t="str">
        <f>IF(ISNUMBER(MATCH(AE457,QUOC_GIA!$B:$B,0)),INDEX(QUOC_GIA!$A:$A,MATCH(AE457,QUOC_GIA!$B:$B,0)),"")</f>
        <v/>
      </c>
      <c r="AE457" s="16"/>
      <c r="AF457" s="48"/>
      <c r="AG457" s="59" t="str">
        <f>IFERROR(INDEX(TINH_TP!$B:$B,MATCH(AF457,TINH_TP!$A:$A,0)),"")</f>
        <v/>
      </c>
      <c r="AH457" s="50"/>
      <c r="AI457" s="59" t="str">
        <f>IF(OR(AF457="",AH457=""),"",IF(COUNTIFS(PHUONG_XA!$A$2:$A$3323,AH457,PHUONG_XA!$C$2:$C$3323,AF457)=0,"",INDEX(PHUONG_XA!$B$2:$B$3323,SUMPRODUCT((PHUONG_XA!$A$2:$A$3323&amp;""=AH457&amp;"")*(PHUONG_XA!$C$2:$C$3323&amp;""=AF457&amp;"")*(ROW(PHUONG_XA!$A$2:$A$3323)-ROW(PHUONG_XA!$A$2)+1)))))</f>
        <v/>
      </c>
      <c r="AJ457" s="14"/>
      <c r="AK457" s="14"/>
      <c r="AL457" s="57" t="str">
        <f t="shared" si="8"/>
        <v/>
      </c>
      <c r="AM457" s="14"/>
      <c r="AN457" s="15"/>
      <c r="AO457" s="15"/>
      <c r="AP457" s="48"/>
      <c r="AQ457" s="15"/>
      <c r="AR457" s="15"/>
      <c r="AS457" s="15"/>
      <c r="AT457" s="60" t="str">
        <f>IF(ISNUMBER(MATCH(AU457,LOAI_THE!$B:$B,0)),INDEX(LOAI_THE!$A:$A,MATCH(AU457,LOAI_THE!$B:$B,0)),"")</f>
        <v/>
      </c>
      <c r="AU457" s="48"/>
      <c r="AV457" s="15"/>
      <c r="AW457" s="15"/>
      <c r="AX457" s="15"/>
      <c r="AY457" s="48"/>
    </row>
    <row r="458" spans="1:51" x14ac:dyDescent="0.3">
      <c r="A458" s="13" t="s">
        <v>4453</v>
      </c>
      <c r="B458" s="48"/>
      <c r="C458" s="48"/>
      <c r="D458" s="48"/>
      <c r="E458" s="48"/>
      <c r="F458" s="48"/>
      <c r="G458" s="58" t="str">
        <f>IF(ISNUMBER(MATCH(H458,GIOI_TINH!$B:$B,0)),INDEX(GIOI_TINH!$A:$A,MATCH(H458,GIOI_TINH!$B:$B,0)),"")</f>
        <v/>
      </c>
      <c r="H458" s="15"/>
      <c r="I458" s="15"/>
      <c r="J458" s="58" t="str">
        <f>IF(ISNUMBER(MATCH(K458,QUOC_GIA!$B:$B,0)),INDEX(QUOC_GIA!$A:$A,MATCH(K458,QUOC_GIA!$B:$B,0)),"")</f>
        <v/>
      </c>
      <c r="K458" s="50"/>
      <c r="L458" s="15"/>
      <c r="M458" s="58" t="str">
        <f>IF(ISNUMBER(MATCH(N458,LOAI_THUE!$B:$B,0)),INDEX(LOAI_THUE!$A:$A,MATCH(N458,LOAI_THUE!$B:$B,0)),"")</f>
        <v/>
      </c>
      <c r="N458" s="50"/>
      <c r="O458" s="58" t="str">
        <f>IF(ISNUMBER(MATCH(P458,CHI_TIET_LOAI_KH!$B:$B,0)),INDEX(CHI_TIET_LOAI_KH!$A:$A,MATCH(P458,CHI_TIET_LOAI_KH!$B:$B,0)),"")</f>
        <v/>
      </c>
      <c r="P458" s="50"/>
      <c r="Q458" s="58" t="str">
        <f>IF(ISNUMBER(MATCH(R458,NGHE_NGHIEP!$B:$B,0)),INDEX(NGHE_NGHIEP!$A:$A,MATCH(R458,NGHE_NGHIEP!$B:$B,0)),"")</f>
        <v/>
      </c>
      <c r="R458" s="50"/>
      <c r="S458" s="58" t="str">
        <f>IF(ISNUMBER(MATCH(T458,LOAI_ID!$B:$B,0)),INDEX(LOAI_ID!$A:$A,MATCH(T458,LOAI_ID!$B:$B,0)),"")</f>
        <v/>
      </c>
      <c r="T458" s="16"/>
      <c r="U458" s="48"/>
      <c r="V458" s="48"/>
      <c r="W458" s="17"/>
      <c r="X458" s="17"/>
      <c r="Y458" s="15"/>
      <c r="Z458" s="15"/>
      <c r="AA458" s="59" t="str">
        <f>IFERROR(INDEX(NOI_CAP!$B:$B,MATCH(Z458,NOI_CAP!$A:$A,0)),"")</f>
        <v/>
      </c>
      <c r="AB458" s="58" t="str">
        <f>IF(ISNUMBER(MATCH(AC458,LOAI_DIA_CHI!$B:$B,0)),INDEX(LOAI_DIA_CHI!$A:$A,MATCH(AC458,LOAI_DIA_CHI!$B:$B,0)),"")</f>
        <v/>
      </c>
      <c r="AC458" s="16"/>
      <c r="AD458" s="58" t="str">
        <f>IF(ISNUMBER(MATCH(AE458,QUOC_GIA!$B:$B,0)),INDEX(QUOC_GIA!$A:$A,MATCH(AE458,QUOC_GIA!$B:$B,0)),"")</f>
        <v/>
      </c>
      <c r="AE458" s="16"/>
      <c r="AF458" s="48"/>
      <c r="AG458" s="59" t="str">
        <f>IFERROR(INDEX(TINH_TP!$B:$B,MATCH(AF458,TINH_TP!$A:$A,0)),"")</f>
        <v/>
      </c>
      <c r="AH458" s="50"/>
      <c r="AI458" s="59" t="str">
        <f>IF(OR(AF458="",AH458=""),"",IF(COUNTIFS(PHUONG_XA!$A$2:$A$3323,AH458,PHUONG_XA!$C$2:$C$3323,AF458)=0,"",INDEX(PHUONG_XA!$B$2:$B$3323,SUMPRODUCT((PHUONG_XA!$A$2:$A$3323&amp;""=AH458&amp;"")*(PHUONG_XA!$C$2:$C$3323&amp;""=AF458&amp;"")*(ROW(PHUONG_XA!$A$2:$A$3323)-ROW(PHUONG_XA!$A$2)+1)))))</f>
        <v/>
      </c>
      <c r="AJ458" s="14"/>
      <c r="AK458" s="14"/>
      <c r="AL458" s="57" t="str">
        <f t="shared" si="8"/>
        <v/>
      </c>
      <c r="AM458" s="14"/>
      <c r="AN458" s="15"/>
      <c r="AO458" s="15"/>
      <c r="AP458" s="48"/>
      <c r="AQ458" s="15"/>
      <c r="AR458" s="15"/>
      <c r="AS458" s="15"/>
      <c r="AT458" s="60" t="str">
        <f>IF(ISNUMBER(MATCH(AU458,LOAI_THE!$B:$B,0)),INDEX(LOAI_THE!$A:$A,MATCH(AU458,LOAI_THE!$B:$B,0)),"")</f>
        <v/>
      </c>
      <c r="AU458" s="48"/>
      <c r="AV458" s="15"/>
      <c r="AW458" s="15"/>
      <c r="AX458" s="15"/>
      <c r="AY458" s="48"/>
    </row>
    <row r="459" spans="1:51" x14ac:dyDescent="0.3">
      <c r="A459" s="13" t="s">
        <v>4454</v>
      </c>
      <c r="B459" s="48"/>
      <c r="C459" s="48"/>
      <c r="D459" s="48"/>
      <c r="E459" s="48"/>
      <c r="F459" s="48"/>
      <c r="G459" s="58" t="str">
        <f>IF(ISNUMBER(MATCH(H459,GIOI_TINH!$B:$B,0)),INDEX(GIOI_TINH!$A:$A,MATCH(H459,GIOI_TINH!$B:$B,0)),"")</f>
        <v/>
      </c>
      <c r="H459" s="15"/>
      <c r="I459" s="15"/>
      <c r="J459" s="58" t="str">
        <f>IF(ISNUMBER(MATCH(K459,QUOC_GIA!$B:$B,0)),INDEX(QUOC_GIA!$A:$A,MATCH(K459,QUOC_GIA!$B:$B,0)),"")</f>
        <v/>
      </c>
      <c r="K459" s="50"/>
      <c r="L459" s="15"/>
      <c r="M459" s="58" t="str">
        <f>IF(ISNUMBER(MATCH(N459,LOAI_THUE!$B:$B,0)),INDEX(LOAI_THUE!$A:$A,MATCH(N459,LOAI_THUE!$B:$B,0)),"")</f>
        <v/>
      </c>
      <c r="N459" s="50"/>
      <c r="O459" s="58" t="str">
        <f>IF(ISNUMBER(MATCH(P459,CHI_TIET_LOAI_KH!$B:$B,0)),INDEX(CHI_TIET_LOAI_KH!$A:$A,MATCH(P459,CHI_TIET_LOAI_KH!$B:$B,0)),"")</f>
        <v/>
      </c>
      <c r="P459" s="50"/>
      <c r="Q459" s="58" t="str">
        <f>IF(ISNUMBER(MATCH(R459,NGHE_NGHIEP!$B:$B,0)),INDEX(NGHE_NGHIEP!$A:$A,MATCH(R459,NGHE_NGHIEP!$B:$B,0)),"")</f>
        <v/>
      </c>
      <c r="R459" s="50"/>
      <c r="S459" s="58" t="str">
        <f>IF(ISNUMBER(MATCH(T459,LOAI_ID!$B:$B,0)),INDEX(LOAI_ID!$A:$A,MATCH(T459,LOAI_ID!$B:$B,0)),"")</f>
        <v/>
      </c>
      <c r="T459" s="16"/>
      <c r="U459" s="48"/>
      <c r="V459" s="48"/>
      <c r="W459" s="17"/>
      <c r="X459" s="17"/>
      <c r="Y459" s="15"/>
      <c r="Z459" s="15"/>
      <c r="AA459" s="59" t="str">
        <f>IFERROR(INDEX(NOI_CAP!$B:$B,MATCH(Z459,NOI_CAP!$A:$A,0)),"")</f>
        <v/>
      </c>
      <c r="AB459" s="58" t="str">
        <f>IF(ISNUMBER(MATCH(AC459,LOAI_DIA_CHI!$B:$B,0)),INDEX(LOAI_DIA_CHI!$A:$A,MATCH(AC459,LOAI_DIA_CHI!$B:$B,0)),"")</f>
        <v/>
      </c>
      <c r="AC459" s="16"/>
      <c r="AD459" s="58" t="str">
        <f>IF(ISNUMBER(MATCH(AE459,QUOC_GIA!$B:$B,0)),INDEX(QUOC_GIA!$A:$A,MATCH(AE459,QUOC_GIA!$B:$B,0)),"")</f>
        <v/>
      </c>
      <c r="AE459" s="16"/>
      <c r="AF459" s="48"/>
      <c r="AG459" s="59" t="str">
        <f>IFERROR(INDEX(TINH_TP!$B:$B,MATCH(AF459,TINH_TP!$A:$A,0)),"")</f>
        <v/>
      </c>
      <c r="AH459" s="50"/>
      <c r="AI459" s="59" t="str">
        <f>IF(OR(AF459="",AH459=""),"",IF(COUNTIFS(PHUONG_XA!$A$2:$A$3323,AH459,PHUONG_XA!$C$2:$C$3323,AF459)=0,"",INDEX(PHUONG_XA!$B$2:$B$3323,SUMPRODUCT((PHUONG_XA!$A$2:$A$3323&amp;""=AH459&amp;"")*(PHUONG_XA!$C$2:$C$3323&amp;""=AF459&amp;"")*(ROW(PHUONG_XA!$A$2:$A$3323)-ROW(PHUONG_XA!$A$2)+1)))))</f>
        <v/>
      </c>
      <c r="AJ459" s="14"/>
      <c r="AK459" s="14"/>
      <c r="AL459" s="57" t="str">
        <f t="shared" si="8"/>
        <v/>
      </c>
      <c r="AM459" s="14"/>
      <c r="AN459" s="15"/>
      <c r="AO459" s="15"/>
      <c r="AP459" s="48"/>
      <c r="AQ459" s="15"/>
      <c r="AR459" s="15"/>
      <c r="AS459" s="15"/>
      <c r="AT459" s="60" t="str">
        <f>IF(ISNUMBER(MATCH(AU459,LOAI_THE!$B:$B,0)),INDEX(LOAI_THE!$A:$A,MATCH(AU459,LOAI_THE!$B:$B,0)),"")</f>
        <v/>
      </c>
      <c r="AU459" s="48"/>
      <c r="AV459" s="15"/>
      <c r="AW459" s="15"/>
      <c r="AX459" s="15"/>
      <c r="AY459" s="48"/>
    </row>
    <row r="460" spans="1:51" x14ac:dyDescent="0.3">
      <c r="A460" s="13" t="s">
        <v>4455</v>
      </c>
      <c r="B460" s="48"/>
      <c r="C460" s="48"/>
      <c r="D460" s="48"/>
      <c r="E460" s="48"/>
      <c r="F460" s="48"/>
      <c r="G460" s="58" t="str">
        <f>IF(ISNUMBER(MATCH(H460,GIOI_TINH!$B:$B,0)),INDEX(GIOI_TINH!$A:$A,MATCH(H460,GIOI_TINH!$B:$B,0)),"")</f>
        <v/>
      </c>
      <c r="H460" s="15"/>
      <c r="I460" s="15"/>
      <c r="J460" s="58" t="str">
        <f>IF(ISNUMBER(MATCH(K460,QUOC_GIA!$B:$B,0)),INDEX(QUOC_GIA!$A:$A,MATCH(K460,QUOC_GIA!$B:$B,0)),"")</f>
        <v/>
      </c>
      <c r="K460" s="50"/>
      <c r="L460" s="15"/>
      <c r="M460" s="58" t="str">
        <f>IF(ISNUMBER(MATCH(N460,LOAI_THUE!$B:$B,0)),INDEX(LOAI_THUE!$A:$A,MATCH(N460,LOAI_THUE!$B:$B,0)),"")</f>
        <v/>
      </c>
      <c r="N460" s="50"/>
      <c r="O460" s="58" t="str">
        <f>IF(ISNUMBER(MATCH(P460,CHI_TIET_LOAI_KH!$B:$B,0)),INDEX(CHI_TIET_LOAI_KH!$A:$A,MATCH(P460,CHI_TIET_LOAI_KH!$B:$B,0)),"")</f>
        <v/>
      </c>
      <c r="P460" s="50"/>
      <c r="Q460" s="58" t="str">
        <f>IF(ISNUMBER(MATCH(R460,NGHE_NGHIEP!$B:$B,0)),INDEX(NGHE_NGHIEP!$A:$A,MATCH(R460,NGHE_NGHIEP!$B:$B,0)),"")</f>
        <v/>
      </c>
      <c r="R460" s="50"/>
      <c r="S460" s="58" t="str">
        <f>IF(ISNUMBER(MATCH(T460,LOAI_ID!$B:$B,0)),INDEX(LOAI_ID!$A:$A,MATCH(T460,LOAI_ID!$B:$B,0)),"")</f>
        <v/>
      </c>
      <c r="T460" s="16"/>
      <c r="U460" s="48"/>
      <c r="V460" s="48"/>
      <c r="W460" s="17"/>
      <c r="X460" s="17"/>
      <c r="Y460" s="15"/>
      <c r="Z460" s="15"/>
      <c r="AA460" s="59" t="str">
        <f>IFERROR(INDEX(NOI_CAP!$B:$B,MATCH(Z460,NOI_CAP!$A:$A,0)),"")</f>
        <v/>
      </c>
      <c r="AB460" s="58" t="str">
        <f>IF(ISNUMBER(MATCH(AC460,LOAI_DIA_CHI!$B:$B,0)),INDEX(LOAI_DIA_CHI!$A:$A,MATCH(AC460,LOAI_DIA_CHI!$B:$B,0)),"")</f>
        <v/>
      </c>
      <c r="AC460" s="16"/>
      <c r="AD460" s="58" t="str">
        <f>IF(ISNUMBER(MATCH(AE460,QUOC_GIA!$B:$B,0)),INDEX(QUOC_GIA!$A:$A,MATCH(AE460,QUOC_GIA!$B:$B,0)),"")</f>
        <v/>
      </c>
      <c r="AE460" s="16"/>
      <c r="AF460" s="48"/>
      <c r="AG460" s="59" t="str">
        <f>IFERROR(INDEX(TINH_TP!$B:$B,MATCH(AF460,TINH_TP!$A:$A,0)),"")</f>
        <v/>
      </c>
      <c r="AH460" s="50"/>
      <c r="AI460" s="59" t="str">
        <f>IF(OR(AF460="",AH460=""),"",IF(COUNTIFS(PHUONG_XA!$A$2:$A$3323,AH460,PHUONG_XA!$C$2:$C$3323,AF460)=0,"",INDEX(PHUONG_XA!$B$2:$B$3323,SUMPRODUCT((PHUONG_XA!$A$2:$A$3323&amp;""=AH460&amp;"")*(PHUONG_XA!$C$2:$C$3323&amp;""=AF460&amp;"")*(ROW(PHUONG_XA!$A$2:$A$3323)-ROW(PHUONG_XA!$A$2)+1)))))</f>
        <v/>
      </c>
      <c r="AJ460" s="14"/>
      <c r="AK460" s="14"/>
      <c r="AL460" s="57" t="str">
        <f t="shared" si="8"/>
        <v/>
      </c>
      <c r="AM460" s="14"/>
      <c r="AN460" s="15"/>
      <c r="AO460" s="15"/>
      <c r="AP460" s="48"/>
      <c r="AQ460" s="15"/>
      <c r="AR460" s="15"/>
      <c r="AS460" s="15"/>
      <c r="AT460" s="60" t="str">
        <f>IF(ISNUMBER(MATCH(AU460,LOAI_THE!$B:$B,0)),INDEX(LOAI_THE!$A:$A,MATCH(AU460,LOAI_THE!$B:$B,0)),"")</f>
        <v/>
      </c>
      <c r="AU460" s="48"/>
      <c r="AV460" s="15"/>
      <c r="AW460" s="15"/>
      <c r="AX460" s="15"/>
      <c r="AY460" s="48"/>
    </row>
    <row r="461" spans="1:51" x14ac:dyDescent="0.3">
      <c r="A461" s="13" t="s">
        <v>4456</v>
      </c>
      <c r="B461" s="48"/>
      <c r="C461" s="48"/>
      <c r="D461" s="48"/>
      <c r="E461" s="48"/>
      <c r="F461" s="48"/>
      <c r="G461" s="58" t="str">
        <f>IF(ISNUMBER(MATCH(H461,GIOI_TINH!$B:$B,0)),INDEX(GIOI_TINH!$A:$A,MATCH(H461,GIOI_TINH!$B:$B,0)),"")</f>
        <v/>
      </c>
      <c r="H461" s="15"/>
      <c r="I461" s="15"/>
      <c r="J461" s="58" t="str">
        <f>IF(ISNUMBER(MATCH(K461,QUOC_GIA!$B:$B,0)),INDEX(QUOC_GIA!$A:$A,MATCH(K461,QUOC_GIA!$B:$B,0)),"")</f>
        <v/>
      </c>
      <c r="K461" s="50"/>
      <c r="L461" s="15"/>
      <c r="M461" s="58" t="str">
        <f>IF(ISNUMBER(MATCH(N461,LOAI_THUE!$B:$B,0)),INDEX(LOAI_THUE!$A:$A,MATCH(N461,LOAI_THUE!$B:$B,0)),"")</f>
        <v/>
      </c>
      <c r="N461" s="50"/>
      <c r="O461" s="58" t="str">
        <f>IF(ISNUMBER(MATCH(P461,CHI_TIET_LOAI_KH!$B:$B,0)),INDEX(CHI_TIET_LOAI_KH!$A:$A,MATCH(P461,CHI_TIET_LOAI_KH!$B:$B,0)),"")</f>
        <v/>
      </c>
      <c r="P461" s="50"/>
      <c r="Q461" s="58" t="str">
        <f>IF(ISNUMBER(MATCH(R461,NGHE_NGHIEP!$B:$B,0)),INDEX(NGHE_NGHIEP!$A:$A,MATCH(R461,NGHE_NGHIEP!$B:$B,0)),"")</f>
        <v/>
      </c>
      <c r="R461" s="50"/>
      <c r="S461" s="58" t="str">
        <f>IF(ISNUMBER(MATCH(T461,LOAI_ID!$B:$B,0)),INDEX(LOAI_ID!$A:$A,MATCH(T461,LOAI_ID!$B:$B,0)),"")</f>
        <v/>
      </c>
      <c r="T461" s="16"/>
      <c r="U461" s="48"/>
      <c r="V461" s="48"/>
      <c r="W461" s="17"/>
      <c r="X461" s="17"/>
      <c r="Y461" s="15"/>
      <c r="Z461" s="15"/>
      <c r="AA461" s="59" t="str">
        <f>IFERROR(INDEX(NOI_CAP!$B:$B,MATCH(Z461,NOI_CAP!$A:$A,0)),"")</f>
        <v/>
      </c>
      <c r="AB461" s="58" t="str">
        <f>IF(ISNUMBER(MATCH(AC461,LOAI_DIA_CHI!$B:$B,0)),INDEX(LOAI_DIA_CHI!$A:$A,MATCH(AC461,LOAI_DIA_CHI!$B:$B,0)),"")</f>
        <v/>
      </c>
      <c r="AC461" s="16"/>
      <c r="AD461" s="58" t="str">
        <f>IF(ISNUMBER(MATCH(AE461,QUOC_GIA!$B:$B,0)),INDEX(QUOC_GIA!$A:$A,MATCH(AE461,QUOC_GIA!$B:$B,0)),"")</f>
        <v/>
      </c>
      <c r="AE461" s="16"/>
      <c r="AF461" s="48"/>
      <c r="AG461" s="59" t="str">
        <f>IFERROR(INDEX(TINH_TP!$B:$B,MATCH(AF461,TINH_TP!$A:$A,0)),"")</f>
        <v/>
      </c>
      <c r="AH461" s="50"/>
      <c r="AI461" s="59" t="str">
        <f>IF(OR(AF461="",AH461=""),"",IF(COUNTIFS(PHUONG_XA!$A$2:$A$3323,AH461,PHUONG_XA!$C$2:$C$3323,AF461)=0,"",INDEX(PHUONG_XA!$B$2:$B$3323,SUMPRODUCT((PHUONG_XA!$A$2:$A$3323&amp;""=AH461&amp;"")*(PHUONG_XA!$C$2:$C$3323&amp;""=AF461&amp;"")*(ROW(PHUONG_XA!$A$2:$A$3323)-ROW(PHUONG_XA!$A$2)+1)))))</f>
        <v/>
      </c>
      <c r="AJ461" s="14"/>
      <c r="AK461" s="14"/>
      <c r="AL461" s="57" t="str">
        <f t="shared" si="8"/>
        <v/>
      </c>
      <c r="AM461" s="14"/>
      <c r="AN461" s="15"/>
      <c r="AO461" s="15"/>
      <c r="AP461" s="48"/>
      <c r="AQ461" s="15"/>
      <c r="AR461" s="15"/>
      <c r="AS461" s="15"/>
      <c r="AT461" s="60" t="str">
        <f>IF(ISNUMBER(MATCH(AU461,LOAI_THE!$B:$B,0)),INDEX(LOAI_THE!$A:$A,MATCH(AU461,LOAI_THE!$B:$B,0)),"")</f>
        <v/>
      </c>
      <c r="AU461" s="48"/>
      <c r="AV461" s="15"/>
      <c r="AW461" s="15"/>
      <c r="AX461" s="15"/>
      <c r="AY461" s="48"/>
    </row>
    <row r="462" spans="1:51" x14ac:dyDescent="0.3">
      <c r="A462" s="13" t="s">
        <v>4457</v>
      </c>
      <c r="B462" s="48"/>
      <c r="C462" s="48"/>
      <c r="D462" s="48"/>
      <c r="E462" s="48"/>
      <c r="F462" s="48"/>
      <c r="G462" s="58" t="str">
        <f>IF(ISNUMBER(MATCH(H462,GIOI_TINH!$B:$B,0)),INDEX(GIOI_TINH!$A:$A,MATCH(H462,GIOI_TINH!$B:$B,0)),"")</f>
        <v/>
      </c>
      <c r="H462" s="15"/>
      <c r="I462" s="15"/>
      <c r="J462" s="58" t="str">
        <f>IF(ISNUMBER(MATCH(K462,QUOC_GIA!$B:$B,0)),INDEX(QUOC_GIA!$A:$A,MATCH(K462,QUOC_GIA!$B:$B,0)),"")</f>
        <v/>
      </c>
      <c r="K462" s="50"/>
      <c r="L462" s="15"/>
      <c r="M462" s="58" t="str">
        <f>IF(ISNUMBER(MATCH(N462,LOAI_THUE!$B:$B,0)),INDEX(LOAI_THUE!$A:$A,MATCH(N462,LOAI_THUE!$B:$B,0)),"")</f>
        <v/>
      </c>
      <c r="N462" s="50"/>
      <c r="O462" s="58" t="str">
        <f>IF(ISNUMBER(MATCH(P462,CHI_TIET_LOAI_KH!$B:$B,0)),INDEX(CHI_TIET_LOAI_KH!$A:$A,MATCH(P462,CHI_TIET_LOAI_KH!$B:$B,0)),"")</f>
        <v/>
      </c>
      <c r="P462" s="50"/>
      <c r="Q462" s="58" t="str">
        <f>IF(ISNUMBER(MATCH(R462,NGHE_NGHIEP!$B:$B,0)),INDEX(NGHE_NGHIEP!$A:$A,MATCH(R462,NGHE_NGHIEP!$B:$B,0)),"")</f>
        <v/>
      </c>
      <c r="R462" s="50"/>
      <c r="S462" s="58" t="str">
        <f>IF(ISNUMBER(MATCH(T462,LOAI_ID!$B:$B,0)),INDEX(LOAI_ID!$A:$A,MATCH(T462,LOAI_ID!$B:$B,0)),"")</f>
        <v/>
      </c>
      <c r="T462" s="16"/>
      <c r="U462" s="48"/>
      <c r="V462" s="48"/>
      <c r="W462" s="17"/>
      <c r="X462" s="17"/>
      <c r="Y462" s="15"/>
      <c r="Z462" s="15"/>
      <c r="AA462" s="59" t="str">
        <f>IFERROR(INDEX(NOI_CAP!$B:$B,MATCH(Z462,NOI_CAP!$A:$A,0)),"")</f>
        <v/>
      </c>
      <c r="AB462" s="58" t="str">
        <f>IF(ISNUMBER(MATCH(AC462,LOAI_DIA_CHI!$B:$B,0)),INDEX(LOAI_DIA_CHI!$A:$A,MATCH(AC462,LOAI_DIA_CHI!$B:$B,0)),"")</f>
        <v/>
      </c>
      <c r="AC462" s="16"/>
      <c r="AD462" s="58" t="str">
        <f>IF(ISNUMBER(MATCH(AE462,QUOC_GIA!$B:$B,0)),INDEX(QUOC_GIA!$A:$A,MATCH(AE462,QUOC_GIA!$B:$B,0)),"")</f>
        <v/>
      </c>
      <c r="AE462" s="16"/>
      <c r="AF462" s="48"/>
      <c r="AG462" s="59" t="str">
        <f>IFERROR(INDEX(TINH_TP!$B:$B,MATCH(AF462,TINH_TP!$A:$A,0)),"")</f>
        <v/>
      </c>
      <c r="AH462" s="50"/>
      <c r="AI462" s="59" t="str">
        <f>IF(OR(AF462="",AH462=""),"",IF(COUNTIFS(PHUONG_XA!$A$2:$A$3323,AH462,PHUONG_XA!$C$2:$C$3323,AF462)=0,"",INDEX(PHUONG_XA!$B$2:$B$3323,SUMPRODUCT((PHUONG_XA!$A$2:$A$3323&amp;""=AH462&amp;"")*(PHUONG_XA!$C$2:$C$3323&amp;""=AF462&amp;"")*(ROW(PHUONG_XA!$A$2:$A$3323)-ROW(PHUONG_XA!$A$2)+1)))))</f>
        <v/>
      </c>
      <c r="AJ462" s="14"/>
      <c r="AK462" s="14"/>
      <c r="AL462" s="57" t="str">
        <f t="shared" si="8"/>
        <v/>
      </c>
      <c r="AM462" s="14"/>
      <c r="AN462" s="15"/>
      <c r="AO462" s="15"/>
      <c r="AP462" s="48"/>
      <c r="AQ462" s="15"/>
      <c r="AR462" s="15"/>
      <c r="AS462" s="15"/>
      <c r="AT462" s="60" t="str">
        <f>IF(ISNUMBER(MATCH(AU462,LOAI_THE!$B:$B,0)),INDEX(LOAI_THE!$A:$A,MATCH(AU462,LOAI_THE!$B:$B,0)),"")</f>
        <v/>
      </c>
      <c r="AU462" s="48"/>
      <c r="AV462" s="15"/>
      <c r="AW462" s="15"/>
      <c r="AX462" s="15"/>
      <c r="AY462" s="48"/>
    </row>
    <row r="463" spans="1:51" x14ac:dyDescent="0.3">
      <c r="A463" s="13" t="s">
        <v>4458</v>
      </c>
      <c r="B463" s="48"/>
      <c r="C463" s="48"/>
      <c r="D463" s="48"/>
      <c r="E463" s="48"/>
      <c r="F463" s="48"/>
      <c r="G463" s="58" t="str">
        <f>IF(ISNUMBER(MATCH(H463,GIOI_TINH!$B:$B,0)),INDEX(GIOI_TINH!$A:$A,MATCH(H463,GIOI_TINH!$B:$B,0)),"")</f>
        <v/>
      </c>
      <c r="H463" s="15"/>
      <c r="I463" s="15"/>
      <c r="J463" s="58" t="str">
        <f>IF(ISNUMBER(MATCH(K463,QUOC_GIA!$B:$B,0)),INDEX(QUOC_GIA!$A:$A,MATCH(K463,QUOC_GIA!$B:$B,0)),"")</f>
        <v/>
      </c>
      <c r="K463" s="50"/>
      <c r="L463" s="15"/>
      <c r="M463" s="58" t="str">
        <f>IF(ISNUMBER(MATCH(N463,LOAI_THUE!$B:$B,0)),INDEX(LOAI_THUE!$A:$A,MATCH(N463,LOAI_THUE!$B:$B,0)),"")</f>
        <v/>
      </c>
      <c r="N463" s="50"/>
      <c r="O463" s="58" t="str">
        <f>IF(ISNUMBER(MATCH(P463,CHI_TIET_LOAI_KH!$B:$B,0)),INDEX(CHI_TIET_LOAI_KH!$A:$A,MATCH(P463,CHI_TIET_LOAI_KH!$B:$B,0)),"")</f>
        <v/>
      </c>
      <c r="P463" s="50"/>
      <c r="Q463" s="58" t="str">
        <f>IF(ISNUMBER(MATCH(R463,NGHE_NGHIEP!$B:$B,0)),INDEX(NGHE_NGHIEP!$A:$A,MATCH(R463,NGHE_NGHIEP!$B:$B,0)),"")</f>
        <v/>
      </c>
      <c r="R463" s="50"/>
      <c r="S463" s="58" t="str">
        <f>IF(ISNUMBER(MATCH(T463,LOAI_ID!$B:$B,0)),INDEX(LOAI_ID!$A:$A,MATCH(T463,LOAI_ID!$B:$B,0)),"")</f>
        <v/>
      </c>
      <c r="T463" s="16"/>
      <c r="U463" s="48"/>
      <c r="V463" s="48"/>
      <c r="W463" s="17"/>
      <c r="X463" s="17"/>
      <c r="Y463" s="15"/>
      <c r="Z463" s="15"/>
      <c r="AA463" s="59" t="str">
        <f>IFERROR(INDEX(NOI_CAP!$B:$B,MATCH(Z463,NOI_CAP!$A:$A,0)),"")</f>
        <v/>
      </c>
      <c r="AB463" s="58" t="str">
        <f>IF(ISNUMBER(MATCH(AC463,LOAI_DIA_CHI!$B:$B,0)),INDEX(LOAI_DIA_CHI!$A:$A,MATCH(AC463,LOAI_DIA_CHI!$B:$B,0)),"")</f>
        <v/>
      </c>
      <c r="AC463" s="16"/>
      <c r="AD463" s="58" t="str">
        <f>IF(ISNUMBER(MATCH(AE463,QUOC_GIA!$B:$B,0)),INDEX(QUOC_GIA!$A:$A,MATCH(AE463,QUOC_GIA!$B:$B,0)),"")</f>
        <v/>
      </c>
      <c r="AE463" s="16"/>
      <c r="AF463" s="48"/>
      <c r="AG463" s="59" t="str">
        <f>IFERROR(INDEX(TINH_TP!$B:$B,MATCH(AF463,TINH_TP!$A:$A,0)),"")</f>
        <v/>
      </c>
      <c r="AH463" s="50"/>
      <c r="AI463" s="59" t="str">
        <f>IF(OR(AF463="",AH463=""),"",IF(COUNTIFS(PHUONG_XA!$A$2:$A$3323,AH463,PHUONG_XA!$C$2:$C$3323,AF463)=0,"",INDEX(PHUONG_XA!$B$2:$B$3323,SUMPRODUCT((PHUONG_XA!$A$2:$A$3323&amp;""=AH463&amp;"")*(PHUONG_XA!$C$2:$C$3323&amp;""=AF463&amp;"")*(ROW(PHUONG_XA!$A$2:$A$3323)-ROW(PHUONG_XA!$A$2)+1)))))</f>
        <v/>
      </c>
      <c r="AJ463" s="14"/>
      <c r="AK463" s="14"/>
      <c r="AL463" s="57" t="str">
        <f t="shared" si="8"/>
        <v/>
      </c>
      <c r="AM463" s="14"/>
      <c r="AN463" s="15"/>
      <c r="AO463" s="15"/>
      <c r="AP463" s="48"/>
      <c r="AQ463" s="15"/>
      <c r="AR463" s="15"/>
      <c r="AS463" s="15"/>
      <c r="AT463" s="60" t="str">
        <f>IF(ISNUMBER(MATCH(AU463,LOAI_THE!$B:$B,0)),INDEX(LOAI_THE!$A:$A,MATCH(AU463,LOAI_THE!$B:$B,0)),"")</f>
        <v/>
      </c>
      <c r="AU463" s="48"/>
      <c r="AV463" s="15"/>
      <c r="AW463" s="15"/>
      <c r="AX463" s="15"/>
      <c r="AY463" s="48"/>
    </row>
    <row r="464" spans="1:51" x14ac:dyDescent="0.3">
      <c r="A464" s="13" t="s">
        <v>819</v>
      </c>
      <c r="B464" s="48"/>
      <c r="C464" s="48"/>
      <c r="D464" s="48"/>
      <c r="E464" s="48"/>
      <c r="F464" s="48"/>
      <c r="G464" s="58" t="str">
        <f>IF(ISNUMBER(MATCH(H464,GIOI_TINH!$B:$B,0)),INDEX(GIOI_TINH!$A:$A,MATCH(H464,GIOI_TINH!$B:$B,0)),"")</f>
        <v/>
      </c>
      <c r="H464" s="15"/>
      <c r="I464" s="15"/>
      <c r="J464" s="58" t="str">
        <f>IF(ISNUMBER(MATCH(K464,QUOC_GIA!$B:$B,0)),INDEX(QUOC_GIA!$A:$A,MATCH(K464,QUOC_GIA!$B:$B,0)),"")</f>
        <v/>
      </c>
      <c r="K464" s="50"/>
      <c r="L464" s="15"/>
      <c r="M464" s="58" t="str">
        <f>IF(ISNUMBER(MATCH(N464,LOAI_THUE!$B:$B,0)),INDEX(LOAI_THUE!$A:$A,MATCH(N464,LOAI_THUE!$B:$B,0)),"")</f>
        <v/>
      </c>
      <c r="N464" s="50"/>
      <c r="O464" s="58" t="str">
        <f>IF(ISNUMBER(MATCH(P464,CHI_TIET_LOAI_KH!$B:$B,0)),INDEX(CHI_TIET_LOAI_KH!$A:$A,MATCH(P464,CHI_TIET_LOAI_KH!$B:$B,0)),"")</f>
        <v/>
      </c>
      <c r="P464" s="50"/>
      <c r="Q464" s="58" t="str">
        <f>IF(ISNUMBER(MATCH(R464,NGHE_NGHIEP!$B:$B,0)),INDEX(NGHE_NGHIEP!$A:$A,MATCH(R464,NGHE_NGHIEP!$B:$B,0)),"")</f>
        <v/>
      </c>
      <c r="R464" s="50"/>
      <c r="S464" s="58" t="str">
        <f>IF(ISNUMBER(MATCH(T464,LOAI_ID!$B:$B,0)),INDEX(LOAI_ID!$A:$A,MATCH(T464,LOAI_ID!$B:$B,0)),"")</f>
        <v/>
      </c>
      <c r="T464" s="16"/>
      <c r="U464" s="48"/>
      <c r="V464" s="48"/>
      <c r="W464" s="17"/>
      <c r="X464" s="17"/>
      <c r="Y464" s="15"/>
      <c r="Z464" s="15"/>
      <c r="AA464" s="59" t="str">
        <f>IFERROR(INDEX(NOI_CAP!$B:$B,MATCH(Z464,NOI_CAP!$A:$A,0)),"")</f>
        <v/>
      </c>
      <c r="AB464" s="58" t="str">
        <f>IF(ISNUMBER(MATCH(AC464,LOAI_DIA_CHI!$B:$B,0)),INDEX(LOAI_DIA_CHI!$A:$A,MATCH(AC464,LOAI_DIA_CHI!$B:$B,0)),"")</f>
        <v/>
      </c>
      <c r="AC464" s="16"/>
      <c r="AD464" s="58" t="str">
        <f>IF(ISNUMBER(MATCH(AE464,QUOC_GIA!$B:$B,0)),INDEX(QUOC_GIA!$A:$A,MATCH(AE464,QUOC_GIA!$B:$B,0)),"")</f>
        <v/>
      </c>
      <c r="AE464" s="16"/>
      <c r="AF464" s="48"/>
      <c r="AG464" s="59" t="str">
        <f>IFERROR(INDEX(TINH_TP!$B:$B,MATCH(AF464,TINH_TP!$A:$A,0)),"")</f>
        <v/>
      </c>
      <c r="AH464" s="50"/>
      <c r="AI464" s="59" t="str">
        <f>IF(OR(AF464="",AH464=""),"",IF(COUNTIFS(PHUONG_XA!$A$2:$A$3323,AH464,PHUONG_XA!$C$2:$C$3323,AF464)=0,"",INDEX(PHUONG_XA!$B$2:$B$3323,SUMPRODUCT((PHUONG_XA!$A$2:$A$3323&amp;""=AH464&amp;"")*(PHUONG_XA!$C$2:$C$3323&amp;""=AF464&amp;"")*(ROW(PHUONG_XA!$A$2:$A$3323)-ROW(PHUONG_XA!$A$2)+1)))))</f>
        <v/>
      </c>
      <c r="AJ464" s="14"/>
      <c r="AK464" s="14"/>
      <c r="AL464" s="57" t="str">
        <f t="shared" si="8"/>
        <v/>
      </c>
      <c r="AM464" s="14"/>
      <c r="AN464" s="15"/>
      <c r="AO464" s="15"/>
      <c r="AP464" s="48"/>
      <c r="AQ464" s="15"/>
      <c r="AR464" s="15"/>
      <c r="AS464" s="15"/>
      <c r="AT464" s="60" t="str">
        <f>IF(ISNUMBER(MATCH(AU464,LOAI_THE!$B:$B,0)),INDEX(LOAI_THE!$A:$A,MATCH(AU464,LOAI_THE!$B:$B,0)),"")</f>
        <v/>
      </c>
      <c r="AU464" s="48"/>
      <c r="AV464" s="15"/>
      <c r="AW464" s="15"/>
      <c r="AX464" s="15"/>
      <c r="AY464" s="48"/>
    </row>
    <row r="465" spans="1:51" x14ac:dyDescent="0.3">
      <c r="A465" s="13" t="s">
        <v>4459</v>
      </c>
      <c r="B465" s="48"/>
      <c r="C465" s="48"/>
      <c r="D465" s="48"/>
      <c r="E465" s="48"/>
      <c r="F465" s="48"/>
      <c r="G465" s="58" t="str">
        <f>IF(ISNUMBER(MATCH(H465,GIOI_TINH!$B:$B,0)),INDEX(GIOI_TINH!$A:$A,MATCH(H465,GIOI_TINH!$B:$B,0)),"")</f>
        <v/>
      </c>
      <c r="H465" s="15"/>
      <c r="I465" s="15"/>
      <c r="J465" s="58" t="str">
        <f>IF(ISNUMBER(MATCH(K465,QUOC_GIA!$B:$B,0)),INDEX(QUOC_GIA!$A:$A,MATCH(K465,QUOC_GIA!$B:$B,0)),"")</f>
        <v/>
      </c>
      <c r="K465" s="50"/>
      <c r="L465" s="15"/>
      <c r="M465" s="58" t="str">
        <f>IF(ISNUMBER(MATCH(N465,LOAI_THUE!$B:$B,0)),INDEX(LOAI_THUE!$A:$A,MATCH(N465,LOAI_THUE!$B:$B,0)),"")</f>
        <v/>
      </c>
      <c r="N465" s="50"/>
      <c r="O465" s="58" t="str">
        <f>IF(ISNUMBER(MATCH(P465,CHI_TIET_LOAI_KH!$B:$B,0)),INDEX(CHI_TIET_LOAI_KH!$A:$A,MATCH(P465,CHI_TIET_LOAI_KH!$B:$B,0)),"")</f>
        <v/>
      </c>
      <c r="P465" s="50"/>
      <c r="Q465" s="58" t="str">
        <f>IF(ISNUMBER(MATCH(R465,NGHE_NGHIEP!$B:$B,0)),INDEX(NGHE_NGHIEP!$A:$A,MATCH(R465,NGHE_NGHIEP!$B:$B,0)),"")</f>
        <v/>
      </c>
      <c r="R465" s="50"/>
      <c r="S465" s="58" t="str">
        <f>IF(ISNUMBER(MATCH(T465,LOAI_ID!$B:$B,0)),INDEX(LOAI_ID!$A:$A,MATCH(T465,LOAI_ID!$B:$B,0)),"")</f>
        <v/>
      </c>
      <c r="T465" s="16"/>
      <c r="U465" s="48"/>
      <c r="V465" s="48"/>
      <c r="W465" s="17"/>
      <c r="X465" s="17"/>
      <c r="Y465" s="15"/>
      <c r="Z465" s="15"/>
      <c r="AA465" s="59" t="str">
        <f>IFERROR(INDEX(NOI_CAP!$B:$B,MATCH(Z465,NOI_CAP!$A:$A,0)),"")</f>
        <v/>
      </c>
      <c r="AB465" s="58" t="str">
        <f>IF(ISNUMBER(MATCH(AC465,LOAI_DIA_CHI!$B:$B,0)),INDEX(LOAI_DIA_CHI!$A:$A,MATCH(AC465,LOAI_DIA_CHI!$B:$B,0)),"")</f>
        <v/>
      </c>
      <c r="AC465" s="16"/>
      <c r="AD465" s="58" t="str">
        <f>IF(ISNUMBER(MATCH(AE465,QUOC_GIA!$B:$B,0)),INDEX(QUOC_GIA!$A:$A,MATCH(AE465,QUOC_GIA!$B:$B,0)),"")</f>
        <v/>
      </c>
      <c r="AE465" s="16"/>
      <c r="AF465" s="48"/>
      <c r="AG465" s="59" t="str">
        <f>IFERROR(INDEX(TINH_TP!$B:$B,MATCH(AF465,TINH_TP!$A:$A,0)),"")</f>
        <v/>
      </c>
      <c r="AH465" s="50"/>
      <c r="AI465" s="59" t="str">
        <f>IF(OR(AF465="",AH465=""),"",IF(COUNTIFS(PHUONG_XA!$A$2:$A$3323,AH465,PHUONG_XA!$C$2:$C$3323,AF465)=0,"",INDEX(PHUONG_XA!$B$2:$B$3323,SUMPRODUCT((PHUONG_XA!$A$2:$A$3323&amp;""=AH465&amp;"")*(PHUONG_XA!$C$2:$C$3323&amp;""=AF465&amp;"")*(ROW(PHUONG_XA!$A$2:$A$3323)-ROW(PHUONG_XA!$A$2)+1)))))</f>
        <v/>
      </c>
      <c r="AJ465" s="14"/>
      <c r="AK465" s="14"/>
      <c r="AL465" s="57" t="str">
        <f t="shared" si="8"/>
        <v/>
      </c>
      <c r="AM465" s="14"/>
      <c r="AN465" s="15"/>
      <c r="AO465" s="15"/>
      <c r="AP465" s="48"/>
      <c r="AQ465" s="15"/>
      <c r="AR465" s="15"/>
      <c r="AS465" s="15"/>
      <c r="AT465" s="60" t="str">
        <f>IF(ISNUMBER(MATCH(AU465,LOAI_THE!$B:$B,0)),INDEX(LOAI_THE!$A:$A,MATCH(AU465,LOAI_THE!$B:$B,0)),"")</f>
        <v/>
      </c>
      <c r="AU465" s="48"/>
      <c r="AV465" s="15"/>
      <c r="AW465" s="15"/>
      <c r="AX465" s="15"/>
      <c r="AY465" s="48"/>
    </row>
    <row r="466" spans="1:51" x14ac:dyDescent="0.3">
      <c r="A466" s="13" t="s">
        <v>4460</v>
      </c>
      <c r="B466" s="48"/>
      <c r="C466" s="48"/>
      <c r="D466" s="48"/>
      <c r="E466" s="48"/>
      <c r="F466" s="48"/>
      <c r="G466" s="58" t="str">
        <f>IF(ISNUMBER(MATCH(H466,GIOI_TINH!$B:$B,0)),INDEX(GIOI_TINH!$A:$A,MATCH(H466,GIOI_TINH!$B:$B,0)),"")</f>
        <v/>
      </c>
      <c r="H466" s="15"/>
      <c r="I466" s="15"/>
      <c r="J466" s="58" t="str">
        <f>IF(ISNUMBER(MATCH(K466,QUOC_GIA!$B:$B,0)),INDEX(QUOC_GIA!$A:$A,MATCH(K466,QUOC_GIA!$B:$B,0)),"")</f>
        <v/>
      </c>
      <c r="K466" s="50"/>
      <c r="L466" s="15"/>
      <c r="M466" s="58" t="str">
        <f>IF(ISNUMBER(MATCH(N466,LOAI_THUE!$B:$B,0)),INDEX(LOAI_THUE!$A:$A,MATCH(N466,LOAI_THUE!$B:$B,0)),"")</f>
        <v/>
      </c>
      <c r="N466" s="50"/>
      <c r="O466" s="58" t="str">
        <f>IF(ISNUMBER(MATCH(P466,CHI_TIET_LOAI_KH!$B:$B,0)),INDEX(CHI_TIET_LOAI_KH!$A:$A,MATCH(P466,CHI_TIET_LOAI_KH!$B:$B,0)),"")</f>
        <v/>
      </c>
      <c r="P466" s="50"/>
      <c r="Q466" s="58" t="str">
        <f>IF(ISNUMBER(MATCH(R466,NGHE_NGHIEP!$B:$B,0)),INDEX(NGHE_NGHIEP!$A:$A,MATCH(R466,NGHE_NGHIEP!$B:$B,0)),"")</f>
        <v/>
      </c>
      <c r="R466" s="50"/>
      <c r="S466" s="58" t="str">
        <f>IF(ISNUMBER(MATCH(T466,LOAI_ID!$B:$B,0)),INDEX(LOAI_ID!$A:$A,MATCH(T466,LOAI_ID!$B:$B,0)),"")</f>
        <v/>
      </c>
      <c r="T466" s="16"/>
      <c r="U466" s="48"/>
      <c r="V466" s="48"/>
      <c r="W466" s="17"/>
      <c r="X466" s="17"/>
      <c r="Y466" s="15"/>
      <c r="Z466" s="15"/>
      <c r="AA466" s="59" t="str">
        <f>IFERROR(INDEX(NOI_CAP!$B:$B,MATCH(Z466,NOI_CAP!$A:$A,0)),"")</f>
        <v/>
      </c>
      <c r="AB466" s="58" t="str">
        <f>IF(ISNUMBER(MATCH(AC466,LOAI_DIA_CHI!$B:$B,0)),INDEX(LOAI_DIA_CHI!$A:$A,MATCH(AC466,LOAI_DIA_CHI!$B:$B,0)),"")</f>
        <v/>
      </c>
      <c r="AC466" s="16"/>
      <c r="AD466" s="58" t="str">
        <f>IF(ISNUMBER(MATCH(AE466,QUOC_GIA!$B:$B,0)),INDEX(QUOC_GIA!$A:$A,MATCH(AE466,QUOC_GIA!$B:$B,0)),"")</f>
        <v/>
      </c>
      <c r="AE466" s="16"/>
      <c r="AF466" s="48"/>
      <c r="AG466" s="59" t="str">
        <f>IFERROR(INDEX(TINH_TP!$B:$B,MATCH(AF466,TINH_TP!$A:$A,0)),"")</f>
        <v/>
      </c>
      <c r="AH466" s="50"/>
      <c r="AI466" s="59" t="str">
        <f>IF(OR(AF466="",AH466=""),"",IF(COUNTIFS(PHUONG_XA!$A$2:$A$3323,AH466,PHUONG_XA!$C$2:$C$3323,AF466)=0,"",INDEX(PHUONG_XA!$B$2:$B$3323,SUMPRODUCT((PHUONG_XA!$A$2:$A$3323&amp;""=AH466&amp;"")*(PHUONG_XA!$C$2:$C$3323&amp;""=AF466&amp;"")*(ROW(PHUONG_XA!$A$2:$A$3323)-ROW(PHUONG_XA!$A$2)+1)))))</f>
        <v/>
      </c>
      <c r="AJ466" s="14"/>
      <c r="AK466" s="14"/>
      <c r="AL466" s="57" t="str">
        <f t="shared" si="8"/>
        <v/>
      </c>
      <c r="AM466" s="14"/>
      <c r="AN466" s="15"/>
      <c r="AO466" s="15"/>
      <c r="AP466" s="48"/>
      <c r="AQ466" s="15"/>
      <c r="AR466" s="15"/>
      <c r="AS466" s="15"/>
      <c r="AT466" s="60" t="str">
        <f>IF(ISNUMBER(MATCH(AU466,LOAI_THE!$B:$B,0)),INDEX(LOAI_THE!$A:$A,MATCH(AU466,LOAI_THE!$B:$B,0)),"")</f>
        <v/>
      </c>
      <c r="AU466" s="48"/>
      <c r="AV466" s="15"/>
      <c r="AW466" s="15"/>
      <c r="AX466" s="15"/>
      <c r="AY466" s="48"/>
    </row>
    <row r="467" spans="1:51" x14ac:dyDescent="0.3">
      <c r="A467" s="13" t="s">
        <v>4461</v>
      </c>
      <c r="B467" s="48"/>
      <c r="C467" s="48"/>
      <c r="D467" s="48"/>
      <c r="E467" s="48"/>
      <c r="F467" s="48"/>
      <c r="G467" s="58" t="str">
        <f>IF(ISNUMBER(MATCH(H467,GIOI_TINH!$B:$B,0)),INDEX(GIOI_TINH!$A:$A,MATCH(H467,GIOI_TINH!$B:$B,0)),"")</f>
        <v/>
      </c>
      <c r="H467" s="15"/>
      <c r="I467" s="15"/>
      <c r="J467" s="58" t="str">
        <f>IF(ISNUMBER(MATCH(K467,QUOC_GIA!$B:$B,0)),INDEX(QUOC_GIA!$A:$A,MATCH(K467,QUOC_GIA!$B:$B,0)),"")</f>
        <v/>
      </c>
      <c r="K467" s="50"/>
      <c r="L467" s="15"/>
      <c r="M467" s="58" t="str">
        <f>IF(ISNUMBER(MATCH(N467,LOAI_THUE!$B:$B,0)),INDEX(LOAI_THUE!$A:$A,MATCH(N467,LOAI_THUE!$B:$B,0)),"")</f>
        <v/>
      </c>
      <c r="N467" s="50"/>
      <c r="O467" s="58" t="str">
        <f>IF(ISNUMBER(MATCH(P467,CHI_TIET_LOAI_KH!$B:$B,0)),INDEX(CHI_TIET_LOAI_KH!$A:$A,MATCH(P467,CHI_TIET_LOAI_KH!$B:$B,0)),"")</f>
        <v/>
      </c>
      <c r="P467" s="50"/>
      <c r="Q467" s="58" t="str">
        <f>IF(ISNUMBER(MATCH(R467,NGHE_NGHIEP!$B:$B,0)),INDEX(NGHE_NGHIEP!$A:$A,MATCH(R467,NGHE_NGHIEP!$B:$B,0)),"")</f>
        <v/>
      </c>
      <c r="R467" s="50"/>
      <c r="S467" s="58" t="str">
        <f>IF(ISNUMBER(MATCH(T467,LOAI_ID!$B:$B,0)),INDEX(LOAI_ID!$A:$A,MATCH(T467,LOAI_ID!$B:$B,0)),"")</f>
        <v/>
      </c>
      <c r="T467" s="16"/>
      <c r="U467" s="48"/>
      <c r="V467" s="48"/>
      <c r="W467" s="17"/>
      <c r="X467" s="17"/>
      <c r="Y467" s="15"/>
      <c r="Z467" s="15"/>
      <c r="AA467" s="59" t="str">
        <f>IFERROR(INDEX(NOI_CAP!$B:$B,MATCH(Z467,NOI_CAP!$A:$A,0)),"")</f>
        <v/>
      </c>
      <c r="AB467" s="58" t="str">
        <f>IF(ISNUMBER(MATCH(AC467,LOAI_DIA_CHI!$B:$B,0)),INDEX(LOAI_DIA_CHI!$A:$A,MATCH(AC467,LOAI_DIA_CHI!$B:$B,0)),"")</f>
        <v/>
      </c>
      <c r="AC467" s="16"/>
      <c r="AD467" s="58" t="str">
        <f>IF(ISNUMBER(MATCH(AE467,QUOC_GIA!$B:$B,0)),INDEX(QUOC_GIA!$A:$A,MATCH(AE467,QUOC_GIA!$B:$B,0)),"")</f>
        <v/>
      </c>
      <c r="AE467" s="16"/>
      <c r="AF467" s="48"/>
      <c r="AG467" s="59" t="str">
        <f>IFERROR(INDEX(TINH_TP!$B:$B,MATCH(AF467,TINH_TP!$A:$A,0)),"")</f>
        <v/>
      </c>
      <c r="AH467" s="50"/>
      <c r="AI467" s="59" t="str">
        <f>IF(OR(AF467="",AH467=""),"",IF(COUNTIFS(PHUONG_XA!$A$2:$A$3323,AH467,PHUONG_XA!$C$2:$C$3323,AF467)=0,"",INDEX(PHUONG_XA!$B$2:$B$3323,SUMPRODUCT((PHUONG_XA!$A$2:$A$3323&amp;""=AH467&amp;"")*(PHUONG_XA!$C$2:$C$3323&amp;""=AF467&amp;"")*(ROW(PHUONG_XA!$A$2:$A$3323)-ROW(PHUONG_XA!$A$2)+1)))))</f>
        <v/>
      </c>
      <c r="AJ467" s="14"/>
      <c r="AK467" s="14"/>
      <c r="AL467" s="57" t="str">
        <f t="shared" si="8"/>
        <v/>
      </c>
      <c r="AM467" s="14"/>
      <c r="AN467" s="15"/>
      <c r="AO467" s="15"/>
      <c r="AP467" s="48"/>
      <c r="AQ467" s="15"/>
      <c r="AR467" s="15"/>
      <c r="AS467" s="15"/>
      <c r="AT467" s="60" t="str">
        <f>IF(ISNUMBER(MATCH(AU467,LOAI_THE!$B:$B,0)),INDEX(LOAI_THE!$A:$A,MATCH(AU467,LOAI_THE!$B:$B,0)),"")</f>
        <v/>
      </c>
      <c r="AU467" s="48"/>
      <c r="AV467" s="15"/>
      <c r="AW467" s="15"/>
      <c r="AX467" s="15"/>
      <c r="AY467" s="48"/>
    </row>
    <row r="468" spans="1:51" x14ac:dyDescent="0.3">
      <c r="A468" s="13" t="s">
        <v>4462</v>
      </c>
      <c r="B468" s="48"/>
      <c r="C468" s="48"/>
      <c r="D468" s="48"/>
      <c r="E468" s="48"/>
      <c r="F468" s="48"/>
      <c r="G468" s="58" t="str">
        <f>IF(ISNUMBER(MATCH(H468,GIOI_TINH!$B:$B,0)),INDEX(GIOI_TINH!$A:$A,MATCH(H468,GIOI_TINH!$B:$B,0)),"")</f>
        <v/>
      </c>
      <c r="H468" s="15"/>
      <c r="I468" s="15"/>
      <c r="J468" s="58" t="str">
        <f>IF(ISNUMBER(MATCH(K468,QUOC_GIA!$B:$B,0)),INDEX(QUOC_GIA!$A:$A,MATCH(K468,QUOC_GIA!$B:$B,0)),"")</f>
        <v/>
      </c>
      <c r="K468" s="50"/>
      <c r="L468" s="15"/>
      <c r="M468" s="58" t="str">
        <f>IF(ISNUMBER(MATCH(N468,LOAI_THUE!$B:$B,0)),INDEX(LOAI_THUE!$A:$A,MATCH(N468,LOAI_THUE!$B:$B,0)),"")</f>
        <v/>
      </c>
      <c r="N468" s="50"/>
      <c r="O468" s="58" t="str">
        <f>IF(ISNUMBER(MATCH(P468,CHI_TIET_LOAI_KH!$B:$B,0)),INDEX(CHI_TIET_LOAI_KH!$A:$A,MATCH(P468,CHI_TIET_LOAI_KH!$B:$B,0)),"")</f>
        <v/>
      </c>
      <c r="P468" s="50"/>
      <c r="Q468" s="58" t="str">
        <f>IF(ISNUMBER(MATCH(R468,NGHE_NGHIEP!$B:$B,0)),INDEX(NGHE_NGHIEP!$A:$A,MATCH(R468,NGHE_NGHIEP!$B:$B,0)),"")</f>
        <v/>
      </c>
      <c r="R468" s="50"/>
      <c r="S468" s="58" t="str">
        <f>IF(ISNUMBER(MATCH(T468,LOAI_ID!$B:$B,0)),INDEX(LOAI_ID!$A:$A,MATCH(T468,LOAI_ID!$B:$B,0)),"")</f>
        <v/>
      </c>
      <c r="T468" s="16"/>
      <c r="U468" s="48"/>
      <c r="V468" s="48"/>
      <c r="W468" s="17"/>
      <c r="X468" s="17"/>
      <c r="Y468" s="15"/>
      <c r="Z468" s="15"/>
      <c r="AA468" s="59" t="str">
        <f>IFERROR(INDEX(NOI_CAP!$B:$B,MATCH(Z468,NOI_CAP!$A:$A,0)),"")</f>
        <v/>
      </c>
      <c r="AB468" s="58" t="str">
        <f>IF(ISNUMBER(MATCH(AC468,LOAI_DIA_CHI!$B:$B,0)),INDEX(LOAI_DIA_CHI!$A:$A,MATCH(AC468,LOAI_DIA_CHI!$B:$B,0)),"")</f>
        <v/>
      </c>
      <c r="AC468" s="16"/>
      <c r="AD468" s="58" t="str">
        <f>IF(ISNUMBER(MATCH(AE468,QUOC_GIA!$B:$B,0)),INDEX(QUOC_GIA!$A:$A,MATCH(AE468,QUOC_GIA!$B:$B,0)),"")</f>
        <v/>
      </c>
      <c r="AE468" s="16"/>
      <c r="AF468" s="48"/>
      <c r="AG468" s="59" t="str">
        <f>IFERROR(INDEX(TINH_TP!$B:$B,MATCH(AF468,TINH_TP!$A:$A,0)),"")</f>
        <v/>
      </c>
      <c r="AH468" s="50"/>
      <c r="AI468" s="59" t="str">
        <f>IF(OR(AF468="",AH468=""),"",IF(COUNTIFS(PHUONG_XA!$A$2:$A$3323,AH468,PHUONG_XA!$C$2:$C$3323,AF468)=0,"",INDEX(PHUONG_XA!$B$2:$B$3323,SUMPRODUCT((PHUONG_XA!$A$2:$A$3323&amp;""=AH468&amp;"")*(PHUONG_XA!$C$2:$C$3323&amp;""=AF468&amp;"")*(ROW(PHUONG_XA!$A$2:$A$3323)-ROW(PHUONG_XA!$A$2)+1)))))</f>
        <v/>
      </c>
      <c r="AJ468" s="14"/>
      <c r="AK468" s="14"/>
      <c r="AL468" s="57" t="str">
        <f t="shared" si="8"/>
        <v/>
      </c>
      <c r="AM468" s="14"/>
      <c r="AN468" s="15"/>
      <c r="AO468" s="15"/>
      <c r="AP468" s="48"/>
      <c r="AQ468" s="15"/>
      <c r="AR468" s="15"/>
      <c r="AS468" s="15"/>
      <c r="AT468" s="60" t="str">
        <f>IF(ISNUMBER(MATCH(AU468,LOAI_THE!$B:$B,0)),INDEX(LOAI_THE!$A:$A,MATCH(AU468,LOAI_THE!$B:$B,0)),"")</f>
        <v/>
      </c>
      <c r="AU468" s="48"/>
      <c r="AV468" s="15"/>
      <c r="AW468" s="15"/>
      <c r="AX468" s="15"/>
      <c r="AY468" s="48"/>
    </row>
    <row r="469" spans="1:51" x14ac:dyDescent="0.3">
      <c r="A469" s="13" t="s">
        <v>4463</v>
      </c>
      <c r="B469" s="48"/>
      <c r="C469" s="48"/>
      <c r="D469" s="48"/>
      <c r="E469" s="48"/>
      <c r="F469" s="48"/>
      <c r="G469" s="58" t="str">
        <f>IF(ISNUMBER(MATCH(H469,GIOI_TINH!$B:$B,0)),INDEX(GIOI_TINH!$A:$A,MATCH(H469,GIOI_TINH!$B:$B,0)),"")</f>
        <v/>
      </c>
      <c r="H469" s="15"/>
      <c r="I469" s="15"/>
      <c r="J469" s="58" t="str">
        <f>IF(ISNUMBER(MATCH(K469,QUOC_GIA!$B:$B,0)),INDEX(QUOC_GIA!$A:$A,MATCH(K469,QUOC_GIA!$B:$B,0)),"")</f>
        <v/>
      </c>
      <c r="K469" s="50"/>
      <c r="L469" s="15"/>
      <c r="M469" s="58" t="str">
        <f>IF(ISNUMBER(MATCH(N469,LOAI_THUE!$B:$B,0)),INDEX(LOAI_THUE!$A:$A,MATCH(N469,LOAI_THUE!$B:$B,0)),"")</f>
        <v/>
      </c>
      <c r="N469" s="50"/>
      <c r="O469" s="58" t="str">
        <f>IF(ISNUMBER(MATCH(P469,CHI_TIET_LOAI_KH!$B:$B,0)),INDEX(CHI_TIET_LOAI_KH!$A:$A,MATCH(P469,CHI_TIET_LOAI_KH!$B:$B,0)),"")</f>
        <v/>
      </c>
      <c r="P469" s="50"/>
      <c r="Q469" s="58" t="str">
        <f>IF(ISNUMBER(MATCH(R469,NGHE_NGHIEP!$B:$B,0)),INDEX(NGHE_NGHIEP!$A:$A,MATCH(R469,NGHE_NGHIEP!$B:$B,0)),"")</f>
        <v/>
      </c>
      <c r="R469" s="50"/>
      <c r="S469" s="58" t="str">
        <f>IF(ISNUMBER(MATCH(T469,LOAI_ID!$B:$B,0)),INDEX(LOAI_ID!$A:$A,MATCH(T469,LOAI_ID!$B:$B,0)),"")</f>
        <v/>
      </c>
      <c r="T469" s="16"/>
      <c r="U469" s="48"/>
      <c r="V469" s="48"/>
      <c r="W469" s="17"/>
      <c r="X469" s="17"/>
      <c r="Y469" s="15"/>
      <c r="Z469" s="15"/>
      <c r="AA469" s="59" t="str">
        <f>IFERROR(INDEX(NOI_CAP!$B:$B,MATCH(Z469,NOI_CAP!$A:$A,0)),"")</f>
        <v/>
      </c>
      <c r="AB469" s="58" t="str">
        <f>IF(ISNUMBER(MATCH(AC469,LOAI_DIA_CHI!$B:$B,0)),INDEX(LOAI_DIA_CHI!$A:$A,MATCH(AC469,LOAI_DIA_CHI!$B:$B,0)),"")</f>
        <v/>
      </c>
      <c r="AC469" s="16"/>
      <c r="AD469" s="58" t="str">
        <f>IF(ISNUMBER(MATCH(AE469,QUOC_GIA!$B:$B,0)),INDEX(QUOC_GIA!$A:$A,MATCH(AE469,QUOC_GIA!$B:$B,0)),"")</f>
        <v/>
      </c>
      <c r="AE469" s="16"/>
      <c r="AF469" s="48"/>
      <c r="AG469" s="59" t="str">
        <f>IFERROR(INDEX(TINH_TP!$B:$B,MATCH(AF469,TINH_TP!$A:$A,0)),"")</f>
        <v/>
      </c>
      <c r="AH469" s="50"/>
      <c r="AI469" s="59" t="str">
        <f>IF(OR(AF469="",AH469=""),"",IF(COUNTIFS(PHUONG_XA!$A$2:$A$3323,AH469,PHUONG_XA!$C$2:$C$3323,AF469)=0,"",INDEX(PHUONG_XA!$B$2:$B$3323,SUMPRODUCT((PHUONG_XA!$A$2:$A$3323&amp;""=AH469&amp;"")*(PHUONG_XA!$C$2:$C$3323&amp;""=AF469&amp;"")*(ROW(PHUONG_XA!$A$2:$A$3323)-ROW(PHUONG_XA!$A$2)+1)))))</f>
        <v/>
      </c>
      <c r="AJ469" s="14"/>
      <c r="AK469" s="14"/>
      <c r="AL469" s="57" t="str">
        <f t="shared" si="8"/>
        <v/>
      </c>
      <c r="AM469" s="14"/>
      <c r="AN469" s="15"/>
      <c r="AO469" s="15"/>
      <c r="AP469" s="48"/>
      <c r="AQ469" s="15"/>
      <c r="AR469" s="15"/>
      <c r="AS469" s="15"/>
      <c r="AT469" s="60" t="str">
        <f>IF(ISNUMBER(MATCH(AU469,LOAI_THE!$B:$B,0)),INDEX(LOAI_THE!$A:$A,MATCH(AU469,LOAI_THE!$B:$B,0)),"")</f>
        <v/>
      </c>
      <c r="AU469" s="48"/>
      <c r="AV469" s="15"/>
      <c r="AW469" s="15"/>
      <c r="AX469" s="15"/>
      <c r="AY469" s="48"/>
    </row>
    <row r="470" spans="1:51" x14ac:dyDescent="0.3">
      <c r="A470" s="13" t="s">
        <v>4464</v>
      </c>
      <c r="B470" s="48"/>
      <c r="C470" s="48"/>
      <c r="D470" s="48"/>
      <c r="E470" s="48"/>
      <c r="F470" s="48"/>
      <c r="G470" s="58" t="str">
        <f>IF(ISNUMBER(MATCH(H470,GIOI_TINH!$B:$B,0)),INDEX(GIOI_TINH!$A:$A,MATCH(H470,GIOI_TINH!$B:$B,0)),"")</f>
        <v/>
      </c>
      <c r="H470" s="15"/>
      <c r="I470" s="15"/>
      <c r="J470" s="58" t="str">
        <f>IF(ISNUMBER(MATCH(K470,QUOC_GIA!$B:$B,0)),INDEX(QUOC_GIA!$A:$A,MATCH(K470,QUOC_GIA!$B:$B,0)),"")</f>
        <v/>
      </c>
      <c r="K470" s="50"/>
      <c r="L470" s="15"/>
      <c r="M470" s="58" t="str">
        <f>IF(ISNUMBER(MATCH(N470,LOAI_THUE!$B:$B,0)),INDEX(LOAI_THUE!$A:$A,MATCH(N470,LOAI_THUE!$B:$B,0)),"")</f>
        <v/>
      </c>
      <c r="N470" s="50"/>
      <c r="O470" s="58" t="str">
        <f>IF(ISNUMBER(MATCH(P470,CHI_TIET_LOAI_KH!$B:$B,0)),INDEX(CHI_TIET_LOAI_KH!$A:$A,MATCH(P470,CHI_TIET_LOAI_KH!$B:$B,0)),"")</f>
        <v/>
      </c>
      <c r="P470" s="50"/>
      <c r="Q470" s="58" t="str">
        <f>IF(ISNUMBER(MATCH(R470,NGHE_NGHIEP!$B:$B,0)),INDEX(NGHE_NGHIEP!$A:$A,MATCH(R470,NGHE_NGHIEP!$B:$B,0)),"")</f>
        <v/>
      </c>
      <c r="R470" s="50"/>
      <c r="S470" s="58" t="str">
        <f>IF(ISNUMBER(MATCH(T470,LOAI_ID!$B:$B,0)),INDEX(LOAI_ID!$A:$A,MATCH(T470,LOAI_ID!$B:$B,0)),"")</f>
        <v/>
      </c>
      <c r="T470" s="16"/>
      <c r="U470" s="48"/>
      <c r="V470" s="48"/>
      <c r="W470" s="17"/>
      <c r="X470" s="17"/>
      <c r="Y470" s="15"/>
      <c r="Z470" s="15"/>
      <c r="AA470" s="59" t="str">
        <f>IFERROR(INDEX(NOI_CAP!$B:$B,MATCH(Z470,NOI_CAP!$A:$A,0)),"")</f>
        <v/>
      </c>
      <c r="AB470" s="58" t="str">
        <f>IF(ISNUMBER(MATCH(AC470,LOAI_DIA_CHI!$B:$B,0)),INDEX(LOAI_DIA_CHI!$A:$A,MATCH(AC470,LOAI_DIA_CHI!$B:$B,0)),"")</f>
        <v/>
      </c>
      <c r="AC470" s="16"/>
      <c r="AD470" s="58" t="str">
        <f>IF(ISNUMBER(MATCH(AE470,QUOC_GIA!$B:$B,0)),INDEX(QUOC_GIA!$A:$A,MATCH(AE470,QUOC_GIA!$B:$B,0)),"")</f>
        <v/>
      </c>
      <c r="AE470" s="16"/>
      <c r="AF470" s="48"/>
      <c r="AG470" s="59" t="str">
        <f>IFERROR(INDEX(TINH_TP!$B:$B,MATCH(AF470,TINH_TP!$A:$A,0)),"")</f>
        <v/>
      </c>
      <c r="AH470" s="50"/>
      <c r="AI470" s="59" t="str">
        <f>IF(OR(AF470="",AH470=""),"",IF(COUNTIFS(PHUONG_XA!$A$2:$A$3323,AH470,PHUONG_XA!$C$2:$C$3323,AF470)=0,"",INDEX(PHUONG_XA!$B$2:$B$3323,SUMPRODUCT((PHUONG_XA!$A$2:$A$3323&amp;""=AH470&amp;"")*(PHUONG_XA!$C$2:$C$3323&amp;""=AF470&amp;"")*(ROW(PHUONG_XA!$A$2:$A$3323)-ROW(PHUONG_XA!$A$2)+1)))))</f>
        <v/>
      </c>
      <c r="AJ470" s="14"/>
      <c r="AK470" s="14"/>
      <c r="AL470" s="57" t="str">
        <f t="shared" si="8"/>
        <v/>
      </c>
      <c r="AM470" s="14"/>
      <c r="AN470" s="15"/>
      <c r="AO470" s="15"/>
      <c r="AP470" s="48"/>
      <c r="AQ470" s="15"/>
      <c r="AR470" s="15"/>
      <c r="AS470" s="15"/>
      <c r="AT470" s="60" t="str">
        <f>IF(ISNUMBER(MATCH(AU470,LOAI_THE!$B:$B,0)),INDEX(LOAI_THE!$A:$A,MATCH(AU470,LOAI_THE!$B:$B,0)),"")</f>
        <v/>
      </c>
      <c r="AU470" s="48"/>
      <c r="AV470" s="15"/>
      <c r="AW470" s="15"/>
      <c r="AX470" s="15"/>
      <c r="AY470" s="48"/>
    </row>
    <row r="471" spans="1:51" x14ac:dyDescent="0.3">
      <c r="A471" s="13" t="s">
        <v>4465</v>
      </c>
      <c r="B471" s="48"/>
      <c r="C471" s="48"/>
      <c r="D471" s="48"/>
      <c r="E471" s="48"/>
      <c r="F471" s="48"/>
      <c r="G471" s="58" t="str">
        <f>IF(ISNUMBER(MATCH(H471,GIOI_TINH!$B:$B,0)),INDEX(GIOI_TINH!$A:$A,MATCH(H471,GIOI_TINH!$B:$B,0)),"")</f>
        <v/>
      </c>
      <c r="H471" s="15"/>
      <c r="I471" s="15"/>
      <c r="J471" s="58" t="str">
        <f>IF(ISNUMBER(MATCH(K471,QUOC_GIA!$B:$B,0)),INDEX(QUOC_GIA!$A:$A,MATCH(K471,QUOC_GIA!$B:$B,0)),"")</f>
        <v/>
      </c>
      <c r="K471" s="50"/>
      <c r="L471" s="15"/>
      <c r="M471" s="58" t="str">
        <f>IF(ISNUMBER(MATCH(N471,LOAI_THUE!$B:$B,0)),INDEX(LOAI_THUE!$A:$A,MATCH(N471,LOAI_THUE!$B:$B,0)),"")</f>
        <v/>
      </c>
      <c r="N471" s="50"/>
      <c r="O471" s="58" t="str">
        <f>IF(ISNUMBER(MATCH(P471,CHI_TIET_LOAI_KH!$B:$B,0)),INDEX(CHI_TIET_LOAI_KH!$A:$A,MATCH(P471,CHI_TIET_LOAI_KH!$B:$B,0)),"")</f>
        <v/>
      </c>
      <c r="P471" s="50"/>
      <c r="Q471" s="58" t="str">
        <f>IF(ISNUMBER(MATCH(R471,NGHE_NGHIEP!$B:$B,0)),INDEX(NGHE_NGHIEP!$A:$A,MATCH(R471,NGHE_NGHIEP!$B:$B,0)),"")</f>
        <v/>
      </c>
      <c r="R471" s="50"/>
      <c r="S471" s="58" t="str">
        <f>IF(ISNUMBER(MATCH(T471,LOAI_ID!$B:$B,0)),INDEX(LOAI_ID!$A:$A,MATCH(T471,LOAI_ID!$B:$B,0)),"")</f>
        <v/>
      </c>
      <c r="T471" s="16"/>
      <c r="U471" s="48"/>
      <c r="V471" s="48"/>
      <c r="W471" s="17"/>
      <c r="X471" s="17"/>
      <c r="Y471" s="15"/>
      <c r="Z471" s="15"/>
      <c r="AA471" s="59" t="str">
        <f>IFERROR(INDEX(NOI_CAP!$B:$B,MATCH(Z471,NOI_CAP!$A:$A,0)),"")</f>
        <v/>
      </c>
      <c r="AB471" s="58" t="str">
        <f>IF(ISNUMBER(MATCH(AC471,LOAI_DIA_CHI!$B:$B,0)),INDEX(LOAI_DIA_CHI!$A:$A,MATCH(AC471,LOAI_DIA_CHI!$B:$B,0)),"")</f>
        <v/>
      </c>
      <c r="AC471" s="16"/>
      <c r="AD471" s="58" t="str">
        <f>IF(ISNUMBER(MATCH(AE471,QUOC_GIA!$B:$B,0)),INDEX(QUOC_GIA!$A:$A,MATCH(AE471,QUOC_GIA!$B:$B,0)),"")</f>
        <v/>
      </c>
      <c r="AE471" s="16"/>
      <c r="AF471" s="48"/>
      <c r="AG471" s="59" t="str">
        <f>IFERROR(INDEX(TINH_TP!$B:$B,MATCH(AF471,TINH_TP!$A:$A,0)),"")</f>
        <v/>
      </c>
      <c r="AH471" s="50"/>
      <c r="AI471" s="59" t="str">
        <f>IF(OR(AF471="",AH471=""),"",IF(COUNTIFS(PHUONG_XA!$A$2:$A$3323,AH471,PHUONG_XA!$C$2:$C$3323,AF471)=0,"",INDEX(PHUONG_XA!$B$2:$B$3323,SUMPRODUCT((PHUONG_XA!$A$2:$A$3323&amp;""=AH471&amp;"")*(PHUONG_XA!$C$2:$C$3323&amp;""=AF471&amp;"")*(ROW(PHUONG_XA!$A$2:$A$3323)-ROW(PHUONG_XA!$A$2)+1)))))</f>
        <v/>
      </c>
      <c r="AJ471" s="14"/>
      <c r="AK471" s="14"/>
      <c r="AL471" s="57" t="str">
        <f t="shared" si="8"/>
        <v/>
      </c>
      <c r="AM471" s="14"/>
      <c r="AN471" s="15"/>
      <c r="AO471" s="15"/>
      <c r="AP471" s="48"/>
      <c r="AQ471" s="15"/>
      <c r="AR471" s="15"/>
      <c r="AS471" s="15"/>
      <c r="AT471" s="60" t="str">
        <f>IF(ISNUMBER(MATCH(AU471,LOAI_THE!$B:$B,0)),INDEX(LOAI_THE!$A:$A,MATCH(AU471,LOAI_THE!$B:$B,0)),"")</f>
        <v/>
      </c>
      <c r="AU471" s="48"/>
      <c r="AV471" s="15"/>
      <c r="AW471" s="15"/>
      <c r="AX471" s="15"/>
      <c r="AY471" s="48"/>
    </row>
    <row r="472" spans="1:51" x14ac:dyDescent="0.3">
      <c r="A472" s="13" t="s">
        <v>4466</v>
      </c>
      <c r="B472" s="48"/>
      <c r="C472" s="48"/>
      <c r="D472" s="48"/>
      <c r="E472" s="48"/>
      <c r="F472" s="48"/>
      <c r="G472" s="58" t="str">
        <f>IF(ISNUMBER(MATCH(H472,GIOI_TINH!$B:$B,0)),INDEX(GIOI_TINH!$A:$A,MATCH(H472,GIOI_TINH!$B:$B,0)),"")</f>
        <v/>
      </c>
      <c r="H472" s="15"/>
      <c r="I472" s="15"/>
      <c r="J472" s="58" t="str">
        <f>IF(ISNUMBER(MATCH(K472,QUOC_GIA!$B:$B,0)),INDEX(QUOC_GIA!$A:$A,MATCH(K472,QUOC_GIA!$B:$B,0)),"")</f>
        <v/>
      </c>
      <c r="K472" s="50"/>
      <c r="L472" s="15"/>
      <c r="M472" s="58" t="str">
        <f>IF(ISNUMBER(MATCH(N472,LOAI_THUE!$B:$B,0)),INDEX(LOAI_THUE!$A:$A,MATCH(N472,LOAI_THUE!$B:$B,0)),"")</f>
        <v/>
      </c>
      <c r="N472" s="50"/>
      <c r="O472" s="58" t="str">
        <f>IF(ISNUMBER(MATCH(P472,CHI_TIET_LOAI_KH!$B:$B,0)),INDEX(CHI_TIET_LOAI_KH!$A:$A,MATCH(P472,CHI_TIET_LOAI_KH!$B:$B,0)),"")</f>
        <v/>
      </c>
      <c r="P472" s="50"/>
      <c r="Q472" s="58" t="str">
        <f>IF(ISNUMBER(MATCH(R472,NGHE_NGHIEP!$B:$B,0)),INDEX(NGHE_NGHIEP!$A:$A,MATCH(R472,NGHE_NGHIEP!$B:$B,0)),"")</f>
        <v/>
      </c>
      <c r="R472" s="50"/>
      <c r="S472" s="58" t="str">
        <f>IF(ISNUMBER(MATCH(T472,LOAI_ID!$B:$B,0)),INDEX(LOAI_ID!$A:$A,MATCH(T472,LOAI_ID!$B:$B,0)),"")</f>
        <v/>
      </c>
      <c r="T472" s="16"/>
      <c r="U472" s="48"/>
      <c r="V472" s="48"/>
      <c r="W472" s="17"/>
      <c r="X472" s="17"/>
      <c r="Y472" s="15"/>
      <c r="Z472" s="15"/>
      <c r="AA472" s="59" t="str">
        <f>IFERROR(INDEX(NOI_CAP!$B:$B,MATCH(Z472,NOI_CAP!$A:$A,0)),"")</f>
        <v/>
      </c>
      <c r="AB472" s="58" t="str">
        <f>IF(ISNUMBER(MATCH(AC472,LOAI_DIA_CHI!$B:$B,0)),INDEX(LOAI_DIA_CHI!$A:$A,MATCH(AC472,LOAI_DIA_CHI!$B:$B,0)),"")</f>
        <v/>
      </c>
      <c r="AC472" s="16"/>
      <c r="AD472" s="58" t="str">
        <f>IF(ISNUMBER(MATCH(AE472,QUOC_GIA!$B:$B,0)),INDEX(QUOC_GIA!$A:$A,MATCH(AE472,QUOC_GIA!$B:$B,0)),"")</f>
        <v/>
      </c>
      <c r="AE472" s="16"/>
      <c r="AF472" s="48"/>
      <c r="AG472" s="59" t="str">
        <f>IFERROR(INDEX(TINH_TP!$B:$B,MATCH(AF472,TINH_TP!$A:$A,0)),"")</f>
        <v/>
      </c>
      <c r="AH472" s="50"/>
      <c r="AI472" s="59" t="str">
        <f>IF(OR(AF472="",AH472=""),"",IF(COUNTIFS(PHUONG_XA!$A$2:$A$3323,AH472,PHUONG_XA!$C$2:$C$3323,AF472)=0,"",INDEX(PHUONG_XA!$B$2:$B$3323,SUMPRODUCT((PHUONG_XA!$A$2:$A$3323&amp;""=AH472&amp;"")*(PHUONG_XA!$C$2:$C$3323&amp;""=AF472&amp;"")*(ROW(PHUONG_XA!$A$2:$A$3323)-ROW(PHUONG_XA!$A$2)+1)))))</f>
        <v/>
      </c>
      <c r="AJ472" s="14"/>
      <c r="AK472" s="14"/>
      <c r="AL472" s="57" t="str">
        <f t="shared" si="8"/>
        <v/>
      </c>
      <c r="AM472" s="14"/>
      <c r="AN472" s="15"/>
      <c r="AO472" s="15"/>
      <c r="AP472" s="48"/>
      <c r="AQ472" s="15"/>
      <c r="AR472" s="15"/>
      <c r="AS472" s="15"/>
      <c r="AT472" s="60" t="str">
        <f>IF(ISNUMBER(MATCH(AU472,LOAI_THE!$B:$B,0)),INDEX(LOAI_THE!$A:$A,MATCH(AU472,LOAI_THE!$B:$B,0)),"")</f>
        <v/>
      </c>
      <c r="AU472" s="48"/>
      <c r="AV472" s="15"/>
      <c r="AW472" s="15"/>
      <c r="AX472" s="15"/>
      <c r="AY472" s="48"/>
    </row>
    <row r="473" spans="1:51" x14ac:dyDescent="0.3">
      <c r="A473" s="13" t="s">
        <v>4467</v>
      </c>
      <c r="B473" s="48"/>
      <c r="C473" s="48"/>
      <c r="D473" s="48"/>
      <c r="E473" s="48"/>
      <c r="F473" s="48"/>
      <c r="G473" s="58" t="str">
        <f>IF(ISNUMBER(MATCH(H473,GIOI_TINH!$B:$B,0)),INDEX(GIOI_TINH!$A:$A,MATCH(H473,GIOI_TINH!$B:$B,0)),"")</f>
        <v/>
      </c>
      <c r="H473" s="15"/>
      <c r="I473" s="15"/>
      <c r="J473" s="58" t="str">
        <f>IF(ISNUMBER(MATCH(K473,QUOC_GIA!$B:$B,0)),INDEX(QUOC_GIA!$A:$A,MATCH(K473,QUOC_GIA!$B:$B,0)),"")</f>
        <v/>
      </c>
      <c r="K473" s="50"/>
      <c r="L473" s="15"/>
      <c r="M473" s="58" t="str">
        <f>IF(ISNUMBER(MATCH(N473,LOAI_THUE!$B:$B,0)),INDEX(LOAI_THUE!$A:$A,MATCH(N473,LOAI_THUE!$B:$B,0)),"")</f>
        <v/>
      </c>
      <c r="N473" s="50"/>
      <c r="O473" s="58" t="str">
        <f>IF(ISNUMBER(MATCH(P473,CHI_TIET_LOAI_KH!$B:$B,0)),INDEX(CHI_TIET_LOAI_KH!$A:$A,MATCH(P473,CHI_TIET_LOAI_KH!$B:$B,0)),"")</f>
        <v/>
      </c>
      <c r="P473" s="50"/>
      <c r="Q473" s="58" t="str">
        <f>IF(ISNUMBER(MATCH(R473,NGHE_NGHIEP!$B:$B,0)),INDEX(NGHE_NGHIEP!$A:$A,MATCH(R473,NGHE_NGHIEP!$B:$B,0)),"")</f>
        <v/>
      </c>
      <c r="R473" s="50"/>
      <c r="S473" s="58" t="str">
        <f>IF(ISNUMBER(MATCH(T473,LOAI_ID!$B:$B,0)),INDEX(LOAI_ID!$A:$A,MATCH(T473,LOAI_ID!$B:$B,0)),"")</f>
        <v/>
      </c>
      <c r="T473" s="16"/>
      <c r="U473" s="48"/>
      <c r="V473" s="48"/>
      <c r="W473" s="17"/>
      <c r="X473" s="17"/>
      <c r="Y473" s="15"/>
      <c r="Z473" s="15"/>
      <c r="AA473" s="59" t="str">
        <f>IFERROR(INDEX(NOI_CAP!$B:$B,MATCH(Z473,NOI_CAP!$A:$A,0)),"")</f>
        <v/>
      </c>
      <c r="AB473" s="58" t="str">
        <f>IF(ISNUMBER(MATCH(AC473,LOAI_DIA_CHI!$B:$B,0)),INDEX(LOAI_DIA_CHI!$A:$A,MATCH(AC473,LOAI_DIA_CHI!$B:$B,0)),"")</f>
        <v/>
      </c>
      <c r="AC473" s="16"/>
      <c r="AD473" s="58" t="str">
        <f>IF(ISNUMBER(MATCH(AE473,QUOC_GIA!$B:$B,0)),INDEX(QUOC_GIA!$A:$A,MATCH(AE473,QUOC_GIA!$B:$B,0)),"")</f>
        <v/>
      </c>
      <c r="AE473" s="16"/>
      <c r="AF473" s="48"/>
      <c r="AG473" s="59" t="str">
        <f>IFERROR(INDEX(TINH_TP!$B:$B,MATCH(AF473,TINH_TP!$A:$A,0)),"")</f>
        <v/>
      </c>
      <c r="AH473" s="50"/>
      <c r="AI473" s="59" t="str">
        <f>IF(OR(AF473="",AH473=""),"",IF(COUNTIFS(PHUONG_XA!$A$2:$A$3323,AH473,PHUONG_XA!$C$2:$C$3323,AF473)=0,"",INDEX(PHUONG_XA!$B$2:$B$3323,SUMPRODUCT((PHUONG_XA!$A$2:$A$3323&amp;""=AH473&amp;"")*(PHUONG_XA!$C$2:$C$3323&amp;""=AF473&amp;"")*(ROW(PHUONG_XA!$A$2:$A$3323)-ROW(PHUONG_XA!$A$2)+1)))))</f>
        <v/>
      </c>
      <c r="AJ473" s="14"/>
      <c r="AK473" s="14"/>
      <c r="AL473" s="57" t="str">
        <f t="shared" si="8"/>
        <v/>
      </c>
      <c r="AM473" s="14"/>
      <c r="AN473" s="15"/>
      <c r="AO473" s="15"/>
      <c r="AP473" s="48"/>
      <c r="AQ473" s="15"/>
      <c r="AR473" s="15"/>
      <c r="AS473" s="15"/>
      <c r="AT473" s="60" t="str">
        <f>IF(ISNUMBER(MATCH(AU473,LOAI_THE!$B:$B,0)),INDEX(LOAI_THE!$A:$A,MATCH(AU473,LOAI_THE!$B:$B,0)),"")</f>
        <v/>
      </c>
      <c r="AU473" s="48"/>
      <c r="AV473" s="15"/>
      <c r="AW473" s="15"/>
      <c r="AX473" s="15"/>
      <c r="AY473" s="48"/>
    </row>
    <row r="474" spans="1:51" x14ac:dyDescent="0.3">
      <c r="A474" s="13" t="s">
        <v>4468</v>
      </c>
      <c r="B474" s="48"/>
      <c r="C474" s="48"/>
      <c r="D474" s="48"/>
      <c r="E474" s="48"/>
      <c r="F474" s="48"/>
      <c r="G474" s="58" t="str">
        <f>IF(ISNUMBER(MATCH(H474,GIOI_TINH!$B:$B,0)),INDEX(GIOI_TINH!$A:$A,MATCH(H474,GIOI_TINH!$B:$B,0)),"")</f>
        <v/>
      </c>
      <c r="H474" s="15"/>
      <c r="I474" s="15"/>
      <c r="J474" s="58" t="str">
        <f>IF(ISNUMBER(MATCH(K474,QUOC_GIA!$B:$B,0)),INDEX(QUOC_GIA!$A:$A,MATCH(K474,QUOC_GIA!$B:$B,0)),"")</f>
        <v/>
      </c>
      <c r="K474" s="50"/>
      <c r="L474" s="15"/>
      <c r="M474" s="58" t="str">
        <f>IF(ISNUMBER(MATCH(N474,LOAI_THUE!$B:$B,0)),INDEX(LOAI_THUE!$A:$A,MATCH(N474,LOAI_THUE!$B:$B,0)),"")</f>
        <v/>
      </c>
      <c r="N474" s="50"/>
      <c r="O474" s="58" t="str">
        <f>IF(ISNUMBER(MATCH(P474,CHI_TIET_LOAI_KH!$B:$B,0)),INDEX(CHI_TIET_LOAI_KH!$A:$A,MATCH(P474,CHI_TIET_LOAI_KH!$B:$B,0)),"")</f>
        <v/>
      </c>
      <c r="P474" s="50"/>
      <c r="Q474" s="58" t="str">
        <f>IF(ISNUMBER(MATCH(R474,NGHE_NGHIEP!$B:$B,0)),INDEX(NGHE_NGHIEP!$A:$A,MATCH(R474,NGHE_NGHIEP!$B:$B,0)),"")</f>
        <v/>
      </c>
      <c r="R474" s="50"/>
      <c r="S474" s="58" t="str">
        <f>IF(ISNUMBER(MATCH(T474,LOAI_ID!$B:$B,0)),INDEX(LOAI_ID!$A:$A,MATCH(T474,LOAI_ID!$B:$B,0)),"")</f>
        <v/>
      </c>
      <c r="T474" s="16"/>
      <c r="U474" s="48"/>
      <c r="V474" s="48"/>
      <c r="W474" s="17"/>
      <c r="X474" s="17"/>
      <c r="Y474" s="15"/>
      <c r="Z474" s="15"/>
      <c r="AA474" s="59" t="str">
        <f>IFERROR(INDEX(NOI_CAP!$B:$B,MATCH(Z474,NOI_CAP!$A:$A,0)),"")</f>
        <v/>
      </c>
      <c r="AB474" s="58" t="str">
        <f>IF(ISNUMBER(MATCH(AC474,LOAI_DIA_CHI!$B:$B,0)),INDEX(LOAI_DIA_CHI!$A:$A,MATCH(AC474,LOAI_DIA_CHI!$B:$B,0)),"")</f>
        <v/>
      </c>
      <c r="AC474" s="16"/>
      <c r="AD474" s="58" t="str">
        <f>IF(ISNUMBER(MATCH(AE474,QUOC_GIA!$B:$B,0)),INDEX(QUOC_GIA!$A:$A,MATCH(AE474,QUOC_GIA!$B:$B,0)),"")</f>
        <v/>
      </c>
      <c r="AE474" s="16"/>
      <c r="AF474" s="48"/>
      <c r="AG474" s="59" t="str">
        <f>IFERROR(INDEX(TINH_TP!$B:$B,MATCH(AF474,TINH_TP!$A:$A,0)),"")</f>
        <v/>
      </c>
      <c r="AH474" s="50"/>
      <c r="AI474" s="59" t="str">
        <f>IF(OR(AF474="",AH474=""),"",IF(COUNTIFS(PHUONG_XA!$A$2:$A$3323,AH474,PHUONG_XA!$C$2:$C$3323,AF474)=0,"",INDEX(PHUONG_XA!$B$2:$B$3323,SUMPRODUCT((PHUONG_XA!$A$2:$A$3323&amp;""=AH474&amp;"")*(PHUONG_XA!$C$2:$C$3323&amp;""=AF474&amp;"")*(ROW(PHUONG_XA!$A$2:$A$3323)-ROW(PHUONG_XA!$A$2)+1)))))</f>
        <v/>
      </c>
      <c r="AJ474" s="14"/>
      <c r="AK474" s="14"/>
      <c r="AL474" s="57" t="str">
        <f t="shared" si="8"/>
        <v/>
      </c>
      <c r="AM474" s="14"/>
      <c r="AN474" s="15"/>
      <c r="AO474" s="15"/>
      <c r="AP474" s="48"/>
      <c r="AQ474" s="15"/>
      <c r="AR474" s="15"/>
      <c r="AS474" s="15"/>
      <c r="AT474" s="60" t="str">
        <f>IF(ISNUMBER(MATCH(AU474,LOAI_THE!$B:$B,0)),INDEX(LOAI_THE!$A:$A,MATCH(AU474,LOAI_THE!$B:$B,0)),"")</f>
        <v/>
      </c>
      <c r="AU474" s="48"/>
      <c r="AV474" s="15"/>
      <c r="AW474" s="15"/>
      <c r="AX474" s="15"/>
      <c r="AY474" s="48"/>
    </row>
    <row r="475" spans="1:51" x14ac:dyDescent="0.3">
      <c r="A475" s="13" t="s">
        <v>4469</v>
      </c>
      <c r="B475" s="48"/>
      <c r="C475" s="48"/>
      <c r="D475" s="48"/>
      <c r="E475" s="48"/>
      <c r="F475" s="48"/>
      <c r="G475" s="58" t="str">
        <f>IF(ISNUMBER(MATCH(H475,GIOI_TINH!$B:$B,0)),INDEX(GIOI_TINH!$A:$A,MATCH(H475,GIOI_TINH!$B:$B,0)),"")</f>
        <v/>
      </c>
      <c r="H475" s="15"/>
      <c r="I475" s="15"/>
      <c r="J475" s="58" t="str">
        <f>IF(ISNUMBER(MATCH(K475,QUOC_GIA!$B:$B,0)),INDEX(QUOC_GIA!$A:$A,MATCH(K475,QUOC_GIA!$B:$B,0)),"")</f>
        <v/>
      </c>
      <c r="K475" s="50"/>
      <c r="L475" s="15"/>
      <c r="M475" s="58" t="str">
        <f>IF(ISNUMBER(MATCH(N475,LOAI_THUE!$B:$B,0)),INDEX(LOAI_THUE!$A:$A,MATCH(N475,LOAI_THUE!$B:$B,0)),"")</f>
        <v/>
      </c>
      <c r="N475" s="50"/>
      <c r="O475" s="58" t="str">
        <f>IF(ISNUMBER(MATCH(P475,CHI_TIET_LOAI_KH!$B:$B,0)),INDEX(CHI_TIET_LOAI_KH!$A:$A,MATCH(P475,CHI_TIET_LOAI_KH!$B:$B,0)),"")</f>
        <v/>
      </c>
      <c r="P475" s="50"/>
      <c r="Q475" s="58" t="str">
        <f>IF(ISNUMBER(MATCH(R475,NGHE_NGHIEP!$B:$B,0)),INDEX(NGHE_NGHIEP!$A:$A,MATCH(R475,NGHE_NGHIEP!$B:$B,0)),"")</f>
        <v/>
      </c>
      <c r="R475" s="50"/>
      <c r="S475" s="58" t="str">
        <f>IF(ISNUMBER(MATCH(T475,LOAI_ID!$B:$B,0)),INDEX(LOAI_ID!$A:$A,MATCH(T475,LOAI_ID!$B:$B,0)),"")</f>
        <v/>
      </c>
      <c r="T475" s="16"/>
      <c r="U475" s="48"/>
      <c r="V475" s="48"/>
      <c r="W475" s="17"/>
      <c r="X475" s="17"/>
      <c r="Y475" s="15"/>
      <c r="Z475" s="15"/>
      <c r="AA475" s="59" t="str">
        <f>IFERROR(INDEX(NOI_CAP!$B:$B,MATCH(Z475,NOI_CAP!$A:$A,0)),"")</f>
        <v/>
      </c>
      <c r="AB475" s="58" t="str">
        <f>IF(ISNUMBER(MATCH(AC475,LOAI_DIA_CHI!$B:$B,0)),INDEX(LOAI_DIA_CHI!$A:$A,MATCH(AC475,LOAI_DIA_CHI!$B:$B,0)),"")</f>
        <v/>
      </c>
      <c r="AC475" s="16"/>
      <c r="AD475" s="58" t="str">
        <f>IF(ISNUMBER(MATCH(AE475,QUOC_GIA!$B:$B,0)),INDEX(QUOC_GIA!$A:$A,MATCH(AE475,QUOC_GIA!$B:$B,0)),"")</f>
        <v/>
      </c>
      <c r="AE475" s="16"/>
      <c r="AF475" s="48"/>
      <c r="AG475" s="59" t="str">
        <f>IFERROR(INDEX(TINH_TP!$B:$B,MATCH(AF475,TINH_TP!$A:$A,0)),"")</f>
        <v/>
      </c>
      <c r="AH475" s="50"/>
      <c r="AI475" s="59" t="str">
        <f>IF(OR(AF475="",AH475=""),"",IF(COUNTIFS(PHUONG_XA!$A$2:$A$3323,AH475,PHUONG_XA!$C$2:$C$3323,AF475)=0,"",INDEX(PHUONG_XA!$B$2:$B$3323,SUMPRODUCT((PHUONG_XA!$A$2:$A$3323&amp;""=AH475&amp;"")*(PHUONG_XA!$C$2:$C$3323&amp;""=AF475&amp;"")*(ROW(PHUONG_XA!$A$2:$A$3323)-ROW(PHUONG_XA!$A$2)+1)))))</f>
        <v/>
      </c>
      <c r="AJ475" s="14"/>
      <c r="AK475" s="14"/>
      <c r="AL475" s="57" t="str">
        <f t="shared" si="8"/>
        <v/>
      </c>
      <c r="AM475" s="14"/>
      <c r="AN475" s="15"/>
      <c r="AO475" s="15"/>
      <c r="AP475" s="48"/>
      <c r="AQ475" s="15"/>
      <c r="AR475" s="15"/>
      <c r="AS475" s="15"/>
      <c r="AT475" s="60" t="str">
        <f>IF(ISNUMBER(MATCH(AU475,LOAI_THE!$B:$B,0)),INDEX(LOAI_THE!$A:$A,MATCH(AU475,LOAI_THE!$B:$B,0)),"")</f>
        <v/>
      </c>
      <c r="AU475" s="48"/>
      <c r="AV475" s="15"/>
      <c r="AW475" s="15"/>
      <c r="AX475" s="15"/>
      <c r="AY475" s="48"/>
    </row>
    <row r="476" spans="1:51" x14ac:dyDescent="0.3">
      <c r="A476" s="13" t="s">
        <v>4470</v>
      </c>
      <c r="B476" s="48"/>
      <c r="C476" s="48"/>
      <c r="D476" s="48"/>
      <c r="E476" s="48"/>
      <c r="F476" s="48"/>
      <c r="G476" s="58" t="str">
        <f>IF(ISNUMBER(MATCH(H476,GIOI_TINH!$B:$B,0)),INDEX(GIOI_TINH!$A:$A,MATCH(H476,GIOI_TINH!$B:$B,0)),"")</f>
        <v/>
      </c>
      <c r="H476" s="15"/>
      <c r="I476" s="15"/>
      <c r="J476" s="58" t="str">
        <f>IF(ISNUMBER(MATCH(K476,QUOC_GIA!$B:$B,0)),INDEX(QUOC_GIA!$A:$A,MATCH(K476,QUOC_GIA!$B:$B,0)),"")</f>
        <v/>
      </c>
      <c r="K476" s="50"/>
      <c r="L476" s="15"/>
      <c r="M476" s="58" t="str">
        <f>IF(ISNUMBER(MATCH(N476,LOAI_THUE!$B:$B,0)),INDEX(LOAI_THUE!$A:$A,MATCH(N476,LOAI_THUE!$B:$B,0)),"")</f>
        <v/>
      </c>
      <c r="N476" s="50"/>
      <c r="O476" s="58" t="str">
        <f>IF(ISNUMBER(MATCH(P476,CHI_TIET_LOAI_KH!$B:$B,0)),INDEX(CHI_TIET_LOAI_KH!$A:$A,MATCH(P476,CHI_TIET_LOAI_KH!$B:$B,0)),"")</f>
        <v/>
      </c>
      <c r="P476" s="50"/>
      <c r="Q476" s="58" t="str">
        <f>IF(ISNUMBER(MATCH(R476,NGHE_NGHIEP!$B:$B,0)),INDEX(NGHE_NGHIEP!$A:$A,MATCH(R476,NGHE_NGHIEP!$B:$B,0)),"")</f>
        <v/>
      </c>
      <c r="R476" s="50"/>
      <c r="S476" s="58" t="str">
        <f>IF(ISNUMBER(MATCH(T476,LOAI_ID!$B:$B,0)),INDEX(LOAI_ID!$A:$A,MATCH(T476,LOAI_ID!$B:$B,0)),"")</f>
        <v/>
      </c>
      <c r="T476" s="16"/>
      <c r="U476" s="48"/>
      <c r="V476" s="48"/>
      <c r="W476" s="17"/>
      <c r="X476" s="17"/>
      <c r="Y476" s="15"/>
      <c r="Z476" s="15"/>
      <c r="AA476" s="59" t="str">
        <f>IFERROR(INDEX(NOI_CAP!$B:$B,MATCH(Z476,NOI_CAP!$A:$A,0)),"")</f>
        <v/>
      </c>
      <c r="AB476" s="58" t="str">
        <f>IF(ISNUMBER(MATCH(AC476,LOAI_DIA_CHI!$B:$B,0)),INDEX(LOAI_DIA_CHI!$A:$A,MATCH(AC476,LOAI_DIA_CHI!$B:$B,0)),"")</f>
        <v/>
      </c>
      <c r="AC476" s="16"/>
      <c r="AD476" s="58" t="str">
        <f>IF(ISNUMBER(MATCH(AE476,QUOC_GIA!$B:$B,0)),INDEX(QUOC_GIA!$A:$A,MATCH(AE476,QUOC_GIA!$B:$B,0)),"")</f>
        <v/>
      </c>
      <c r="AE476" s="16"/>
      <c r="AF476" s="48"/>
      <c r="AG476" s="59" t="str">
        <f>IFERROR(INDEX(TINH_TP!$B:$B,MATCH(AF476,TINH_TP!$A:$A,0)),"")</f>
        <v/>
      </c>
      <c r="AH476" s="50"/>
      <c r="AI476" s="59" t="str">
        <f>IF(OR(AF476="",AH476=""),"",IF(COUNTIFS(PHUONG_XA!$A$2:$A$3323,AH476,PHUONG_XA!$C$2:$C$3323,AF476)=0,"",INDEX(PHUONG_XA!$B$2:$B$3323,SUMPRODUCT((PHUONG_XA!$A$2:$A$3323&amp;""=AH476&amp;"")*(PHUONG_XA!$C$2:$C$3323&amp;""=AF476&amp;"")*(ROW(PHUONG_XA!$A$2:$A$3323)-ROW(PHUONG_XA!$A$2)+1)))))</f>
        <v/>
      </c>
      <c r="AJ476" s="14"/>
      <c r="AK476" s="14"/>
      <c r="AL476" s="57" t="str">
        <f t="shared" si="8"/>
        <v/>
      </c>
      <c r="AM476" s="14"/>
      <c r="AN476" s="15"/>
      <c r="AO476" s="15"/>
      <c r="AP476" s="48"/>
      <c r="AQ476" s="15"/>
      <c r="AR476" s="15"/>
      <c r="AS476" s="15"/>
      <c r="AT476" s="60" t="str">
        <f>IF(ISNUMBER(MATCH(AU476,LOAI_THE!$B:$B,0)),INDEX(LOAI_THE!$A:$A,MATCH(AU476,LOAI_THE!$B:$B,0)),"")</f>
        <v/>
      </c>
      <c r="AU476" s="48"/>
      <c r="AV476" s="15"/>
      <c r="AW476" s="15"/>
      <c r="AX476" s="15"/>
      <c r="AY476" s="48"/>
    </row>
    <row r="477" spans="1:51" x14ac:dyDescent="0.3">
      <c r="A477" s="13" t="s">
        <v>4471</v>
      </c>
      <c r="B477" s="48"/>
      <c r="C477" s="48"/>
      <c r="D477" s="48"/>
      <c r="E477" s="48"/>
      <c r="F477" s="48"/>
      <c r="G477" s="58" t="str">
        <f>IF(ISNUMBER(MATCH(H477,GIOI_TINH!$B:$B,0)),INDEX(GIOI_TINH!$A:$A,MATCH(H477,GIOI_TINH!$B:$B,0)),"")</f>
        <v/>
      </c>
      <c r="H477" s="15"/>
      <c r="I477" s="15"/>
      <c r="J477" s="58" t="str">
        <f>IF(ISNUMBER(MATCH(K477,QUOC_GIA!$B:$B,0)),INDEX(QUOC_GIA!$A:$A,MATCH(K477,QUOC_GIA!$B:$B,0)),"")</f>
        <v/>
      </c>
      <c r="K477" s="50"/>
      <c r="L477" s="15"/>
      <c r="M477" s="58" t="str">
        <f>IF(ISNUMBER(MATCH(N477,LOAI_THUE!$B:$B,0)),INDEX(LOAI_THUE!$A:$A,MATCH(N477,LOAI_THUE!$B:$B,0)),"")</f>
        <v/>
      </c>
      <c r="N477" s="50"/>
      <c r="O477" s="58" t="str">
        <f>IF(ISNUMBER(MATCH(P477,CHI_TIET_LOAI_KH!$B:$B,0)),INDEX(CHI_TIET_LOAI_KH!$A:$A,MATCH(P477,CHI_TIET_LOAI_KH!$B:$B,0)),"")</f>
        <v/>
      </c>
      <c r="P477" s="50"/>
      <c r="Q477" s="58" t="str">
        <f>IF(ISNUMBER(MATCH(R477,NGHE_NGHIEP!$B:$B,0)),INDEX(NGHE_NGHIEP!$A:$A,MATCH(R477,NGHE_NGHIEP!$B:$B,0)),"")</f>
        <v/>
      </c>
      <c r="R477" s="50"/>
      <c r="S477" s="58" t="str">
        <f>IF(ISNUMBER(MATCH(T477,LOAI_ID!$B:$B,0)),INDEX(LOAI_ID!$A:$A,MATCH(T477,LOAI_ID!$B:$B,0)),"")</f>
        <v/>
      </c>
      <c r="T477" s="16"/>
      <c r="U477" s="48"/>
      <c r="V477" s="48"/>
      <c r="W477" s="17"/>
      <c r="X477" s="17"/>
      <c r="Y477" s="15"/>
      <c r="Z477" s="15"/>
      <c r="AA477" s="59" t="str">
        <f>IFERROR(INDEX(NOI_CAP!$B:$B,MATCH(Z477,NOI_CAP!$A:$A,0)),"")</f>
        <v/>
      </c>
      <c r="AB477" s="58" t="str">
        <f>IF(ISNUMBER(MATCH(AC477,LOAI_DIA_CHI!$B:$B,0)),INDEX(LOAI_DIA_CHI!$A:$A,MATCH(AC477,LOAI_DIA_CHI!$B:$B,0)),"")</f>
        <v/>
      </c>
      <c r="AC477" s="16"/>
      <c r="AD477" s="58" t="str">
        <f>IF(ISNUMBER(MATCH(AE477,QUOC_GIA!$B:$B,0)),INDEX(QUOC_GIA!$A:$A,MATCH(AE477,QUOC_GIA!$B:$B,0)),"")</f>
        <v/>
      </c>
      <c r="AE477" s="16"/>
      <c r="AF477" s="48"/>
      <c r="AG477" s="59" t="str">
        <f>IFERROR(INDEX(TINH_TP!$B:$B,MATCH(AF477,TINH_TP!$A:$A,0)),"")</f>
        <v/>
      </c>
      <c r="AH477" s="50"/>
      <c r="AI477" s="59" t="str">
        <f>IF(OR(AF477="",AH477=""),"",IF(COUNTIFS(PHUONG_XA!$A$2:$A$3323,AH477,PHUONG_XA!$C$2:$C$3323,AF477)=0,"",INDEX(PHUONG_XA!$B$2:$B$3323,SUMPRODUCT((PHUONG_XA!$A$2:$A$3323&amp;""=AH477&amp;"")*(PHUONG_XA!$C$2:$C$3323&amp;""=AF477&amp;"")*(ROW(PHUONG_XA!$A$2:$A$3323)-ROW(PHUONG_XA!$A$2)+1)))))</f>
        <v/>
      </c>
      <c r="AJ477" s="14"/>
      <c r="AK477" s="14"/>
      <c r="AL477" s="57" t="str">
        <f t="shared" si="8"/>
        <v/>
      </c>
      <c r="AM477" s="14"/>
      <c r="AN477" s="15"/>
      <c r="AO477" s="15"/>
      <c r="AP477" s="48"/>
      <c r="AQ477" s="15"/>
      <c r="AR477" s="15"/>
      <c r="AS477" s="15"/>
      <c r="AT477" s="60" t="str">
        <f>IF(ISNUMBER(MATCH(AU477,LOAI_THE!$B:$B,0)),INDEX(LOAI_THE!$A:$A,MATCH(AU477,LOAI_THE!$B:$B,0)),"")</f>
        <v/>
      </c>
      <c r="AU477" s="48"/>
      <c r="AV477" s="15"/>
      <c r="AW477" s="15"/>
      <c r="AX477" s="15"/>
      <c r="AY477" s="48"/>
    </row>
    <row r="478" spans="1:51" x14ac:dyDescent="0.3">
      <c r="A478" s="13" t="s">
        <v>4472</v>
      </c>
      <c r="B478" s="48"/>
      <c r="C478" s="48"/>
      <c r="D478" s="48"/>
      <c r="E478" s="48"/>
      <c r="F478" s="48"/>
      <c r="G478" s="58" t="str">
        <f>IF(ISNUMBER(MATCH(H478,GIOI_TINH!$B:$B,0)),INDEX(GIOI_TINH!$A:$A,MATCH(H478,GIOI_TINH!$B:$B,0)),"")</f>
        <v/>
      </c>
      <c r="H478" s="15"/>
      <c r="I478" s="15"/>
      <c r="J478" s="58" t="str">
        <f>IF(ISNUMBER(MATCH(K478,QUOC_GIA!$B:$B,0)),INDEX(QUOC_GIA!$A:$A,MATCH(K478,QUOC_GIA!$B:$B,0)),"")</f>
        <v/>
      </c>
      <c r="K478" s="50"/>
      <c r="L478" s="15"/>
      <c r="M478" s="58" t="str">
        <f>IF(ISNUMBER(MATCH(N478,LOAI_THUE!$B:$B,0)),INDEX(LOAI_THUE!$A:$A,MATCH(N478,LOAI_THUE!$B:$B,0)),"")</f>
        <v/>
      </c>
      <c r="N478" s="50"/>
      <c r="O478" s="58" t="str">
        <f>IF(ISNUMBER(MATCH(P478,CHI_TIET_LOAI_KH!$B:$B,0)),INDEX(CHI_TIET_LOAI_KH!$A:$A,MATCH(P478,CHI_TIET_LOAI_KH!$B:$B,0)),"")</f>
        <v/>
      </c>
      <c r="P478" s="50"/>
      <c r="Q478" s="58" t="str">
        <f>IF(ISNUMBER(MATCH(R478,NGHE_NGHIEP!$B:$B,0)),INDEX(NGHE_NGHIEP!$A:$A,MATCH(R478,NGHE_NGHIEP!$B:$B,0)),"")</f>
        <v/>
      </c>
      <c r="R478" s="50"/>
      <c r="S478" s="58" t="str">
        <f>IF(ISNUMBER(MATCH(T478,LOAI_ID!$B:$B,0)),INDEX(LOAI_ID!$A:$A,MATCH(T478,LOAI_ID!$B:$B,0)),"")</f>
        <v/>
      </c>
      <c r="T478" s="16"/>
      <c r="U478" s="48"/>
      <c r="V478" s="48"/>
      <c r="W478" s="17"/>
      <c r="X478" s="17"/>
      <c r="Y478" s="15"/>
      <c r="Z478" s="15"/>
      <c r="AA478" s="59" t="str">
        <f>IFERROR(INDEX(NOI_CAP!$B:$B,MATCH(Z478,NOI_CAP!$A:$A,0)),"")</f>
        <v/>
      </c>
      <c r="AB478" s="58" t="str">
        <f>IF(ISNUMBER(MATCH(AC478,LOAI_DIA_CHI!$B:$B,0)),INDEX(LOAI_DIA_CHI!$A:$A,MATCH(AC478,LOAI_DIA_CHI!$B:$B,0)),"")</f>
        <v/>
      </c>
      <c r="AC478" s="16"/>
      <c r="AD478" s="58" t="str">
        <f>IF(ISNUMBER(MATCH(AE478,QUOC_GIA!$B:$B,0)),INDEX(QUOC_GIA!$A:$A,MATCH(AE478,QUOC_GIA!$B:$B,0)),"")</f>
        <v/>
      </c>
      <c r="AE478" s="16"/>
      <c r="AF478" s="48"/>
      <c r="AG478" s="59" t="str">
        <f>IFERROR(INDEX(TINH_TP!$B:$B,MATCH(AF478,TINH_TP!$A:$A,0)),"")</f>
        <v/>
      </c>
      <c r="AH478" s="50"/>
      <c r="AI478" s="59" t="str">
        <f>IF(OR(AF478="",AH478=""),"",IF(COUNTIFS(PHUONG_XA!$A$2:$A$3323,AH478,PHUONG_XA!$C$2:$C$3323,AF478)=0,"",INDEX(PHUONG_XA!$B$2:$B$3323,SUMPRODUCT((PHUONG_XA!$A$2:$A$3323&amp;""=AH478&amp;"")*(PHUONG_XA!$C$2:$C$3323&amp;""=AF478&amp;"")*(ROW(PHUONG_XA!$A$2:$A$3323)-ROW(PHUONG_XA!$A$2)+1)))))</f>
        <v/>
      </c>
      <c r="AJ478" s="14"/>
      <c r="AK478" s="14"/>
      <c r="AL478" s="57" t="str">
        <f t="shared" si="8"/>
        <v/>
      </c>
      <c r="AM478" s="14"/>
      <c r="AN478" s="15"/>
      <c r="AO478" s="15"/>
      <c r="AP478" s="48"/>
      <c r="AQ478" s="15"/>
      <c r="AR478" s="15"/>
      <c r="AS478" s="15"/>
      <c r="AT478" s="60" t="str">
        <f>IF(ISNUMBER(MATCH(AU478,LOAI_THE!$B:$B,0)),INDEX(LOAI_THE!$A:$A,MATCH(AU478,LOAI_THE!$B:$B,0)),"")</f>
        <v/>
      </c>
      <c r="AU478" s="48"/>
      <c r="AV478" s="15"/>
      <c r="AW478" s="15"/>
      <c r="AX478" s="15"/>
      <c r="AY478" s="48"/>
    </row>
    <row r="479" spans="1:51" x14ac:dyDescent="0.3">
      <c r="A479" s="13" t="s">
        <v>4473</v>
      </c>
      <c r="B479" s="48"/>
      <c r="C479" s="48"/>
      <c r="D479" s="48"/>
      <c r="E479" s="48"/>
      <c r="F479" s="48"/>
      <c r="G479" s="58" t="str">
        <f>IF(ISNUMBER(MATCH(H479,GIOI_TINH!$B:$B,0)),INDEX(GIOI_TINH!$A:$A,MATCH(H479,GIOI_TINH!$B:$B,0)),"")</f>
        <v/>
      </c>
      <c r="H479" s="15"/>
      <c r="I479" s="15"/>
      <c r="J479" s="58" t="str">
        <f>IF(ISNUMBER(MATCH(K479,QUOC_GIA!$B:$B,0)),INDEX(QUOC_GIA!$A:$A,MATCH(K479,QUOC_GIA!$B:$B,0)),"")</f>
        <v/>
      </c>
      <c r="K479" s="50"/>
      <c r="L479" s="15"/>
      <c r="M479" s="58" t="str">
        <f>IF(ISNUMBER(MATCH(N479,LOAI_THUE!$B:$B,0)),INDEX(LOAI_THUE!$A:$A,MATCH(N479,LOAI_THUE!$B:$B,0)),"")</f>
        <v/>
      </c>
      <c r="N479" s="50"/>
      <c r="O479" s="58" t="str">
        <f>IF(ISNUMBER(MATCH(P479,CHI_TIET_LOAI_KH!$B:$B,0)),INDEX(CHI_TIET_LOAI_KH!$A:$A,MATCH(P479,CHI_TIET_LOAI_KH!$B:$B,0)),"")</f>
        <v/>
      </c>
      <c r="P479" s="50"/>
      <c r="Q479" s="58" t="str">
        <f>IF(ISNUMBER(MATCH(R479,NGHE_NGHIEP!$B:$B,0)),INDEX(NGHE_NGHIEP!$A:$A,MATCH(R479,NGHE_NGHIEP!$B:$B,0)),"")</f>
        <v/>
      </c>
      <c r="R479" s="50"/>
      <c r="S479" s="58" t="str">
        <f>IF(ISNUMBER(MATCH(T479,LOAI_ID!$B:$B,0)),INDEX(LOAI_ID!$A:$A,MATCH(T479,LOAI_ID!$B:$B,0)),"")</f>
        <v/>
      </c>
      <c r="T479" s="16"/>
      <c r="U479" s="48"/>
      <c r="V479" s="48"/>
      <c r="W479" s="17"/>
      <c r="X479" s="17"/>
      <c r="Y479" s="15"/>
      <c r="Z479" s="15"/>
      <c r="AA479" s="59" t="str">
        <f>IFERROR(INDEX(NOI_CAP!$B:$B,MATCH(Z479,NOI_CAP!$A:$A,0)),"")</f>
        <v/>
      </c>
      <c r="AB479" s="58" t="str">
        <f>IF(ISNUMBER(MATCH(AC479,LOAI_DIA_CHI!$B:$B,0)),INDEX(LOAI_DIA_CHI!$A:$A,MATCH(AC479,LOAI_DIA_CHI!$B:$B,0)),"")</f>
        <v/>
      </c>
      <c r="AC479" s="16"/>
      <c r="AD479" s="58" t="str">
        <f>IF(ISNUMBER(MATCH(AE479,QUOC_GIA!$B:$B,0)),INDEX(QUOC_GIA!$A:$A,MATCH(AE479,QUOC_GIA!$B:$B,0)),"")</f>
        <v/>
      </c>
      <c r="AE479" s="16"/>
      <c r="AF479" s="48"/>
      <c r="AG479" s="59" t="str">
        <f>IFERROR(INDEX(TINH_TP!$B:$B,MATCH(AF479,TINH_TP!$A:$A,0)),"")</f>
        <v/>
      </c>
      <c r="AH479" s="50"/>
      <c r="AI479" s="59" t="str">
        <f>IF(OR(AF479="",AH479=""),"",IF(COUNTIFS(PHUONG_XA!$A$2:$A$3323,AH479,PHUONG_XA!$C$2:$C$3323,AF479)=0,"",INDEX(PHUONG_XA!$B$2:$B$3323,SUMPRODUCT((PHUONG_XA!$A$2:$A$3323&amp;""=AH479&amp;"")*(PHUONG_XA!$C$2:$C$3323&amp;""=AF479&amp;"")*(ROW(PHUONG_XA!$A$2:$A$3323)-ROW(PHUONG_XA!$A$2)+1)))))</f>
        <v/>
      </c>
      <c r="AJ479" s="14"/>
      <c r="AK479" s="14"/>
      <c r="AL479" s="57" t="str">
        <f t="shared" si="8"/>
        <v/>
      </c>
      <c r="AM479" s="14"/>
      <c r="AN479" s="15"/>
      <c r="AO479" s="15"/>
      <c r="AP479" s="48"/>
      <c r="AQ479" s="15"/>
      <c r="AR479" s="15"/>
      <c r="AS479" s="15"/>
      <c r="AT479" s="60" t="str">
        <f>IF(ISNUMBER(MATCH(AU479,LOAI_THE!$B:$B,0)),INDEX(LOAI_THE!$A:$A,MATCH(AU479,LOAI_THE!$B:$B,0)),"")</f>
        <v/>
      </c>
      <c r="AU479" s="48"/>
      <c r="AV479" s="15"/>
      <c r="AW479" s="15"/>
      <c r="AX479" s="15"/>
      <c r="AY479" s="48"/>
    </row>
    <row r="480" spans="1:51" x14ac:dyDescent="0.3">
      <c r="A480" s="13" t="s">
        <v>4474</v>
      </c>
      <c r="B480" s="48"/>
      <c r="C480" s="48"/>
      <c r="D480" s="48"/>
      <c r="E480" s="48"/>
      <c r="F480" s="48"/>
      <c r="G480" s="58" t="str">
        <f>IF(ISNUMBER(MATCH(H480,GIOI_TINH!$B:$B,0)),INDEX(GIOI_TINH!$A:$A,MATCH(H480,GIOI_TINH!$B:$B,0)),"")</f>
        <v/>
      </c>
      <c r="H480" s="15"/>
      <c r="I480" s="15"/>
      <c r="J480" s="58" t="str">
        <f>IF(ISNUMBER(MATCH(K480,QUOC_GIA!$B:$B,0)),INDEX(QUOC_GIA!$A:$A,MATCH(K480,QUOC_GIA!$B:$B,0)),"")</f>
        <v/>
      </c>
      <c r="K480" s="50"/>
      <c r="L480" s="15"/>
      <c r="M480" s="58" t="str">
        <f>IF(ISNUMBER(MATCH(N480,LOAI_THUE!$B:$B,0)),INDEX(LOAI_THUE!$A:$A,MATCH(N480,LOAI_THUE!$B:$B,0)),"")</f>
        <v/>
      </c>
      <c r="N480" s="50"/>
      <c r="O480" s="58" t="str">
        <f>IF(ISNUMBER(MATCH(P480,CHI_TIET_LOAI_KH!$B:$B,0)),INDEX(CHI_TIET_LOAI_KH!$A:$A,MATCH(P480,CHI_TIET_LOAI_KH!$B:$B,0)),"")</f>
        <v/>
      </c>
      <c r="P480" s="50"/>
      <c r="Q480" s="58" t="str">
        <f>IF(ISNUMBER(MATCH(R480,NGHE_NGHIEP!$B:$B,0)),INDEX(NGHE_NGHIEP!$A:$A,MATCH(R480,NGHE_NGHIEP!$B:$B,0)),"")</f>
        <v/>
      </c>
      <c r="R480" s="50"/>
      <c r="S480" s="58" t="str">
        <f>IF(ISNUMBER(MATCH(T480,LOAI_ID!$B:$B,0)),INDEX(LOAI_ID!$A:$A,MATCH(T480,LOAI_ID!$B:$B,0)),"")</f>
        <v/>
      </c>
      <c r="T480" s="16"/>
      <c r="U480" s="48"/>
      <c r="V480" s="48"/>
      <c r="W480" s="17"/>
      <c r="X480" s="17"/>
      <c r="Y480" s="15"/>
      <c r="Z480" s="15"/>
      <c r="AA480" s="59" t="str">
        <f>IFERROR(INDEX(NOI_CAP!$B:$B,MATCH(Z480,NOI_CAP!$A:$A,0)),"")</f>
        <v/>
      </c>
      <c r="AB480" s="58" t="str">
        <f>IF(ISNUMBER(MATCH(AC480,LOAI_DIA_CHI!$B:$B,0)),INDEX(LOAI_DIA_CHI!$A:$A,MATCH(AC480,LOAI_DIA_CHI!$B:$B,0)),"")</f>
        <v/>
      </c>
      <c r="AC480" s="16"/>
      <c r="AD480" s="58" t="str">
        <f>IF(ISNUMBER(MATCH(AE480,QUOC_GIA!$B:$B,0)),INDEX(QUOC_GIA!$A:$A,MATCH(AE480,QUOC_GIA!$B:$B,0)),"")</f>
        <v/>
      </c>
      <c r="AE480" s="16"/>
      <c r="AF480" s="48"/>
      <c r="AG480" s="59" t="str">
        <f>IFERROR(INDEX(TINH_TP!$B:$B,MATCH(AF480,TINH_TP!$A:$A,0)),"")</f>
        <v/>
      </c>
      <c r="AH480" s="50"/>
      <c r="AI480" s="59" t="str">
        <f>IF(OR(AF480="",AH480=""),"",IF(COUNTIFS(PHUONG_XA!$A$2:$A$3323,AH480,PHUONG_XA!$C$2:$C$3323,AF480)=0,"",INDEX(PHUONG_XA!$B$2:$B$3323,SUMPRODUCT((PHUONG_XA!$A$2:$A$3323&amp;""=AH480&amp;"")*(PHUONG_XA!$C$2:$C$3323&amp;""=AF480&amp;"")*(ROW(PHUONG_XA!$A$2:$A$3323)-ROW(PHUONG_XA!$A$2)+1)))))</f>
        <v/>
      </c>
      <c r="AJ480" s="14"/>
      <c r="AK480" s="14"/>
      <c r="AL480" s="57" t="str">
        <f t="shared" si="8"/>
        <v/>
      </c>
      <c r="AM480" s="14"/>
      <c r="AN480" s="15"/>
      <c r="AO480" s="15"/>
      <c r="AP480" s="48"/>
      <c r="AQ480" s="15"/>
      <c r="AR480" s="15"/>
      <c r="AS480" s="15"/>
      <c r="AT480" s="60" t="str">
        <f>IF(ISNUMBER(MATCH(AU480,LOAI_THE!$B:$B,0)),INDEX(LOAI_THE!$A:$A,MATCH(AU480,LOAI_THE!$B:$B,0)),"")</f>
        <v/>
      </c>
      <c r="AU480" s="48"/>
      <c r="AV480" s="15"/>
      <c r="AW480" s="15"/>
      <c r="AX480" s="15"/>
      <c r="AY480" s="48"/>
    </row>
    <row r="481" spans="1:51" x14ac:dyDescent="0.3">
      <c r="A481" s="13" t="s">
        <v>4475</v>
      </c>
      <c r="B481" s="48"/>
      <c r="C481" s="48"/>
      <c r="D481" s="48"/>
      <c r="E481" s="48"/>
      <c r="F481" s="48"/>
      <c r="G481" s="58" t="str">
        <f>IF(ISNUMBER(MATCH(H481,GIOI_TINH!$B:$B,0)),INDEX(GIOI_TINH!$A:$A,MATCH(H481,GIOI_TINH!$B:$B,0)),"")</f>
        <v/>
      </c>
      <c r="H481" s="15"/>
      <c r="I481" s="15"/>
      <c r="J481" s="58" t="str">
        <f>IF(ISNUMBER(MATCH(K481,QUOC_GIA!$B:$B,0)),INDEX(QUOC_GIA!$A:$A,MATCH(K481,QUOC_GIA!$B:$B,0)),"")</f>
        <v/>
      </c>
      <c r="K481" s="50"/>
      <c r="L481" s="15"/>
      <c r="M481" s="58" t="str">
        <f>IF(ISNUMBER(MATCH(N481,LOAI_THUE!$B:$B,0)),INDEX(LOAI_THUE!$A:$A,MATCH(N481,LOAI_THUE!$B:$B,0)),"")</f>
        <v/>
      </c>
      <c r="N481" s="50"/>
      <c r="O481" s="58" t="str">
        <f>IF(ISNUMBER(MATCH(P481,CHI_TIET_LOAI_KH!$B:$B,0)),INDEX(CHI_TIET_LOAI_KH!$A:$A,MATCH(P481,CHI_TIET_LOAI_KH!$B:$B,0)),"")</f>
        <v/>
      </c>
      <c r="P481" s="50"/>
      <c r="Q481" s="58" t="str">
        <f>IF(ISNUMBER(MATCH(R481,NGHE_NGHIEP!$B:$B,0)),INDEX(NGHE_NGHIEP!$A:$A,MATCH(R481,NGHE_NGHIEP!$B:$B,0)),"")</f>
        <v/>
      </c>
      <c r="R481" s="50"/>
      <c r="S481" s="58" t="str">
        <f>IF(ISNUMBER(MATCH(T481,LOAI_ID!$B:$B,0)),INDEX(LOAI_ID!$A:$A,MATCH(T481,LOAI_ID!$B:$B,0)),"")</f>
        <v/>
      </c>
      <c r="T481" s="16"/>
      <c r="U481" s="48"/>
      <c r="V481" s="48"/>
      <c r="W481" s="17"/>
      <c r="X481" s="17"/>
      <c r="Y481" s="15"/>
      <c r="Z481" s="15"/>
      <c r="AA481" s="59" t="str">
        <f>IFERROR(INDEX(NOI_CAP!$B:$B,MATCH(Z481,NOI_CAP!$A:$A,0)),"")</f>
        <v/>
      </c>
      <c r="AB481" s="58" t="str">
        <f>IF(ISNUMBER(MATCH(AC481,LOAI_DIA_CHI!$B:$B,0)),INDEX(LOAI_DIA_CHI!$A:$A,MATCH(AC481,LOAI_DIA_CHI!$B:$B,0)),"")</f>
        <v/>
      </c>
      <c r="AC481" s="16"/>
      <c r="AD481" s="58" t="str">
        <f>IF(ISNUMBER(MATCH(AE481,QUOC_GIA!$B:$B,0)),INDEX(QUOC_GIA!$A:$A,MATCH(AE481,QUOC_GIA!$B:$B,0)),"")</f>
        <v/>
      </c>
      <c r="AE481" s="16"/>
      <c r="AF481" s="48"/>
      <c r="AG481" s="59" t="str">
        <f>IFERROR(INDEX(TINH_TP!$B:$B,MATCH(AF481,TINH_TP!$A:$A,0)),"")</f>
        <v/>
      </c>
      <c r="AH481" s="50"/>
      <c r="AI481" s="59" t="str">
        <f>IF(OR(AF481="",AH481=""),"",IF(COUNTIFS(PHUONG_XA!$A$2:$A$3323,AH481,PHUONG_XA!$C$2:$C$3323,AF481)=0,"",INDEX(PHUONG_XA!$B$2:$B$3323,SUMPRODUCT((PHUONG_XA!$A$2:$A$3323&amp;""=AH481&amp;"")*(PHUONG_XA!$C$2:$C$3323&amp;""=AF481&amp;"")*(ROW(PHUONG_XA!$A$2:$A$3323)-ROW(PHUONG_XA!$A$2)+1)))))</f>
        <v/>
      </c>
      <c r="AJ481" s="14"/>
      <c r="AK481" s="14"/>
      <c r="AL481" s="57" t="str">
        <f t="shared" si="8"/>
        <v/>
      </c>
      <c r="AM481" s="14"/>
      <c r="AN481" s="15"/>
      <c r="AO481" s="15"/>
      <c r="AP481" s="48"/>
      <c r="AQ481" s="15"/>
      <c r="AR481" s="15"/>
      <c r="AS481" s="15"/>
      <c r="AT481" s="60" t="str">
        <f>IF(ISNUMBER(MATCH(AU481,LOAI_THE!$B:$B,0)),INDEX(LOAI_THE!$A:$A,MATCH(AU481,LOAI_THE!$B:$B,0)),"")</f>
        <v/>
      </c>
      <c r="AU481" s="48"/>
      <c r="AV481" s="15"/>
      <c r="AW481" s="15"/>
      <c r="AX481" s="15"/>
      <c r="AY481" s="48"/>
    </row>
    <row r="482" spans="1:51" x14ac:dyDescent="0.3">
      <c r="A482" s="13" t="s">
        <v>4476</v>
      </c>
      <c r="B482" s="48"/>
      <c r="C482" s="48"/>
      <c r="D482" s="48"/>
      <c r="E482" s="48"/>
      <c r="F482" s="48"/>
      <c r="G482" s="58" t="str">
        <f>IF(ISNUMBER(MATCH(H482,GIOI_TINH!$B:$B,0)),INDEX(GIOI_TINH!$A:$A,MATCH(H482,GIOI_TINH!$B:$B,0)),"")</f>
        <v/>
      </c>
      <c r="H482" s="15"/>
      <c r="I482" s="15"/>
      <c r="J482" s="58" t="str">
        <f>IF(ISNUMBER(MATCH(K482,QUOC_GIA!$B:$B,0)),INDEX(QUOC_GIA!$A:$A,MATCH(K482,QUOC_GIA!$B:$B,0)),"")</f>
        <v/>
      </c>
      <c r="K482" s="50"/>
      <c r="L482" s="15"/>
      <c r="M482" s="58" t="str">
        <f>IF(ISNUMBER(MATCH(N482,LOAI_THUE!$B:$B,0)),INDEX(LOAI_THUE!$A:$A,MATCH(N482,LOAI_THUE!$B:$B,0)),"")</f>
        <v/>
      </c>
      <c r="N482" s="50"/>
      <c r="O482" s="58" t="str">
        <f>IF(ISNUMBER(MATCH(P482,CHI_TIET_LOAI_KH!$B:$B,0)),INDEX(CHI_TIET_LOAI_KH!$A:$A,MATCH(P482,CHI_TIET_LOAI_KH!$B:$B,0)),"")</f>
        <v/>
      </c>
      <c r="P482" s="50"/>
      <c r="Q482" s="58" t="str">
        <f>IF(ISNUMBER(MATCH(R482,NGHE_NGHIEP!$B:$B,0)),INDEX(NGHE_NGHIEP!$A:$A,MATCH(R482,NGHE_NGHIEP!$B:$B,0)),"")</f>
        <v/>
      </c>
      <c r="R482" s="50"/>
      <c r="S482" s="58" t="str">
        <f>IF(ISNUMBER(MATCH(T482,LOAI_ID!$B:$B,0)),INDEX(LOAI_ID!$A:$A,MATCH(T482,LOAI_ID!$B:$B,0)),"")</f>
        <v/>
      </c>
      <c r="T482" s="16"/>
      <c r="U482" s="48"/>
      <c r="V482" s="48"/>
      <c r="W482" s="17"/>
      <c r="X482" s="17"/>
      <c r="Y482" s="15"/>
      <c r="Z482" s="15"/>
      <c r="AA482" s="59" t="str">
        <f>IFERROR(INDEX(NOI_CAP!$B:$B,MATCH(Z482,NOI_CAP!$A:$A,0)),"")</f>
        <v/>
      </c>
      <c r="AB482" s="58" t="str">
        <f>IF(ISNUMBER(MATCH(AC482,LOAI_DIA_CHI!$B:$B,0)),INDEX(LOAI_DIA_CHI!$A:$A,MATCH(AC482,LOAI_DIA_CHI!$B:$B,0)),"")</f>
        <v/>
      </c>
      <c r="AC482" s="16"/>
      <c r="AD482" s="58" t="str">
        <f>IF(ISNUMBER(MATCH(AE482,QUOC_GIA!$B:$B,0)),INDEX(QUOC_GIA!$A:$A,MATCH(AE482,QUOC_GIA!$B:$B,0)),"")</f>
        <v/>
      </c>
      <c r="AE482" s="16"/>
      <c r="AF482" s="48"/>
      <c r="AG482" s="59" t="str">
        <f>IFERROR(INDEX(TINH_TP!$B:$B,MATCH(AF482,TINH_TP!$A:$A,0)),"")</f>
        <v/>
      </c>
      <c r="AH482" s="50"/>
      <c r="AI482" s="59" t="str">
        <f>IF(OR(AF482="",AH482=""),"",IF(COUNTIFS(PHUONG_XA!$A$2:$A$3323,AH482,PHUONG_XA!$C$2:$C$3323,AF482)=0,"",INDEX(PHUONG_XA!$B$2:$B$3323,SUMPRODUCT((PHUONG_XA!$A$2:$A$3323&amp;""=AH482&amp;"")*(PHUONG_XA!$C$2:$C$3323&amp;""=AF482&amp;"")*(ROW(PHUONG_XA!$A$2:$A$3323)-ROW(PHUONG_XA!$A$2)+1)))))</f>
        <v/>
      </c>
      <c r="AJ482" s="14"/>
      <c r="AK482" s="14"/>
      <c r="AL482" s="57" t="str">
        <f t="shared" si="8"/>
        <v/>
      </c>
      <c r="AM482" s="14"/>
      <c r="AN482" s="15"/>
      <c r="AO482" s="15"/>
      <c r="AP482" s="48"/>
      <c r="AQ482" s="15"/>
      <c r="AR482" s="15"/>
      <c r="AS482" s="15"/>
      <c r="AT482" s="60" t="str">
        <f>IF(ISNUMBER(MATCH(AU482,LOAI_THE!$B:$B,0)),INDEX(LOAI_THE!$A:$A,MATCH(AU482,LOAI_THE!$B:$B,0)),"")</f>
        <v/>
      </c>
      <c r="AU482" s="48"/>
      <c r="AV482" s="15"/>
      <c r="AW482" s="15"/>
      <c r="AX482" s="15"/>
      <c r="AY482" s="48"/>
    </row>
    <row r="483" spans="1:51" x14ac:dyDescent="0.3">
      <c r="A483" s="13" t="s">
        <v>4477</v>
      </c>
      <c r="B483" s="48"/>
      <c r="C483" s="48"/>
      <c r="D483" s="48"/>
      <c r="E483" s="48"/>
      <c r="F483" s="48"/>
      <c r="G483" s="58" t="str">
        <f>IF(ISNUMBER(MATCH(H483,GIOI_TINH!$B:$B,0)),INDEX(GIOI_TINH!$A:$A,MATCH(H483,GIOI_TINH!$B:$B,0)),"")</f>
        <v/>
      </c>
      <c r="H483" s="15"/>
      <c r="I483" s="15"/>
      <c r="J483" s="58" t="str">
        <f>IF(ISNUMBER(MATCH(K483,QUOC_GIA!$B:$B,0)),INDEX(QUOC_GIA!$A:$A,MATCH(K483,QUOC_GIA!$B:$B,0)),"")</f>
        <v/>
      </c>
      <c r="K483" s="50"/>
      <c r="L483" s="15"/>
      <c r="M483" s="58" t="str">
        <f>IF(ISNUMBER(MATCH(N483,LOAI_THUE!$B:$B,0)),INDEX(LOAI_THUE!$A:$A,MATCH(N483,LOAI_THUE!$B:$B,0)),"")</f>
        <v/>
      </c>
      <c r="N483" s="50"/>
      <c r="O483" s="58" t="str">
        <f>IF(ISNUMBER(MATCH(P483,CHI_TIET_LOAI_KH!$B:$B,0)),INDEX(CHI_TIET_LOAI_KH!$A:$A,MATCH(P483,CHI_TIET_LOAI_KH!$B:$B,0)),"")</f>
        <v/>
      </c>
      <c r="P483" s="50"/>
      <c r="Q483" s="58" t="str">
        <f>IF(ISNUMBER(MATCH(R483,NGHE_NGHIEP!$B:$B,0)),INDEX(NGHE_NGHIEP!$A:$A,MATCH(R483,NGHE_NGHIEP!$B:$B,0)),"")</f>
        <v/>
      </c>
      <c r="R483" s="50"/>
      <c r="S483" s="58" t="str">
        <f>IF(ISNUMBER(MATCH(T483,LOAI_ID!$B:$B,0)),INDEX(LOAI_ID!$A:$A,MATCH(T483,LOAI_ID!$B:$B,0)),"")</f>
        <v/>
      </c>
      <c r="T483" s="16"/>
      <c r="U483" s="48"/>
      <c r="V483" s="48"/>
      <c r="W483" s="17"/>
      <c r="X483" s="17"/>
      <c r="Y483" s="15"/>
      <c r="Z483" s="15"/>
      <c r="AA483" s="59" t="str">
        <f>IFERROR(INDEX(NOI_CAP!$B:$B,MATCH(Z483,NOI_CAP!$A:$A,0)),"")</f>
        <v/>
      </c>
      <c r="AB483" s="58" t="str">
        <f>IF(ISNUMBER(MATCH(AC483,LOAI_DIA_CHI!$B:$B,0)),INDEX(LOAI_DIA_CHI!$A:$A,MATCH(AC483,LOAI_DIA_CHI!$B:$B,0)),"")</f>
        <v/>
      </c>
      <c r="AC483" s="16"/>
      <c r="AD483" s="58" t="str">
        <f>IF(ISNUMBER(MATCH(AE483,QUOC_GIA!$B:$B,0)),INDEX(QUOC_GIA!$A:$A,MATCH(AE483,QUOC_GIA!$B:$B,0)),"")</f>
        <v/>
      </c>
      <c r="AE483" s="16"/>
      <c r="AF483" s="48"/>
      <c r="AG483" s="59" t="str">
        <f>IFERROR(INDEX(TINH_TP!$B:$B,MATCH(AF483,TINH_TP!$A:$A,0)),"")</f>
        <v/>
      </c>
      <c r="AH483" s="50"/>
      <c r="AI483" s="59" t="str">
        <f>IF(OR(AF483="",AH483=""),"",IF(COUNTIFS(PHUONG_XA!$A$2:$A$3323,AH483,PHUONG_XA!$C$2:$C$3323,AF483)=0,"",INDEX(PHUONG_XA!$B$2:$B$3323,SUMPRODUCT((PHUONG_XA!$A$2:$A$3323&amp;""=AH483&amp;"")*(PHUONG_XA!$C$2:$C$3323&amp;""=AF483&amp;"")*(ROW(PHUONG_XA!$A$2:$A$3323)-ROW(PHUONG_XA!$A$2)+1)))))</f>
        <v/>
      </c>
      <c r="AJ483" s="14"/>
      <c r="AK483" s="14"/>
      <c r="AL483" s="57" t="str">
        <f t="shared" si="8"/>
        <v/>
      </c>
      <c r="AM483" s="14"/>
      <c r="AN483" s="15"/>
      <c r="AO483" s="15"/>
      <c r="AP483" s="48"/>
      <c r="AQ483" s="15"/>
      <c r="AR483" s="15"/>
      <c r="AS483" s="15"/>
      <c r="AT483" s="60" t="str">
        <f>IF(ISNUMBER(MATCH(AU483,LOAI_THE!$B:$B,0)),INDEX(LOAI_THE!$A:$A,MATCH(AU483,LOAI_THE!$B:$B,0)),"")</f>
        <v/>
      </c>
      <c r="AU483" s="48"/>
      <c r="AV483" s="15"/>
      <c r="AW483" s="15"/>
      <c r="AX483" s="15"/>
      <c r="AY483" s="48"/>
    </row>
    <row r="484" spans="1:51" x14ac:dyDescent="0.3">
      <c r="A484" s="13" t="s">
        <v>4478</v>
      </c>
      <c r="B484" s="48"/>
      <c r="C484" s="48"/>
      <c r="D484" s="48"/>
      <c r="E484" s="48"/>
      <c r="F484" s="48"/>
      <c r="G484" s="58" t="str">
        <f>IF(ISNUMBER(MATCH(H484,GIOI_TINH!$B:$B,0)),INDEX(GIOI_TINH!$A:$A,MATCH(H484,GIOI_TINH!$B:$B,0)),"")</f>
        <v/>
      </c>
      <c r="H484" s="15"/>
      <c r="I484" s="15"/>
      <c r="J484" s="58" t="str">
        <f>IF(ISNUMBER(MATCH(K484,QUOC_GIA!$B:$B,0)),INDEX(QUOC_GIA!$A:$A,MATCH(K484,QUOC_GIA!$B:$B,0)),"")</f>
        <v/>
      </c>
      <c r="K484" s="50"/>
      <c r="L484" s="15"/>
      <c r="M484" s="58" t="str">
        <f>IF(ISNUMBER(MATCH(N484,LOAI_THUE!$B:$B,0)),INDEX(LOAI_THUE!$A:$A,MATCH(N484,LOAI_THUE!$B:$B,0)),"")</f>
        <v/>
      </c>
      <c r="N484" s="50"/>
      <c r="O484" s="58" t="str">
        <f>IF(ISNUMBER(MATCH(P484,CHI_TIET_LOAI_KH!$B:$B,0)),INDEX(CHI_TIET_LOAI_KH!$A:$A,MATCH(P484,CHI_TIET_LOAI_KH!$B:$B,0)),"")</f>
        <v/>
      </c>
      <c r="P484" s="50"/>
      <c r="Q484" s="58" t="str">
        <f>IF(ISNUMBER(MATCH(R484,NGHE_NGHIEP!$B:$B,0)),INDEX(NGHE_NGHIEP!$A:$A,MATCH(R484,NGHE_NGHIEP!$B:$B,0)),"")</f>
        <v/>
      </c>
      <c r="R484" s="50"/>
      <c r="S484" s="58" t="str">
        <f>IF(ISNUMBER(MATCH(T484,LOAI_ID!$B:$B,0)),INDEX(LOAI_ID!$A:$A,MATCH(T484,LOAI_ID!$B:$B,0)),"")</f>
        <v/>
      </c>
      <c r="T484" s="16"/>
      <c r="U484" s="48"/>
      <c r="V484" s="48"/>
      <c r="W484" s="17"/>
      <c r="X484" s="17"/>
      <c r="Y484" s="15"/>
      <c r="Z484" s="15"/>
      <c r="AA484" s="59" t="str">
        <f>IFERROR(INDEX(NOI_CAP!$B:$B,MATCH(Z484,NOI_CAP!$A:$A,0)),"")</f>
        <v/>
      </c>
      <c r="AB484" s="58" t="str">
        <f>IF(ISNUMBER(MATCH(AC484,LOAI_DIA_CHI!$B:$B,0)),INDEX(LOAI_DIA_CHI!$A:$A,MATCH(AC484,LOAI_DIA_CHI!$B:$B,0)),"")</f>
        <v/>
      </c>
      <c r="AC484" s="16"/>
      <c r="AD484" s="58" t="str">
        <f>IF(ISNUMBER(MATCH(AE484,QUOC_GIA!$B:$B,0)),INDEX(QUOC_GIA!$A:$A,MATCH(AE484,QUOC_GIA!$B:$B,0)),"")</f>
        <v/>
      </c>
      <c r="AE484" s="16"/>
      <c r="AF484" s="48"/>
      <c r="AG484" s="59" t="str">
        <f>IFERROR(INDEX(TINH_TP!$B:$B,MATCH(AF484,TINH_TP!$A:$A,0)),"")</f>
        <v/>
      </c>
      <c r="AH484" s="50"/>
      <c r="AI484" s="59" t="str">
        <f>IF(OR(AF484="",AH484=""),"",IF(COUNTIFS(PHUONG_XA!$A$2:$A$3323,AH484,PHUONG_XA!$C$2:$C$3323,AF484)=0,"",INDEX(PHUONG_XA!$B$2:$B$3323,SUMPRODUCT((PHUONG_XA!$A$2:$A$3323&amp;""=AH484&amp;"")*(PHUONG_XA!$C$2:$C$3323&amp;""=AF484&amp;"")*(ROW(PHUONG_XA!$A$2:$A$3323)-ROW(PHUONG_XA!$A$2)+1)))))</f>
        <v/>
      </c>
      <c r="AJ484" s="14"/>
      <c r="AK484" s="14"/>
      <c r="AL484" s="57" t="str">
        <f t="shared" si="8"/>
        <v/>
      </c>
      <c r="AM484" s="14"/>
      <c r="AN484" s="15"/>
      <c r="AO484" s="15"/>
      <c r="AP484" s="48"/>
      <c r="AQ484" s="15"/>
      <c r="AR484" s="15"/>
      <c r="AS484" s="15"/>
      <c r="AT484" s="60" t="str">
        <f>IF(ISNUMBER(MATCH(AU484,LOAI_THE!$B:$B,0)),INDEX(LOAI_THE!$A:$A,MATCH(AU484,LOAI_THE!$B:$B,0)),"")</f>
        <v/>
      </c>
      <c r="AU484" s="48"/>
      <c r="AV484" s="15"/>
      <c r="AW484" s="15"/>
      <c r="AX484" s="15"/>
      <c r="AY484" s="48"/>
    </row>
    <row r="485" spans="1:51" x14ac:dyDescent="0.3">
      <c r="A485" s="13" t="s">
        <v>4479</v>
      </c>
      <c r="B485" s="48"/>
      <c r="C485" s="48"/>
      <c r="D485" s="48"/>
      <c r="E485" s="48"/>
      <c r="F485" s="48"/>
      <c r="G485" s="58" t="str">
        <f>IF(ISNUMBER(MATCH(H485,GIOI_TINH!$B:$B,0)),INDEX(GIOI_TINH!$A:$A,MATCH(H485,GIOI_TINH!$B:$B,0)),"")</f>
        <v/>
      </c>
      <c r="H485" s="15"/>
      <c r="I485" s="15"/>
      <c r="J485" s="58" t="str">
        <f>IF(ISNUMBER(MATCH(K485,QUOC_GIA!$B:$B,0)),INDEX(QUOC_GIA!$A:$A,MATCH(K485,QUOC_GIA!$B:$B,0)),"")</f>
        <v/>
      </c>
      <c r="K485" s="50"/>
      <c r="L485" s="15"/>
      <c r="M485" s="58" t="str">
        <f>IF(ISNUMBER(MATCH(N485,LOAI_THUE!$B:$B,0)),INDEX(LOAI_THUE!$A:$A,MATCH(N485,LOAI_THUE!$B:$B,0)),"")</f>
        <v/>
      </c>
      <c r="N485" s="50"/>
      <c r="O485" s="58" t="str">
        <f>IF(ISNUMBER(MATCH(P485,CHI_TIET_LOAI_KH!$B:$B,0)),INDEX(CHI_TIET_LOAI_KH!$A:$A,MATCH(P485,CHI_TIET_LOAI_KH!$B:$B,0)),"")</f>
        <v/>
      </c>
      <c r="P485" s="50"/>
      <c r="Q485" s="58" t="str">
        <f>IF(ISNUMBER(MATCH(R485,NGHE_NGHIEP!$B:$B,0)),INDEX(NGHE_NGHIEP!$A:$A,MATCH(R485,NGHE_NGHIEP!$B:$B,0)),"")</f>
        <v/>
      </c>
      <c r="R485" s="50"/>
      <c r="S485" s="58" t="str">
        <f>IF(ISNUMBER(MATCH(T485,LOAI_ID!$B:$B,0)),INDEX(LOAI_ID!$A:$A,MATCH(T485,LOAI_ID!$B:$B,0)),"")</f>
        <v/>
      </c>
      <c r="T485" s="16"/>
      <c r="U485" s="48"/>
      <c r="V485" s="48"/>
      <c r="W485" s="17"/>
      <c r="X485" s="17"/>
      <c r="Y485" s="15"/>
      <c r="Z485" s="15"/>
      <c r="AA485" s="59" t="str">
        <f>IFERROR(INDEX(NOI_CAP!$B:$B,MATCH(Z485,NOI_CAP!$A:$A,0)),"")</f>
        <v/>
      </c>
      <c r="AB485" s="58" t="str">
        <f>IF(ISNUMBER(MATCH(AC485,LOAI_DIA_CHI!$B:$B,0)),INDEX(LOAI_DIA_CHI!$A:$A,MATCH(AC485,LOAI_DIA_CHI!$B:$B,0)),"")</f>
        <v/>
      </c>
      <c r="AC485" s="16"/>
      <c r="AD485" s="58" t="str">
        <f>IF(ISNUMBER(MATCH(AE485,QUOC_GIA!$B:$B,0)),INDEX(QUOC_GIA!$A:$A,MATCH(AE485,QUOC_GIA!$B:$B,0)),"")</f>
        <v/>
      </c>
      <c r="AE485" s="16"/>
      <c r="AF485" s="48"/>
      <c r="AG485" s="59" t="str">
        <f>IFERROR(INDEX(TINH_TP!$B:$B,MATCH(AF485,TINH_TP!$A:$A,0)),"")</f>
        <v/>
      </c>
      <c r="AH485" s="50"/>
      <c r="AI485" s="59" t="str">
        <f>IF(OR(AF485="",AH485=""),"",IF(COUNTIFS(PHUONG_XA!$A$2:$A$3323,AH485,PHUONG_XA!$C$2:$C$3323,AF485)=0,"",INDEX(PHUONG_XA!$B$2:$B$3323,SUMPRODUCT((PHUONG_XA!$A$2:$A$3323&amp;""=AH485&amp;"")*(PHUONG_XA!$C$2:$C$3323&amp;""=AF485&amp;"")*(ROW(PHUONG_XA!$A$2:$A$3323)-ROW(PHUONG_XA!$A$2)+1)))))</f>
        <v/>
      </c>
      <c r="AJ485" s="14"/>
      <c r="AK485" s="14"/>
      <c r="AL485" s="57" t="str">
        <f t="shared" si="8"/>
        <v/>
      </c>
      <c r="AM485" s="14"/>
      <c r="AN485" s="15"/>
      <c r="AO485" s="15"/>
      <c r="AP485" s="48"/>
      <c r="AQ485" s="15"/>
      <c r="AR485" s="15"/>
      <c r="AS485" s="15"/>
      <c r="AT485" s="60" t="str">
        <f>IF(ISNUMBER(MATCH(AU485,LOAI_THE!$B:$B,0)),INDEX(LOAI_THE!$A:$A,MATCH(AU485,LOAI_THE!$B:$B,0)),"")</f>
        <v/>
      </c>
      <c r="AU485" s="48"/>
      <c r="AV485" s="15"/>
      <c r="AW485" s="15"/>
      <c r="AX485" s="15"/>
      <c r="AY485" s="48"/>
    </row>
    <row r="486" spans="1:51" x14ac:dyDescent="0.3">
      <c r="A486" s="13" t="s">
        <v>4480</v>
      </c>
      <c r="B486" s="48"/>
      <c r="C486" s="48"/>
      <c r="D486" s="48"/>
      <c r="E486" s="48"/>
      <c r="F486" s="48"/>
      <c r="G486" s="58" t="str">
        <f>IF(ISNUMBER(MATCH(H486,GIOI_TINH!$B:$B,0)),INDEX(GIOI_TINH!$A:$A,MATCH(H486,GIOI_TINH!$B:$B,0)),"")</f>
        <v/>
      </c>
      <c r="H486" s="15"/>
      <c r="I486" s="15"/>
      <c r="J486" s="58" t="str">
        <f>IF(ISNUMBER(MATCH(K486,QUOC_GIA!$B:$B,0)),INDEX(QUOC_GIA!$A:$A,MATCH(K486,QUOC_GIA!$B:$B,0)),"")</f>
        <v/>
      </c>
      <c r="K486" s="50"/>
      <c r="L486" s="15"/>
      <c r="M486" s="58" t="str">
        <f>IF(ISNUMBER(MATCH(N486,LOAI_THUE!$B:$B,0)),INDEX(LOAI_THUE!$A:$A,MATCH(N486,LOAI_THUE!$B:$B,0)),"")</f>
        <v/>
      </c>
      <c r="N486" s="50"/>
      <c r="O486" s="58" t="str">
        <f>IF(ISNUMBER(MATCH(P486,CHI_TIET_LOAI_KH!$B:$B,0)),INDEX(CHI_TIET_LOAI_KH!$A:$A,MATCH(P486,CHI_TIET_LOAI_KH!$B:$B,0)),"")</f>
        <v/>
      </c>
      <c r="P486" s="50"/>
      <c r="Q486" s="58" t="str">
        <f>IF(ISNUMBER(MATCH(R486,NGHE_NGHIEP!$B:$B,0)),INDEX(NGHE_NGHIEP!$A:$A,MATCH(R486,NGHE_NGHIEP!$B:$B,0)),"")</f>
        <v/>
      </c>
      <c r="R486" s="50"/>
      <c r="S486" s="58" t="str">
        <f>IF(ISNUMBER(MATCH(T486,LOAI_ID!$B:$B,0)),INDEX(LOAI_ID!$A:$A,MATCH(T486,LOAI_ID!$B:$B,0)),"")</f>
        <v/>
      </c>
      <c r="T486" s="16"/>
      <c r="U486" s="48"/>
      <c r="V486" s="48"/>
      <c r="W486" s="17"/>
      <c r="X486" s="17"/>
      <c r="Y486" s="15"/>
      <c r="Z486" s="15"/>
      <c r="AA486" s="59" t="str">
        <f>IFERROR(INDEX(NOI_CAP!$B:$B,MATCH(Z486,NOI_CAP!$A:$A,0)),"")</f>
        <v/>
      </c>
      <c r="AB486" s="58" t="str">
        <f>IF(ISNUMBER(MATCH(AC486,LOAI_DIA_CHI!$B:$B,0)),INDEX(LOAI_DIA_CHI!$A:$A,MATCH(AC486,LOAI_DIA_CHI!$B:$B,0)),"")</f>
        <v/>
      </c>
      <c r="AC486" s="16"/>
      <c r="AD486" s="58" t="str">
        <f>IF(ISNUMBER(MATCH(AE486,QUOC_GIA!$B:$B,0)),INDEX(QUOC_GIA!$A:$A,MATCH(AE486,QUOC_GIA!$B:$B,0)),"")</f>
        <v/>
      </c>
      <c r="AE486" s="16"/>
      <c r="AF486" s="48"/>
      <c r="AG486" s="59" t="str">
        <f>IFERROR(INDEX(TINH_TP!$B:$B,MATCH(AF486,TINH_TP!$A:$A,0)),"")</f>
        <v/>
      </c>
      <c r="AH486" s="50"/>
      <c r="AI486" s="59" t="str">
        <f>IF(OR(AF486="",AH486=""),"",IF(COUNTIFS(PHUONG_XA!$A$2:$A$3323,AH486,PHUONG_XA!$C$2:$C$3323,AF486)=0,"",INDEX(PHUONG_XA!$B$2:$B$3323,SUMPRODUCT((PHUONG_XA!$A$2:$A$3323&amp;""=AH486&amp;"")*(PHUONG_XA!$C$2:$C$3323&amp;""=AF486&amp;"")*(ROW(PHUONG_XA!$A$2:$A$3323)-ROW(PHUONG_XA!$A$2)+1)))))</f>
        <v/>
      </c>
      <c r="AJ486" s="14"/>
      <c r="AK486" s="14"/>
      <c r="AL486" s="57" t="str">
        <f t="shared" si="8"/>
        <v/>
      </c>
      <c r="AM486" s="14"/>
      <c r="AN486" s="15"/>
      <c r="AO486" s="15"/>
      <c r="AP486" s="48"/>
      <c r="AQ486" s="15"/>
      <c r="AR486" s="15"/>
      <c r="AS486" s="15"/>
      <c r="AT486" s="60" t="str">
        <f>IF(ISNUMBER(MATCH(AU486,LOAI_THE!$B:$B,0)),INDEX(LOAI_THE!$A:$A,MATCH(AU486,LOAI_THE!$B:$B,0)),"")</f>
        <v/>
      </c>
      <c r="AU486" s="48"/>
      <c r="AV486" s="15"/>
      <c r="AW486" s="15"/>
      <c r="AX486" s="15"/>
      <c r="AY486" s="48"/>
    </row>
    <row r="487" spans="1:51" x14ac:dyDescent="0.3">
      <c r="A487" s="13" t="s">
        <v>4481</v>
      </c>
      <c r="B487" s="48"/>
      <c r="C487" s="48"/>
      <c r="D487" s="48"/>
      <c r="E487" s="48"/>
      <c r="F487" s="48"/>
      <c r="G487" s="58" t="str">
        <f>IF(ISNUMBER(MATCH(H487,GIOI_TINH!$B:$B,0)),INDEX(GIOI_TINH!$A:$A,MATCH(H487,GIOI_TINH!$B:$B,0)),"")</f>
        <v/>
      </c>
      <c r="H487" s="15"/>
      <c r="I487" s="15"/>
      <c r="J487" s="58" t="str">
        <f>IF(ISNUMBER(MATCH(K487,QUOC_GIA!$B:$B,0)),INDEX(QUOC_GIA!$A:$A,MATCH(K487,QUOC_GIA!$B:$B,0)),"")</f>
        <v/>
      </c>
      <c r="K487" s="50"/>
      <c r="L487" s="15"/>
      <c r="M487" s="58" t="str">
        <f>IF(ISNUMBER(MATCH(N487,LOAI_THUE!$B:$B,0)),INDEX(LOAI_THUE!$A:$A,MATCH(N487,LOAI_THUE!$B:$B,0)),"")</f>
        <v/>
      </c>
      <c r="N487" s="50"/>
      <c r="O487" s="58" t="str">
        <f>IF(ISNUMBER(MATCH(P487,CHI_TIET_LOAI_KH!$B:$B,0)),INDEX(CHI_TIET_LOAI_KH!$A:$A,MATCH(P487,CHI_TIET_LOAI_KH!$B:$B,0)),"")</f>
        <v/>
      </c>
      <c r="P487" s="50"/>
      <c r="Q487" s="58" t="str">
        <f>IF(ISNUMBER(MATCH(R487,NGHE_NGHIEP!$B:$B,0)),INDEX(NGHE_NGHIEP!$A:$A,MATCH(R487,NGHE_NGHIEP!$B:$B,0)),"")</f>
        <v/>
      </c>
      <c r="R487" s="50"/>
      <c r="S487" s="58" t="str">
        <f>IF(ISNUMBER(MATCH(T487,LOAI_ID!$B:$B,0)),INDEX(LOAI_ID!$A:$A,MATCH(T487,LOAI_ID!$B:$B,0)),"")</f>
        <v/>
      </c>
      <c r="T487" s="16"/>
      <c r="U487" s="48"/>
      <c r="V487" s="48"/>
      <c r="W487" s="17"/>
      <c r="X487" s="17"/>
      <c r="Y487" s="15"/>
      <c r="Z487" s="15"/>
      <c r="AA487" s="59" t="str">
        <f>IFERROR(INDEX(NOI_CAP!$B:$B,MATCH(Z487,NOI_CAP!$A:$A,0)),"")</f>
        <v/>
      </c>
      <c r="AB487" s="58" t="str">
        <f>IF(ISNUMBER(MATCH(AC487,LOAI_DIA_CHI!$B:$B,0)),INDEX(LOAI_DIA_CHI!$A:$A,MATCH(AC487,LOAI_DIA_CHI!$B:$B,0)),"")</f>
        <v/>
      </c>
      <c r="AC487" s="16"/>
      <c r="AD487" s="58" t="str">
        <f>IF(ISNUMBER(MATCH(AE487,QUOC_GIA!$B:$B,0)),INDEX(QUOC_GIA!$A:$A,MATCH(AE487,QUOC_GIA!$B:$B,0)),"")</f>
        <v/>
      </c>
      <c r="AE487" s="16"/>
      <c r="AF487" s="48"/>
      <c r="AG487" s="59" t="str">
        <f>IFERROR(INDEX(TINH_TP!$B:$B,MATCH(AF487,TINH_TP!$A:$A,0)),"")</f>
        <v/>
      </c>
      <c r="AH487" s="50"/>
      <c r="AI487" s="59" t="str">
        <f>IF(OR(AF487="",AH487=""),"",IF(COUNTIFS(PHUONG_XA!$A$2:$A$3323,AH487,PHUONG_XA!$C$2:$C$3323,AF487)=0,"",INDEX(PHUONG_XA!$B$2:$B$3323,SUMPRODUCT((PHUONG_XA!$A$2:$A$3323&amp;""=AH487&amp;"")*(PHUONG_XA!$C$2:$C$3323&amp;""=AF487&amp;"")*(ROW(PHUONG_XA!$A$2:$A$3323)-ROW(PHUONG_XA!$A$2)+1)))))</f>
        <v/>
      </c>
      <c r="AJ487" s="14"/>
      <c r="AK487" s="14"/>
      <c r="AL487" s="57" t="str">
        <f t="shared" si="8"/>
        <v/>
      </c>
      <c r="AM487" s="14"/>
      <c r="AN487" s="15"/>
      <c r="AO487" s="15"/>
      <c r="AP487" s="48"/>
      <c r="AQ487" s="15"/>
      <c r="AR487" s="15"/>
      <c r="AS487" s="15"/>
      <c r="AT487" s="60" t="str">
        <f>IF(ISNUMBER(MATCH(AU487,LOAI_THE!$B:$B,0)),INDEX(LOAI_THE!$A:$A,MATCH(AU487,LOAI_THE!$B:$B,0)),"")</f>
        <v/>
      </c>
      <c r="AU487" s="48"/>
      <c r="AV487" s="15"/>
      <c r="AW487" s="15"/>
      <c r="AX487" s="15"/>
      <c r="AY487" s="48"/>
    </row>
    <row r="488" spans="1:51" x14ac:dyDescent="0.3">
      <c r="A488" s="13" t="s">
        <v>4482</v>
      </c>
      <c r="B488" s="48"/>
      <c r="C488" s="48"/>
      <c r="D488" s="48"/>
      <c r="E488" s="48"/>
      <c r="F488" s="48"/>
      <c r="G488" s="58" t="str">
        <f>IF(ISNUMBER(MATCH(H488,GIOI_TINH!$B:$B,0)),INDEX(GIOI_TINH!$A:$A,MATCH(H488,GIOI_TINH!$B:$B,0)),"")</f>
        <v/>
      </c>
      <c r="H488" s="15"/>
      <c r="I488" s="15"/>
      <c r="J488" s="58" t="str">
        <f>IF(ISNUMBER(MATCH(K488,QUOC_GIA!$B:$B,0)),INDEX(QUOC_GIA!$A:$A,MATCH(K488,QUOC_GIA!$B:$B,0)),"")</f>
        <v/>
      </c>
      <c r="K488" s="50"/>
      <c r="L488" s="15"/>
      <c r="M488" s="58" t="str">
        <f>IF(ISNUMBER(MATCH(N488,LOAI_THUE!$B:$B,0)),INDEX(LOAI_THUE!$A:$A,MATCH(N488,LOAI_THUE!$B:$B,0)),"")</f>
        <v/>
      </c>
      <c r="N488" s="50"/>
      <c r="O488" s="58" t="str">
        <f>IF(ISNUMBER(MATCH(P488,CHI_TIET_LOAI_KH!$B:$B,0)),INDEX(CHI_TIET_LOAI_KH!$A:$A,MATCH(P488,CHI_TIET_LOAI_KH!$B:$B,0)),"")</f>
        <v/>
      </c>
      <c r="P488" s="50"/>
      <c r="Q488" s="58" t="str">
        <f>IF(ISNUMBER(MATCH(R488,NGHE_NGHIEP!$B:$B,0)),INDEX(NGHE_NGHIEP!$A:$A,MATCH(R488,NGHE_NGHIEP!$B:$B,0)),"")</f>
        <v/>
      </c>
      <c r="R488" s="50"/>
      <c r="S488" s="58" t="str">
        <f>IF(ISNUMBER(MATCH(T488,LOAI_ID!$B:$B,0)),INDEX(LOAI_ID!$A:$A,MATCH(T488,LOAI_ID!$B:$B,0)),"")</f>
        <v/>
      </c>
      <c r="T488" s="16"/>
      <c r="U488" s="48"/>
      <c r="V488" s="48"/>
      <c r="W488" s="17"/>
      <c r="X488" s="17"/>
      <c r="Y488" s="15"/>
      <c r="Z488" s="15"/>
      <c r="AA488" s="59" t="str">
        <f>IFERROR(INDEX(NOI_CAP!$B:$B,MATCH(Z488,NOI_CAP!$A:$A,0)),"")</f>
        <v/>
      </c>
      <c r="AB488" s="58" t="str">
        <f>IF(ISNUMBER(MATCH(AC488,LOAI_DIA_CHI!$B:$B,0)),INDEX(LOAI_DIA_CHI!$A:$A,MATCH(AC488,LOAI_DIA_CHI!$B:$B,0)),"")</f>
        <v/>
      </c>
      <c r="AC488" s="16"/>
      <c r="AD488" s="58" t="str">
        <f>IF(ISNUMBER(MATCH(AE488,QUOC_GIA!$B:$B,0)),INDEX(QUOC_GIA!$A:$A,MATCH(AE488,QUOC_GIA!$B:$B,0)),"")</f>
        <v/>
      </c>
      <c r="AE488" s="16"/>
      <c r="AF488" s="48"/>
      <c r="AG488" s="59" t="str">
        <f>IFERROR(INDEX(TINH_TP!$B:$B,MATCH(AF488,TINH_TP!$A:$A,0)),"")</f>
        <v/>
      </c>
      <c r="AH488" s="50"/>
      <c r="AI488" s="59" t="str">
        <f>IF(OR(AF488="",AH488=""),"",IF(COUNTIFS(PHUONG_XA!$A$2:$A$3323,AH488,PHUONG_XA!$C$2:$C$3323,AF488)=0,"",INDEX(PHUONG_XA!$B$2:$B$3323,SUMPRODUCT((PHUONG_XA!$A$2:$A$3323&amp;""=AH488&amp;"")*(PHUONG_XA!$C$2:$C$3323&amp;""=AF488&amp;"")*(ROW(PHUONG_XA!$A$2:$A$3323)-ROW(PHUONG_XA!$A$2)+1)))))</f>
        <v/>
      </c>
      <c r="AJ488" s="14"/>
      <c r="AK488" s="14"/>
      <c r="AL488" s="57" t="str">
        <f t="shared" si="8"/>
        <v/>
      </c>
      <c r="AM488" s="14"/>
      <c r="AN488" s="15"/>
      <c r="AO488" s="15"/>
      <c r="AP488" s="48"/>
      <c r="AQ488" s="15"/>
      <c r="AR488" s="15"/>
      <c r="AS488" s="15"/>
      <c r="AT488" s="60" t="str">
        <f>IF(ISNUMBER(MATCH(AU488,LOAI_THE!$B:$B,0)),INDEX(LOAI_THE!$A:$A,MATCH(AU488,LOAI_THE!$B:$B,0)),"")</f>
        <v/>
      </c>
      <c r="AU488" s="48"/>
      <c r="AV488" s="15"/>
      <c r="AW488" s="15"/>
      <c r="AX488" s="15"/>
      <c r="AY488" s="48"/>
    </row>
    <row r="489" spans="1:51" x14ac:dyDescent="0.3">
      <c r="A489" s="13" t="s">
        <v>4483</v>
      </c>
      <c r="B489" s="48"/>
      <c r="C489" s="48"/>
      <c r="D489" s="48"/>
      <c r="E489" s="48"/>
      <c r="F489" s="48"/>
      <c r="G489" s="58" t="str">
        <f>IF(ISNUMBER(MATCH(H489,GIOI_TINH!$B:$B,0)),INDEX(GIOI_TINH!$A:$A,MATCH(H489,GIOI_TINH!$B:$B,0)),"")</f>
        <v/>
      </c>
      <c r="H489" s="15"/>
      <c r="I489" s="15"/>
      <c r="J489" s="58" t="str">
        <f>IF(ISNUMBER(MATCH(K489,QUOC_GIA!$B:$B,0)),INDEX(QUOC_GIA!$A:$A,MATCH(K489,QUOC_GIA!$B:$B,0)),"")</f>
        <v/>
      </c>
      <c r="K489" s="50"/>
      <c r="L489" s="15"/>
      <c r="M489" s="58" t="str">
        <f>IF(ISNUMBER(MATCH(N489,LOAI_THUE!$B:$B,0)),INDEX(LOAI_THUE!$A:$A,MATCH(N489,LOAI_THUE!$B:$B,0)),"")</f>
        <v/>
      </c>
      <c r="N489" s="50"/>
      <c r="O489" s="58" t="str">
        <f>IF(ISNUMBER(MATCH(P489,CHI_TIET_LOAI_KH!$B:$B,0)),INDEX(CHI_TIET_LOAI_KH!$A:$A,MATCH(P489,CHI_TIET_LOAI_KH!$B:$B,0)),"")</f>
        <v/>
      </c>
      <c r="P489" s="50"/>
      <c r="Q489" s="58" t="str">
        <f>IF(ISNUMBER(MATCH(R489,NGHE_NGHIEP!$B:$B,0)),INDEX(NGHE_NGHIEP!$A:$A,MATCH(R489,NGHE_NGHIEP!$B:$B,0)),"")</f>
        <v/>
      </c>
      <c r="R489" s="50"/>
      <c r="S489" s="58" t="str">
        <f>IF(ISNUMBER(MATCH(T489,LOAI_ID!$B:$B,0)),INDEX(LOAI_ID!$A:$A,MATCH(T489,LOAI_ID!$B:$B,0)),"")</f>
        <v/>
      </c>
      <c r="T489" s="16"/>
      <c r="U489" s="48"/>
      <c r="V489" s="48"/>
      <c r="W489" s="17"/>
      <c r="X489" s="17"/>
      <c r="Y489" s="15"/>
      <c r="Z489" s="15"/>
      <c r="AA489" s="59" t="str">
        <f>IFERROR(INDEX(NOI_CAP!$B:$B,MATCH(Z489,NOI_CAP!$A:$A,0)),"")</f>
        <v/>
      </c>
      <c r="AB489" s="58" t="str">
        <f>IF(ISNUMBER(MATCH(AC489,LOAI_DIA_CHI!$B:$B,0)),INDEX(LOAI_DIA_CHI!$A:$A,MATCH(AC489,LOAI_DIA_CHI!$B:$B,0)),"")</f>
        <v/>
      </c>
      <c r="AC489" s="16"/>
      <c r="AD489" s="58" t="str">
        <f>IF(ISNUMBER(MATCH(AE489,QUOC_GIA!$B:$B,0)),INDEX(QUOC_GIA!$A:$A,MATCH(AE489,QUOC_GIA!$B:$B,0)),"")</f>
        <v/>
      </c>
      <c r="AE489" s="16"/>
      <c r="AF489" s="48"/>
      <c r="AG489" s="59" t="str">
        <f>IFERROR(INDEX(TINH_TP!$B:$B,MATCH(AF489,TINH_TP!$A:$A,0)),"")</f>
        <v/>
      </c>
      <c r="AH489" s="50"/>
      <c r="AI489" s="59" t="str">
        <f>IF(OR(AF489="",AH489=""),"",IF(COUNTIFS(PHUONG_XA!$A$2:$A$3323,AH489,PHUONG_XA!$C$2:$C$3323,AF489)=0,"",INDEX(PHUONG_XA!$B$2:$B$3323,SUMPRODUCT((PHUONG_XA!$A$2:$A$3323&amp;""=AH489&amp;"")*(PHUONG_XA!$C$2:$C$3323&amp;""=AF489&amp;"")*(ROW(PHUONG_XA!$A$2:$A$3323)-ROW(PHUONG_XA!$A$2)+1)))))</f>
        <v/>
      </c>
      <c r="AJ489" s="14"/>
      <c r="AK489" s="14"/>
      <c r="AL489" s="57" t="str">
        <f t="shared" si="8"/>
        <v/>
      </c>
      <c r="AM489" s="14"/>
      <c r="AN489" s="15"/>
      <c r="AO489" s="15"/>
      <c r="AP489" s="48"/>
      <c r="AQ489" s="15"/>
      <c r="AR489" s="15"/>
      <c r="AS489" s="15"/>
      <c r="AT489" s="60" t="str">
        <f>IF(ISNUMBER(MATCH(AU489,LOAI_THE!$B:$B,0)),INDEX(LOAI_THE!$A:$A,MATCH(AU489,LOAI_THE!$B:$B,0)),"")</f>
        <v/>
      </c>
      <c r="AU489" s="48"/>
      <c r="AV489" s="15"/>
      <c r="AW489" s="15"/>
      <c r="AX489" s="15"/>
      <c r="AY489" s="48"/>
    </row>
    <row r="490" spans="1:51" x14ac:dyDescent="0.3">
      <c r="A490" s="13" t="s">
        <v>4484</v>
      </c>
      <c r="B490" s="48"/>
      <c r="C490" s="48"/>
      <c r="D490" s="48"/>
      <c r="E490" s="48"/>
      <c r="F490" s="48"/>
      <c r="G490" s="58" t="str">
        <f>IF(ISNUMBER(MATCH(H490,GIOI_TINH!$B:$B,0)),INDEX(GIOI_TINH!$A:$A,MATCH(H490,GIOI_TINH!$B:$B,0)),"")</f>
        <v/>
      </c>
      <c r="H490" s="15"/>
      <c r="I490" s="15"/>
      <c r="J490" s="58" t="str">
        <f>IF(ISNUMBER(MATCH(K490,QUOC_GIA!$B:$B,0)),INDEX(QUOC_GIA!$A:$A,MATCH(K490,QUOC_GIA!$B:$B,0)),"")</f>
        <v/>
      </c>
      <c r="K490" s="50"/>
      <c r="L490" s="15"/>
      <c r="M490" s="58" t="str">
        <f>IF(ISNUMBER(MATCH(N490,LOAI_THUE!$B:$B,0)),INDEX(LOAI_THUE!$A:$A,MATCH(N490,LOAI_THUE!$B:$B,0)),"")</f>
        <v/>
      </c>
      <c r="N490" s="50"/>
      <c r="O490" s="58" t="str">
        <f>IF(ISNUMBER(MATCH(P490,CHI_TIET_LOAI_KH!$B:$B,0)),INDEX(CHI_TIET_LOAI_KH!$A:$A,MATCH(P490,CHI_TIET_LOAI_KH!$B:$B,0)),"")</f>
        <v/>
      </c>
      <c r="P490" s="50"/>
      <c r="Q490" s="58" t="str">
        <f>IF(ISNUMBER(MATCH(R490,NGHE_NGHIEP!$B:$B,0)),INDEX(NGHE_NGHIEP!$A:$A,MATCH(R490,NGHE_NGHIEP!$B:$B,0)),"")</f>
        <v/>
      </c>
      <c r="R490" s="50"/>
      <c r="S490" s="58" t="str">
        <f>IF(ISNUMBER(MATCH(T490,LOAI_ID!$B:$B,0)),INDEX(LOAI_ID!$A:$A,MATCH(T490,LOAI_ID!$B:$B,0)),"")</f>
        <v/>
      </c>
      <c r="T490" s="16"/>
      <c r="U490" s="48"/>
      <c r="V490" s="48"/>
      <c r="W490" s="17"/>
      <c r="X490" s="17"/>
      <c r="Y490" s="15"/>
      <c r="Z490" s="15"/>
      <c r="AA490" s="59" t="str">
        <f>IFERROR(INDEX(NOI_CAP!$B:$B,MATCH(Z490,NOI_CAP!$A:$A,0)),"")</f>
        <v/>
      </c>
      <c r="AB490" s="58" t="str">
        <f>IF(ISNUMBER(MATCH(AC490,LOAI_DIA_CHI!$B:$B,0)),INDEX(LOAI_DIA_CHI!$A:$A,MATCH(AC490,LOAI_DIA_CHI!$B:$B,0)),"")</f>
        <v/>
      </c>
      <c r="AC490" s="16"/>
      <c r="AD490" s="58" t="str">
        <f>IF(ISNUMBER(MATCH(AE490,QUOC_GIA!$B:$B,0)),INDEX(QUOC_GIA!$A:$A,MATCH(AE490,QUOC_GIA!$B:$B,0)),"")</f>
        <v/>
      </c>
      <c r="AE490" s="16"/>
      <c r="AF490" s="48"/>
      <c r="AG490" s="59" t="str">
        <f>IFERROR(INDEX(TINH_TP!$B:$B,MATCH(AF490,TINH_TP!$A:$A,0)),"")</f>
        <v/>
      </c>
      <c r="AH490" s="50"/>
      <c r="AI490" s="59" t="str">
        <f>IF(OR(AF490="",AH490=""),"",IF(COUNTIFS(PHUONG_XA!$A$2:$A$3323,AH490,PHUONG_XA!$C$2:$C$3323,AF490)=0,"",INDEX(PHUONG_XA!$B$2:$B$3323,SUMPRODUCT((PHUONG_XA!$A$2:$A$3323&amp;""=AH490&amp;"")*(PHUONG_XA!$C$2:$C$3323&amp;""=AF490&amp;"")*(ROW(PHUONG_XA!$A$2:$A$3323)-ROW(PHUONG_XA!$A$2)+1)))))</f>
        <v/>
      </c>
      <c r="AJ490" s="14"/>
      <c r="AK490" s="14"/>
      <c r="AL490" s="57" t="str">
        <f t="shared" si="8"/>
        <v/>
      </c>
      <c r="AM490" s="14"/>
      <c r="AN490" s="15"/>
      <c r="AO490" s="15"/>
      <c r="AP490" s="48"/>
      <c r="AQ490" s="15"/>
      <c r="AR490" s="15"/>
      <c r="AS490" s="15"/>
      <c r="AT490" s="60" t="str">
        <f>IF(ISNUMBER(MATCH(AU490,LOAI_THE!$B:$B,0)),INDEX(LOAI_THE!$A:$A,MATCH(AU490,LOAI_THE!$B:$B,0)),"")</f>
        <v/>
      </c>
      <c r="AU490" s="48"/>
      <c r="AV490" s="15"/>
      <c r="AW490" s="15"/>
      <c r="AX490" s="15"/>
      <c r="AY490" s="48"/>
    </row>
    <row r="491" spans="1:51" x14ac:dyDescent="0.3">
      <c r="A491" s="13" t="s">
        <v>4485</v>
      </c>
      <c r="B491" s="48"/>
      <c r="C491" s="48"/>
      <c r="D491" s="48"/>
      <c r="E491" s="48"/>
      <c r="F491" s="48"/>
      <c r="G491" s="58" t="str">
        <f>IF(ISNUMBER(MATCH(H491,GIOI_TINH!$B:$B,0)),INDEX(GIOI_TINH!$A:$A,MATCH(H491,GIOI_TINH!$B:$B,0)),"")</f>
        <v/>
      </c>
      <c r="H491" s="15"/>
      <c r="I491" s="15"/>
      <c r="J491" s="58" t="str">
        <f>IF(ISNUMBER(MATCH(K491,QUOC_GIA!$B:$B,0)),INDEX(QUOC_GIA!$A:$A,MATCH(K491,QUOC_GIA!$B:$B,0)),"")</f>
        <v/>
      </c>
      <c r="K491" s="50"/>
      <c r="L491" s="15"/>
      <c r="M491" s="58" t="str">
        <f>IF(ISNUMBER(MATCH(N491,LOAI_THUE!$B:$B,0)),INDEX(LOAI_THUE!$A:$A,MATCH(N491,LOAI_THUE!$B:$B,0)),"")</f>
        <v/>
      </c>
      <c r="N491" s="50"/>
      <c r="O491" s="58" t="str">
        <f>IF(ISNUMBER(MATCH(P491,CHI_TIET_LOAI_KH!$B:$B,0)),INDEX(CHI_TIET_LOAI_KH!$A:$A,MATCH(P491,CHI_TIET_LOAI_KH!$B:$B,0)),"")</f>
        <v/>
      </c>
      <c r="P491" s="50"/>
      <c r="Q491" s="58" t="str">
        <f>IF(ISNUMBER(MATCH(R491,NGHE_NGHIEP!$B:$B,0)),INDEX(NGHE_NGHIEP!$A:$A,MATCH(R491,NGHE_NGHIEP!$B:$B,0)),"")</f>
        <v/>
      </c>
      <c r="R491" s="50"/>
      <c r="S491" s="58" t="str">
        <f>IF(ISNUMBER(MATCH(T491,LOAI_ID!$B:$B,0)),INDEX(LOAI_ID!$A:$A,MATCH(T491,LOAI_ID!$B:$B,0)),"")</f>
        <v/>
      </c>
      <c r="T491" s="16"/>
      <c r="U491" s="48"/>
      <c r="V491" s="48"/>
      <c r="W491" s="17"/>
      <c r="X491" s="17"/>
      <c r="Y491" s="15"/>
      <c r="Z491" s="15"/>
      <c r="AA491" s="59" t="str">
        <f>IFERROR(INDEX(NOI_CAP!$B:$B,MATCH(Z491,NOI_CAP!$A:$A,0)),"")</f>
        <v/>
      </c>
      <c r="AB491" s="58" t="str">
        <f>IF(ISNUMBER(MATCH(AC491,LOAI_DIA_CHI!$B:$B,0)),INDEX(LOAI_DIA_CHI!$A:$A,MATCH(AC491,LOAI_DIA_CHI!$B:$B,0)),"")</f>
        <v/>
      </c>
      <c r="AC491" s="16"/>
      <c r="AD491" s="58" t="str">
        <f>IF(ISNUMBER(MATCH(AE491,QUOC_GIA!$B:$B,0)),INDEX(QUOC_GIA!$A:$A,MATCH(AE491,QUOC_GIA!$B:$B,0)),"")</f>
        <v/>
      </c>
      <c r="AE491" s="16"/>
      <c r="AF491" s="48"/>
      <c r="AG491" s="59" t="str">
        <f>IFERROR(INDEX(TINH_TP!$B:$B,MATCH(AF491,TINH_TP!$A:$A,0)),"")</f>
        <v/>
      </c>
      <c r="AH491" s="50"/>
      <c r="AI491" s="59" t="str">
        <f>IF(OR(AF491="",AH491=""),"",IF(COUNTIFS(PHUONG_XA!$A$2:$A$3323,AH491,PHUONG_XA!$C$2:$C$3323,AF491)=0,"",INDEX(PHUONG_XA!$B$2:$B$3323,SUMPRODUCT((PHUONG_XA!$A$2:$A$3323&amp;""=AH491&amp;"")*(PHUONG_XA!$C$2:$C$3323&amp;""=AF491&amp;"")*(ROW(PHUONG_XA!$A$2:$A$3323)-ROW(PHUONG_XA!$A$2)+1)))))</f>
        <v/>
      </c>
      <c r="AJ491" s="14"/>
      <c r="AK491" s="14"/>
      <c r="AL491" s="57" t="str">
        <f t="shared" si="8"/>
        <v/>
      </c>
      <c r="AM491" s="14"/>
      <c r="AN491" s="15"/>
      <c r="AO491" s="15"/>
      <c r="AP491" s="48"/>
      <c r="AQ491" s="15"/>
      <c r="AR491" s="15"/>
      <c r="AS491" s="15"/>
      <c r="AT491" s="60" t="str">
        <f>IF(ISNUMBER(MATCH(AU491,LOAI_THE!$B:$B,0)),INDEX(LOAI_THE!$A:$A,MATCH(AU491,LOAI_THE!$B:$B,0)),"")</f>
        <v/>
      </c>
      <c r="AU491" s="48"/>
      <c r="AV491" s="15"/>
      <c r="AW491" s="15"/>
      <c r="AX491" s="15"/>
      <c r="AY491" s="48"/>
    </row>
    <row r="492" spans="1:51" x14ac:dyDescent="0.3">
      <c r="A492" s="13" t="s">
        <v>4486</v>
      </c>
      <c r="B492" s="48"/>
      <c r="C492" s="48"/>
      <c r="D492" s="48"/>
      <c r="E492" s="48"/>
      <c r="F492" s="48"/>
      <c r="G492" s="58" t="str">
        <f>IF(ISNUMBER(MATCH(H492,GIOI_TINH!$B:$B,0)),INDEX(GIOI_TINH!$A:$A,MATCH(H492,GIOI_TINH!$B:$B,0)),"")</f>
        <v/>
      </c>
      <c r="H492" s="15"/>
      <c r="I492" s="15"/>
      <c r="J492" s="58" t="str">
        <f>IF(ISNUMBER(MATCH(K492,QUOC_GIA!$B:$B,0)),INDEX(QUOC_GIA!$A:$A,MATCH(K492,QUOC_GIA!$B:$B,0)),"")</f>
        <v/>
      </c>
      <c r="K492" s="50"/>
      <c r="L492" s="15"/>
      <c r="M492" s="58" t="str">
        <f>IF(ISNUMBER(MATCH(N492,LOAI_THUE!$B:$B,0)),INDEX(LOAI_THUE!$A:$A,MATCH(N492,LOAI_THUE!$B:$B,0)),"")</f>
        <v/>
      </c>
      <c r="N492" s="50"/>
      <c r="O492" s="58" t="str">
        <f>IF(ISNUMBER(MATCH(P492,CHI_TIET_LOAI_KH!$B:$B,0)),INDEX(CHI_TIET_LOAI_KH!$A:$A,MATCH(P492,CHI_TIET_LOAI_KH!$B:$B,0)),"")</f>
        <v/>
      </c>
      <c r="P492" s="50"/>
      <c r="Q492" s="58" t="str">
        <f>IF(ISNUMBER(MATCH(R492,NGHE_NGHIEP!$B:$B,0)),INDEX(NGHE_NGHIEP!$A:$A,MATCH(R492,NGHE_NGHIEP!$B:$B,0)),"")</f>
        <v/>
      </c>
      <c r="R492" s="50"/>
      <c r="S492" s="58" t="str">
        <f>IF(ISNUMBER(MATCH(T492,LOAI_ID!$B:$B,0)),INDEX(LOAI_ID!$A:$A,MATCH(T492,LOAI_ID!$B:$B,0)),"")</f>
        <v/>
      </c>
      <c r="T492" s="16"/>
      <c r="U492" s="48"/>
      <c r="V492" s="48"/>
      <c r="W492" s="17"/>
      <c r="X492" s="17"/>
      <c r="Y492" s="15"/>
      <c r="Z492" s="15"/>
      <c r="AA492" s="59" t="str">
        <f>IFERROR(INDEX(NOI_CAP!$B:$B,MATCH(Z492,NOI_CAP!$A:$A,0)),"")</f>
        <v/>
      </c>
      <c r="AB492" s="58" t="str">
        <f>IF(ISNUMBER(MATCH(AC492,LOAI_DIA_CHI!$B:$B,0)),INDEX(LOAI_DIA_CHI!$A:$A,MATCH(AC492,LOAI_DIA_CHI!$B:$B,0)),"")</f>
        <v/>
      </c>
      <c r="AC492" s="16"/>
      <c r="AD492" s="58" t="str">
        <f>IF(ISNUMBER(MATCH(AE492,QUOC_GIA!$B:$B,0)),INDEX(QUOC_GIA!$A:$A,MATCH(AE492,QUOC_GIA!$B:$B,0)),"")</f>
        <v/>
      </c>
      <c r="AE492" s="16"/>
      <c r="AF492" s="48"/>
      <c r="AG492" s="59" t="str">
        <f>IFERROR(INDEX(TINH_TP!$B:$B,MATCH(AF492,TINH_TP!$A:$A,0)),"")</f>
        <v/>
      </c>
      <c r="AH492" s="50"/>
      <c r="AI492" s="59" t="str">
        <f>IF(OR(AF492="",AH492=""),"",IF(COUNTIFS(PHUONG_XA!$A$2:$A$3323,AH492,PHUONG_XA!$C$2:$C$3323,AF492)=0,"",INDEX(PHUONG_XA!$B$2:$B$3323,SUMPRODUCT((PHUONG_XA!$A$2:$A$3323&amp;""=AH492&amp;"")*(PHUONG_XA!$C$2:$C$3323&amp;""=AF492&amp;"")*(ROW(PHUONG_XA!$A$2:$A$3323)-ROW(PHUONG_XA!$A$2)+1)))))</f>
        <v/>
      </c>
      <c r="AJ492" s="14"/>
      <c r="AK492" s="14"/>
      <c r="AL492" s="57" t="str">
        <f t="shared" si="8"/>
        <v/>
      </c>
      <c r="AM492" s="14"/>
      <c r="AN492" s="15"/>
      <c r="AO492" s="15"/>
      <c r="AP492" s="48"/>
      <c r="AQ492" s="15"/>
      <c r="AR492" s="15"/>
      <c r="AS492" s="15"/>
      <c r="AT492" s="60" t="str">
        <f>IF(ISNUMBER(MATCH(AU492,LOAI_THE!$B:$B,0)),INDEX(LOAI_THE!$A:$A,MATCH(AU492,LOAI_THE!$B:$B,0)),"")</f>
        <v/>
      </c>
      <c r="AU492" s="48"/>
      <c r="AV492" s="15"/>
      <c r="AW492" s="15"/>
      <c r="AX492" s="15"/>
      <c r="AY492" s="48"/>
    </row>
    <row r="493" spans="1:51" x14ac:dyDescent="0.3">
      <c r="A493" s="13" t="s">
        <v>4487</v>
      </c>
      <c r="B493" s="48"/>
      <c r="C493" s="48"/>
      <c r="D493" s="48"/>
      <c r="E493" s="48"/>
      <c r="F493" s="48"/>
      <c r="G493" s="58" t="str">
        <f>IF(ISNUMBER(MATCH(H493,GIOI_TINH!$B:$B,0)),INDEX(GIOI_TINH!$A:$A,MATCH(H493,GIOI_TINH!$B:$B,0)),"")</f>
        <v/>
      </c>
      <c r="H493" s="15"/>
      <c r="I493" s="15"/>
      <c r="J493" s="58" t="str">
        <f>IF(ISNUMBER(MATCH(K493,QUOC_GIA!$B:$B,0)),INDEX(QUOC_GIA!$A:$A,MATCH(K493,QUOC_GIA!$B:$B,0)),"")</f>
        <v/>
      </c>
      <c r="K493" s="50"/>
      <c r="L493" s="15"/>
      <c r="M493" s="58" t="str">
        <f>IF(ISNUMBER(MATCH(N493,LOAI_THUE!$B:$B,0)),INDEX(LOAI_THUE!$A:$A,MATCH(N493,LOAI_THUE!$B:$B,0)),"")</f>
        <v/>
      </c>
      <c r="N493" s="50"/>
      <c r="O493" s="58" t="str">
        <f>IF(ISNUMBER(MATCH(P493,CHI_TIET_LOAI_KH!$B:$B,0)),INDEX(CHI_TIET_LOAI_KH!$A:$A,MATCH(P493,CHI_TIET_LOAI_KH!$B:$B,0)),"")</f>
        <v/>
      </c>
      <c r="P493" s="50"/>
      <c r="Q493" s="58" t="str">
        <f>IF(ISNUMBER(MATCH(R493,NGHE_NGHIEP!$B:$B,0)),INDEX(NGHE_NGHIEP!$A:$A,MATCH(R493,NGHE_NGHIEP!$B:$B,0)),"")</f>
        <v/>
      </c>
      <c r="R493" s="50"/>
      <c r="S493" s="58" t="str">
        <f>IF(ISNUMBER(MATCH(T493,LOAI_ID!$B:$B,0)),INDEX(LOAI_ID!$A:$A,MATCH(T493,LOAI_ID!$B:$B,0)),"")</f>
        <v/>
      </c>
      <c r="T493" s="16"/>
      <c r="U493" s="48"/>
      <c r="V493" s="48"/>
      <c r="W493" s="17"/>
      <c r="X493" s="17"/>
      <c r="Y493" s="15"/>
      <c r="Z493" s="15"/>
      <c r="AA493" s="59" t="str">
        <f>IFERROR(INDEX(NOI_CAP!$B:$B,MATCH(Z493,NOI_CAP!$A:$A,0)),"")</f>
        <v/>
      </c>
      <c r="AB493" s="58" t="str">
        <f>IF(ISNUMBER(MATCH(AC493,LOAI_DIA_CHI!$B:$B,0)),INDEX(LOAI_DIA_CHI!$A:$A,MATCH(AC493,LOAI_DIA_CHI!$B:$B,0)),"")</f>
        <v/>
      </c>
      <c r="AC493" s="16"/>
      <c r="AD493" s="58" t="str">
        <f>IF(ISNUMBER(MATCH(AE493,QUOC_GIA!$B:$B,0)),INDEX(QUOC_GIA!$A:$A,MATCH(AE493,QUOC_GIA!$B:$B,0)),"")</f>
        <v/>
      </c>
      <c r="AE493" s="16"/>
      <c r="AF493" s="48"/>
      <c r="AG493" s="59" t="str">
        <f>IFERROR(INDEX(TINH_TP!$B:$B,MATCH(AF493,TINH_TP!$A:$A,0)),"")</f>
        <v/>
      </c>
      <c r="AH493" s="50"/>
      <c r="AI493" s="59" t="str">
        <f>IF(OR(AF493="",AH493=""),"",IF(COUNTIFS(PHUONG_XA!$A$2:$A$3323,AH493,PHUONG_XA!$C$2:$C$3323,AF493)=0,"",INDEX(PHUONG_XA!$B$2:$B$3323,SUMPRODUCT((PHUONG_XA!$A$2:$A$3323&amp;""=AH493&amp;"")*(PHUONG_XA!$C$2:$C$3323&amp;""=AF493&amp;"")*(ROW(PHUONG_XA!$A$2:$A$3323)-ROW(PHUONG_XA!$A$2)+1)))))</f>
        <v/>
      </c>
      <c r="AJ493" s="14"/>
      <c r="AK493" s="14"/>
      <c r="AL493" s="57" t="str">
        <f t="shared" si="8"/>
        <v/>
      </c>
      <c r="AM493" s="14"/>
      <c r="AN493" s="15"/>
      <c r="AO493" s="15"/>
      <c r="AP493" s="48"/>
      <c r="AQ493" s="15"/>
      <c r="AR493" s="15"/>
      <c r="AS493" s="15"/>
      <c r="AT493" s="60" t="str">
        <f>IF(ISNUMBER(MATCH(AU493,LOAI_THE!$B:$B,0)),INDEX(LOAI_THE!$A:$A,MATCH(AU493,LOAI_THE!$B:$B,0)),"")</f>
        <v/>
      </c>
      <c r="AU493" s="48"/>
      <c r="AV493" s="15"/>
      <c r="AW493" s="15"/>
      <c r="AX493" s="15"/>
      <c r="AY493" s="48"/>
    </row>
    <row r="494" spans="1:51" x14ac:dyDescent="0.3">
      <c r="A494" s="13" t="s">
        <v>821</v>
      </c>
      <c r="B494" s="48"/>
      <c r="C494" s="48"/>
      <c r="D494" s="48"/>
      <c r="E494" s="48"/>
      <c r="F494" s="48"/>
      <c r="G494" s="58" t="str">
        <f>IF(ISNUMBER(MATCH(H494,GIOI_TINH!$B:$B,0)),INDEX(GIOI_TINH!$A:$A,MATCH(H494,GIOI_TINH!$B:$B,0)),"")</f>
        <v/>
      </c>
      <c r="H494" s="15"/>
      <c r="I494" s="15"/>
      <c r="J494" s="58" t="str">
        <f>IF(ISNUMBER(MATCH(K494,QUOC_GIA!$B:$B,0)),INDEX(QUOC_GIA!$A:$A,MATCH(K494,QUOC_GIA!$B:$B,0)),"")</f>
        <v/>
      </c>
      <c r="K494" s="50"/>
      <c r="L494" s="15"/>
      <c r="M494" s="58" t="str">
        <f>IF(ISNUMBER(MATCH(N494,LOAI_THUE!$B:$B,0)),INDEX(LOAI_THUE!$A:$A,MATCH(N494,LOAI_THUE!$B:$B,0)),"")</f>
        <v/>
      </c>
      <c r="N494" s="50"/>
      <c r="O494" s="58" t="str">
        <f>IF(ISNUMBER(MATCH(P494,CHI_TIET_LOAI_KH!$B:$B,0)),INDEX(CHI_TIET_LOAI_KH!$A:$A,MATCH(P494,CHI_TIET_LOAI_KH!$B:$B,0)),"")</f>
        <v/>
      </c>
      <c r="P494" s="50"/>
      <c r="Q494" s="58" t="str">
        <f>IF(ISNUMBER(MATCH(R494,NGHE_NGHIEP!$B:$B,0)),INDEX(NGHE_NGHIEP!$A:$A,MATCH(R494,NGHE_NGHIEP!$B:$B,0)),"")</f>
        <v/>
      </c>
      <c r="R494" s="50"/>
      <c r="S494" s="58" t="str">
        <f>IF(ISNUMBER(MATCH(T494,LOAI_ID!$B:$B,0)),INDEX(LOAI_ID!$A:$A,MATCH(T494,LOAI_ID!$B:$B,0)),"")</f>
        <v/>
      </c>
      <c r="T494" s="16"/>
      <c r="U494" s="48"/>
      <c r="V494" s="48"/>
      <c r="W494" s="17"/>
      <c r="X494" s="17"/>
      <c r="Y494" s="15"/>
      <c r="Z494" s="15"/>
      <c r="AA494" s="59" t="str">
        <f>IFERROR(INDEX(NOI_CAP!$B:$B,MATCH(Z494,NOI_CAP!$A:$A,0)),"")</f>
        <v/>
      </c>
      <c r="AB494" s="58" t="str">
        <f>IF(ISNUMBER(MATCH(AC494,LOAI_DIA_CHI!$B:$B,0)),INDEX(LOAI_DIA_CHI!$A:$A,MATCH(AC494,LOAI_DIA_CHI!$B:$B,0)),"")</f>
        <v/>
      </c>
      <c r="AC494" s="16"/>
      <c r="AD494" s="58" t="str">
        <f>IF(ISNUMBER(MATCH(AE494,QUOC_GIA!$B:$B,0)),INDEX(QUOC_GIA!$A:$A,MATCH(AE494,QUOC_GIA!$B:$B,0)),"")</f>
        <v/>
      </c>
      <c r="AE494" s="16"/>
      <c r="AF494" s="48"/>
      <c r="AG494" s="59" t="str">
        <f>IFERROR(INDEX(TINH_TP!$B:$B,MATCH(AF494,TINH_TP!$A:$A,0)),"")</f>
        <v/>
      </c>
      <c r="AH494" s="50"/>
      <c r="AI494" s="59" t="str">
        <f>IF(OR(AF494="",AH494=""),"",IF(COUNTIFS(PHUONG_XA!$A$2:$A$3323,AH494,PHUONG_XA!$C$2:$C$3323,AF494)=0,"",INDEX(PHUONG_XA!$B$2:$B$3323,SUMPRODUCT((PHUONG_XA!$A$2:$A$3323&amp;""=AH494&amp;"")*(PHUONG_XA!$C$2:$C$3323&amp;""=AF494&amp;"")*(ROW(PHUONG_XA!$A$2:$A$3323)-ROW(PHUONG_XA!$A$2)+1)))))</f>
        <v/>
      </c>
      <c r="AJ494" s="14"/>
      <c r="AK494" s="14"/>
      <c r="AL494" s="57" t="str">
        <f t="shared" si="8"/>
        <v/>
      </c>
      <c r="AM494" s="14"/>
      <c r="AN494" s="15"/>
      <c r="AO494" s="15"/>
      <c r="AP494" s="48"/>
      <c r="AQ494" s="15"/>
      <c r="AR494" s="15"/>
      <c r="AS494" s="15"/>
      <c r="AT494" s="60" t="str">
        <f>IF(ISNUMBER(MATCH(AU494,LOAI_THE!$B:$B,0)),INDEX(LOAI_THE!$A:$A,MATCH(AU494,LOAI_THE!$B:$B,0)),"")</f>
        <v/>
      </c>
      <c r="AU494" s="48"/>
      <c r="AV494" s="15"/>
      <c r="AW494" s="15"/>
      <c r="AX494" s="15"/>
      <c r="AY494" s="48"/>
    </row>
    <row r="495" spans="1:51" x14ac:dyDescent="0.3">
      <c r="A495" s="13" t="s">
        <v>4488</v>
      </c>
      <c r="B495" s="48"/>
      <c r="C495" s="48"/>
      <c r="D495" s="48"/>
      <c r="E495" s="48"/>
      <c r="F495" s="48"/>
      <c r="G495" s="58" t="str">
        <f>IF(ISNUMBER(MATCH(H495,GIOI_TINH!$B:$B,0)),INDEX(GIOI_TINH!$A:$A,MATCH(H495,GIOI_TINH!$B:$B,0)),"")</f>
        <v/>
      </c>
      <c r="H495" s="15"/>
      <c r="I495" s="15"/>
      <c r="J495" s="58" t="str">
        <f>IF(ISNUMBER(MATCH(K495,QUOC_GIA!$B:$B,0)),INDEX(QUOC_GIA!$A:$A,MATCH(K495,QUOC_GIA!$B:$B,0)),"")</f>
        <v/>
      </c>
      <c r="K495" s="50"/>
      <c r="L495" s="15"/>
      <c r="M495" s="58" t="str">
        <f>IF(ISNUMBER(MATCH(N495,LOAI_THUE!$B:$B,0)),INDEX(LOAI_THUE!$A:$A,MATCH(N495,LOAI_THUE!$B:$B,0)),"")</f>
        <v/>
      </c>
      <c r="N495" s="50"/>
      <c r="O495" s="58" t="str">
        <f>IF(ISNUMBER(MATCH(P495,CHI_TIET_LOAI_KH!$B:$B,0)),INDEX(CHI_TIET_LOAI_KH!$A:$A,MATCH(P495,CHI_TIET_LOAI_KH!$B:$B,0)),"")</f>
        <v/>
      </c>
      <c r="P495" s="50"/>
      <c r="Q495" s="58" t="str">
        <f>IF(ISNUMBER(MATCH(R495,NGHE_NGHIEP!$B:$B,0)),INDEX(NGHE_NGHIEP!$A:$A,MATCH(R495,NGHE_NGHIEP!$B:$B,0)),"")</f>
        <v/>
      </c>
      <c r="R495" s="50"/>
      <c r="S495" s="58" t="str">
        <f>IF(ISNUMBER(MATCH(T495,LOAI_ID!$B:$B,0)),INDEX(LOAI_ID!$A:$A,MATCH(T495,LOAI_ID!$B:$B,0)),"")</f>
        <v/>
      </c>
      <c r="T495" s="16"/>
      <c r="U495" s="48"/>
      <c r="V495" s="48"/>
      <c r="W495" s="17"/>
      <c r="X495" s="17"/>
      <c r="Y495" s="15"/>
      <c r="Z495" s="15"/>
      <c r="AA495" s="59" t="str">
        <f>IFERROR(INDEX(NOI_CAP!$B:$B,MATCH(Z495,NOI_CAP!$A:$A,0)),"")</f>
        <v/>
      </c>
      <c r="AB495" s="58" t="str">
        <f>IF(ISNUMBER(MATCH(AC495,LOAI_DIA_CHI!$B:$B,0)),INDEX(LOAI_DIA_CHI!$A:$A,MATCH(AC495,LOAI_DIA_CHI!$B:$B,0)),"")</f>
        <v/>
      </c>
      <c r="AC495" s="16"/>
      <c r="AD495" s="58" t="str">
        <f>IF(ISNUMBER(MATCH(AE495,QUOC_GIA!$B:$B,0)),INDEX(QUOC_GIA!$A:$A,MATCH(AE495,QUOC_GIA!$B:$B,0)),"")</f>
        <v/>
      </c>
      <c r="AE495" s="16"/>
      <c r="AF495" s="48"/>
      <c r="AG495" s="59" t="str">
        <f>IFERROR(INDEX(TINH_TP!$B:$B,MATCH(AF495,TINH_TP!$A:$A,0)),"")</f>
        <v/>
      </c>
      <c r="AH495" s="50"/>
      <c r="AI495" s="59" t="str">
        <f>IF(OR(AF495="",AH495=""),"",IF(COUNTIFS(PHUONG_XA!$A$2:$A$3323,AH495,PHUONG_XA!$C$2:$C$3323,AF495)=0,"",INDEX(PHUONG_XA!$B$2:$B$3323,SUMPRODUCT((PHUONG_XA!$A$2:$A$3323&amp;""=AH495&amp;"")*(PHUONG_XA!$C$2:$C$3323&amp;""=AF495&amp;"")*(ROW(PHUONG_XA!$A$2:$A$3323)-ROW(PHUONG_XA!$A$2)+1)))))</f>
        <v/>
      </c>
      <c r="AJ495" s="14"/>
      <c r="AK495" s="14"/>
      <c r="AL495" s="57" t="str">
        <f t="shared" si="8"/>
        <v/>
      </c>
      <c r="AM495" s="14"/>
      <c r="AN495" s="15"/>
      <c r="AO495" s="15"/>
      <c r="AP495" s="48"/>
      <c r="AQ495" s="15"/>
      <c r="AR495" s="15"/>
      <c r="AS495" s="15"/>
      <c r="AT495" s="60" t="str">
        <f>IF(ISNUMBER(MATCH(AU495,LOAI_THE!$B:$B,0)),INDEX(LOAI_THE!$A:$A,MATCH(AU495,LOAI_THE!$B:$B,0)),"")</f>
        <v/>
      </c>
      <c r="AU495" s="48"/>
      <c r="AV495" s="15"/>
      <c r="AW495" s="15"/>
      <c r="AX495" s="15"/>
      <c r="AY495" s="48"/>
    </row>
    <row r="496" spans="1:51" x14ac:dyDescent="0.3">
      <c r="A496" s="13" t="s">
        <v>4489</v>
      </c>
      <c r="B496" s="48"/>
      <c r="C496" s="48"/>
      <c r="D496" s="48"/>
      <c r="E496" s="48"/>
      <c r="F496" s="48"/>
      <c r="G496" s="58" t="str">
        <f>IF(ISNUMBER(MATCH(H496,GIOI_TINH!$B:$B,0)),INDEX(GIOI_TINH!$A:$A,MATCH(H496,GIOI_TINH!$B:$B,0)),"")</f>
        <v/>
      </c>
      <c r="H496" s="15"/>
      <c r="I496" s="15"/>
      <c r="J496" s="58" t="str">
        <f>IF(ISNUMBER(MATCH(K496,QUOC_GIA!$B:$B,0)),INDEX(QUOC_GIA!$A:$A,MATCH(K496,QUOC_GIA!$B:$B,0)),"")</f>
        <v/>
      </c>
      <c r="K496" s="50"/>
      <c r="L496" s="15"/>
      <c r="M496" s="58" t="str">
        <f>IF(ISNUMBER(MATCH(N496,LOAI_THUE!$B:$B,0)),INDEX(LOAI_THUE!$A:$A,MATCH(N496,LOAI_THUE!$B:$B,0)),"")</f>
        <v/>
      </c>
      <c r="N496" s="50"/>
      <c r="O496" s="58" t="str">
        <f>IF(ISNUMBER(MATCH(P496,CHI_TIET_LOAI_KH!$B:$B,0)),INDEX(CHI_TIET_LOAI_KH!$A:$A,MATCH(P496,CHI_TIET_LOAI_KH!$B:$B,0)),"")</f>
        <v/>
      </c>
      <c r="P496" s="50"/>
      <c r="Q496" s="58" t="str">
        <f>IF(ISNUMBER(MATCH(R496,NGHE_NGHIEP!$B:$B,0)),INDEX(NGHE_NGHIEP!$A:$A,MATCH(R496,NGHE_NGHIEP!$B:$B,0)),"")</f>
        <v/>
      </c>
      <c r="R496" s="50"/>
      <c r="S496" s="58" t="str">
        <f>IF(ISNUMBER(MATCH(T496,LOAI_ID!$B:$B,0)),INDEX(LOAI_ID!$A:$A,MATCH(T496,LOAI_ID!$B:$B,0)),"")</f>
        <v/>
      </c>
      <c r="T496" s="16"/>
      <c r="U496" s="48"/>
      <c r="V496" s="48"/>
      <c r="W496" s="17"/>
      <c r="X496" s="17"/>
      <c r="Y496" s="15"/>
      <c r="Z496" s="15"/>
      <c r="AA496" s="59" t="str">
        <f>IFERROR(INDEX(NOI_CAP!$B:$B,MATCH(Z496,NOI_CAP!$A:$A,0)),"")</f>
        <v/>
      </c>
      <c r="AB496" s="58" t="str">
        <f>IF(ISNUMBER(MATCH(AC496,LOAI_DIA_CHI!$B:$B,0)),INDEX(LOAI_DIA_CHI!$A:$A,MATCH(AC496,LOAI_DIA_CHI!$B:$B,0)),"")</f>
        <v/>
      </c>
      <c r="AC496" s="16"/>
      <c r="AD496" s="58" t="str">
        <f>IF(ISNUMBER(MATCH(AE496,QUOC_GIA!$B:$B,0)),INDEX(QUOC_GIA!$A:$A,MATCH(AE496,QUOC_GIA!$B:$B,0)),"")</f>
        <v/>
      </c>
      <c r="AE496" s="16"/>
      <c r="AF496" s="48"/>
      <c r="AG496" s="59" t="str">
        <f>IFERROR(INDEX(TINH_TP!$B:$B,MATCH(AF496,TINH_TP!$A:$A,0)),"")</f>
        <v/>
      </c>
      <c r="AH496" s="50"/>
      <c r="AI496" s="59" t="str">
        <f>IF(OR(AF496="",AH496=""),"",IF(COUNTIFS(PHUONG_XA!$A$2:$A$3323,AH496,PHUONG_XA!$C$2:$C$3323,AF496)=0,"",INDEX(PHUONG_XA!$B$2:$B$3323,SUMPRODUCT((PHUONG_XA!$A$2:$A$3323&amp;""=AH496&amp;"")*(PHUONG_XA!$C$2:$C$3323&amp;""=AF496&amp;"")*(ROW(PHUONG_XA!$A$2:$A$3323)-ROW(PHUONG_XA!$A$2)+1)))))</f>
        <v/>
      </c>
      <c r="AJ496" s="14"/>
      <c r="AK496" s="14"/>
      <c r="AL496" s="57" t="str">
        <f t="shared" si="8"/>
        <v/>
      </c>
      <c r="AM496" s="14"/>
      <c r="AN496" s="15"/>
      <c r="AO496" s="15"/>
      <c r="AP496" s="48"/>
      <c r="AQ496" s="15"/>
      <c r="AR496" s="15"/>
      <c r="AS496" s="15"/>
      <c r="AT496" s="60" t="str">
        <f>IF(ISNUMBER(MATCH(AU496,LOAI_THE!$B:$B,0)),INDEX(LOAI_THE!$A:$A,MATCH(AU496,LOAI_THE!$B:$B,0)),"")</f>
        <v/>
      </c>
      <c r="AU496" s="48"/>
      <c r="AV496" s="15"/>
      <c r="AW496" s="15"/>
      <c r="AX496" s="15"/>
      <c r="AY496" s="48"/>
    </row>
    <row r="497" spans="1:83" x14ac:dyDescent="0.3">
      <c r="A497" s="13" t="s">
        <v>4490</v>
      </c>
      <c r="B497" s="48"/>
      <c r="C497" s="48"/>
      <c r="D497" s="48"/>
      <c r="E497" s="48"/>
      <c r="F497" s="48"/>
      <c r="G497" s="58" t="str">
        <f>IF(ISNUMBER(MATCH(H497,GIOI_TINH!$B:$B,0)),INDEX(GIOI_TINH!$A:$A,MATCH(H497,GIOI_TINH!$B:$B,0)),"")</f>
        <v/>
      </c>
      <c r="H497" s="15"/>
      <c r="I497" s="15"/>
      <c r="J497" s="58" t="str">
        <f>IF(ISNUMBER(MATCH(K497,QUOC_GIA!$B:$B,0)),INDEX(QUOC_GIA!$A:$A,MATCH(K497,QUOC_GIA!$B:$B,0)),"")</f>
        <v/>
      </c>
      <c r="K497" s="50"/>
      <c r="L497" s="15"/>
      <c r="M497" s="58" t="str">
        <f>IF(ISNUMBER(MATCH(N497,LOAI_THUE!$B:$B,0)),INDEX(LOAI_THUE!$A:$A,MATCH(N497,LOAI_THUE!$B:$B,0)),"")</f>
        <v/>
      </c>
      <c r="N497" s="50"/>
      <c r="O497" s="58" t="str">
        <f>IF(ISNUMBER(MATCH(P497,CHI_TIET_LOAI_KH!$B:$B,0)),INDEX(CHI_TIET_LOAI_KH!$A:$A,MATCH(P497,CHI_TIET_LOAI_KH!$B:$B,0)),"")</f>
        <v/>
      </c>
      <c r="P497" s="50"/>
      <c r="Q497" s="58" t="str">
        <f>IF(ISNUMBER(MATCH(R497,NGHE_NGHIEP!$B:$B,0)),INDEX(NGHE_NGHIEP!$A:$A,MATCH(R497,NGHE_NGHIEP!$B:$B,0)),"")</f>
        <v/>
      </c>
      <c r="R497" s="50"/>
      <c r="S497" s="58" t="str">
        <f>IF(ISNUMBER(MATCH(T497,LOAI_ID!$B:$B,0)),INDEX(LOAI_ID!$A:$A,MATCH(T497,LOAI_ID!$B:$B,0)),"")</f>
        <v/>
      </c>
      <c r="T497" s="16"/>
      <c r="U497" s="48"/>
      <c r="V497" s="48"/>
      <c r="W497" s="17"/>
      <c r="X497" s="17"/>
      <c r="Y497" s="15"/>
      <c r="Z497" s="15"/>
      <c r="AA497" s="59" t="str">
        <f>IFERROR(INDEX(NOI_CAP!$B:$B,MATCH(Z497,NOI_CAP!$A:$A,0)),"")</f>
        <v/>
      </c>
      <c r="AB497" s="58" t="str">
        <f>IF(ISNUMBER(MATCH(AC497,LOAI_DIA_CHI!$B:$B,0)),INDEX(LOAI_DIA_CHI!$A:$A,MATCH(AC497,LOAI_DIA_CHI!$B:$B,0)),"")</f>
        <v/>
      </c>
      <c r="AC497" s="16"/>
      <c r="AD497" s="58" t="str">
        <f>IF(ISNUMBER(MATCH(AE497,QUOC_GIA!$B:$B,0)),INDEX(QUOC_GIA!$A:$A,MATCH(AE497,QUOC_GIA!$B:$B,0)),"")</f>
        <v/>
      </c>
      <c r="AE497" s="16"/>
      <c r="AF497" s="48"/>
      <c r="AG497" s="59" t="str">
        <f>IFERROR(INDEX(TINH_TP!$B:$B,MATCH(AF497,TINH_TP!$A:$A,0)),"")</f>
        <v/>
      </c>
      <c r="AH497" s="50"/>
      <c r="AI497" s="59" t="str">
        <f>IF(OR(AF497="",AH497=""),"",IF(COUNTIFS(PHUONG_XA!$A$2:$A$3323,AH497,PHUONG_XA!$C$2:$C$3323,AF497)=0,"",INDEX(PHUONG_XA!$B$2:$B$3323,SUMPRODUCT((PHUONG_XA!$A$2:$A$3323&amp;""=AH497&amp;"")*(PHUONG_XA!$C$2:$C$3323&amp;""=AF497&amp;"")*(ROW(PHUONG_XA!$A$2:$A$3323)-ROW(PHUONG_XA!$A$2)+1)))))</f>
        <v/>
      </c>
      <c r="AJ497" s="14"/>
      <c r="AK497" s="14"/>
      <c r="AL497" s="57" t="str">
        <f t="shared" si="8"/>
        <v/>
      </c>
      <c r="AM497" s="14"/>
      <c r="AN497" s="15"/>
      <c r="AO497" s="15"/>
      <c r="AP497" s="48"/>
      <c r="AQ497" s="15"/>
      <c r="AR497" s="15"/>
      <c r="AS497" s="15"/>
      <c r="AT497" s="60" t="str">
        <f>IF(ISNUMBER(MATCH(AU497,LOAI_THE!$B:$B,0)),INDEX(LOAI_THE!$A:$A,MATCH(AU497,LOAI_THE!$B:$B,0)),"")</f>
        <v/>
      </c>
      <c r="AU497" s="48"/>
      <c r="AV497" s="15"/>
      <c r="AW497" s="15"/>
      <c r="AX497" s="15"/>
      <c r="AY497" s="48"/>
    </row>
    <row r="498" spans="1:83" x14ac:dyDescent="0.3">
      <c r="A498" s="13" t="s">
        <v>4491</v>
      </c>
      <c r="B498" s="48"/>
      <c r="C498" s="48"/>
      <c r="D498" s="48"/>
      <c r="E498" s="48"/>
      <c r="F498" s="48"/>
      <c r="G498" s="58" t="str">
        <f>IF(ISNUMBER(MATCH(H498,GIOI_TINH!$B:$B,0)),INDEX(GIOI_TINH!$A:$A,MATCH(H498,GIOI_TINH!$B:$B,0)),"")</f>
        <v/>
      </c>
      <c r="H498" s="15"/>
      <c r="I498" s="15"/>
      <c r="J498" s="58" t="str">
        <f>IF(ISNUMBER(MATCH(K498,QUOC_GIA!$B:$B,0)),INDEX(QUOC_GIA!$A:$A,MATCH(K498,QUOC_GIA!$B:$B,0)),"")</f>
        <v/>
      </c>
      <c r="K498" s="50"/>
      <c r="L498" s="15"/>
      <c r="M498" s="58" t="str">
        <f>IF(ISNUMBER(MATCH(N498,LOAI_THUE!$B:$B,0)),INDEX(LOAI_THUE!$A:$A,MATCH(N498,LOAI_THUE!$B:$B,0)),"")</f>
        <v/>
      </c>
      <c r="N498" s="50"/>
      <c r="O498" s="58" t="str">
        <f>IF(ISNUMBER(MATCH(P498,CHI_TIET_LOAI_KH!$B:$B,0)),INDEX(CHI_TIET_LOAI_KH!$A:$A,MATCH(P498,CHI_TIET_LOAI_KH!$B:$B,0)),"")</f>
        <v/>
      </c>
      <c r="P498" s="50"/>
      <c r="Q498" s="58" t="str">
        <f>IF(ISNUMBER(MATCH(R498,NGHE_NGHIEP!$B:$B,0)),INDEX(NGHE_NGHIEP!$A:$A,MATCH(R498,NGHE_NGHIEP!$B:$B,0)),"")</f>
        <v/>
      </c>
      <c r="R498" s="50"/>
      <c r="S498" s="58" t="str">
        <f>IF(ISNUMBER(MATCH(T498,LOAI_ID!$B:$B,0)),INDEX(LOAI_ID!$A:$A,MATCH(T498,LOAI_ID!$B:$B,0)),"")</f>
        <v/>
      </c>
      <c r="T498" s="16"/>
      <c r="U498" s="48"/>
      <c r="V498" s="48"/>
      <c r="W498" s="17"/>
      <c r="X498" s="17"/>
      <c r="Y498" s="15"/>
      <c r="Z498" s="15"/>
      <c r="AA498" s="59" t="str">
        <f>IFERROR(INDEX(NOI_CAP!$B:$B,MATCH(Z498,NOI_CAP!$A:$A,0)),"")</f>
        <v/>
      </c>
      <c r="AB498" s="58" t="str">
        <f>IF(ISNUMBER(MATCH(AC498,LOAI_DIA_CHI!$B:$B,0)),INDEX(LOAI_DIA_CHI!$A:$A,MATCH(AC498,LOAI_DIA_CHI!$B:$B,0)),"")</f>
        <v/>
      </c>
      <c r="AC498" s="16"/>
      <c r="AD498" s="58" t="str">
        <f>IF(ISNUMBER(MATCH(AE498,QUOC_GIA!$B:$B,0)),INDEX(QUOC_GIA!$A:$A,MATCH(AE498,QUOC_GIA!$B:$B,0)),"")</f>
        <v/>
      </c>
      <c r="AE498" s="16"/>
      <c r="AF498" s="48"/>
      <c r="AG498" s="59" t="str">
        <f>IFERROR(INDEX(TINH_TP!$B:$B,MATCH(AF498,TINH_TP!$A:$A,0)),"")</f>
        <v/>
      </c>
      <c r="AH498" s="50"/>
      <c r="AI498" s="59" t="str">
        <f>IF(OR(AF498="",AH498=""),"",IF(COUNTIFS(PHUONG_XA!$A$2:$A$3323,AH498,PHUONG_XA!$C$2:$C$3323,AF498)=0,"",INDEX(PHUONG_XA!$B$2:$B$3323,SUMPRODUCT((PHUONG_XA!$A$2:$A$3323&amp;""=AH498&amp;"")*(PHUONG_XA!$C$2:$C$3323&amp;""=AF498&amp;"")*(ROW(PHUONG_XA!$A$2:$A$3323)-ROW(PHUONG_XA!$A$2)+1)))))</f>
        <v/>
      </c>
      <c r="AJ498" s="14"/>
      <c r="AK498" s="14"/>
      <c r="AL498" s="57" t="str">
        <f t="shared" si="8"/>
        <v/>
      </c>
      <c r="AM498" s="14"/>
      <c r="AN498" s="15"/>
      <c r="AO498" s="15"/>
      <c r="AP498" s="48"/>
      <c r="AQ498" s="15"/>
      <c r="AR498" s="15"/>
      <c r="AS498" s="15"/>
      <c r="AT498" s="60" t="str">
        <f>IF(ISNUMBER(MATCH(AU498,LOAI_THE!$B:$B,0)),INDEX(LOAI_THE!$A:$A,MATCH(AU498,LOAI_THE!$B:$B,0)),"")</f>
        <v/>
      </c>
      <c r="AU498" s="48"/>
      <c r="AV498" s="15"/>
      <c r="AW498" s="15"/>
      <c r="AX498" s="15"/>
      <c r="AY498" s="48"/>
    </row>
    <row r="499" spans="1:83" x14ac:dyDescent="0.3">
      <c r="A499" s="13" t="s">
        <v>4492</v>
      </c>
      <c r="B499" s="48"/>
      <c r="C499" s="48"/>
      <c r="D499" s="48"/>
      <c r="E499" s="48"/>
      <c r="F499" s="48"/>
      <c r="G499" s="58" t="str">
        <f>IF(ISNUMBER(MATCH(H499,GIOI_TINH!$B:$B,0)),INDEX(GIOI_TINH!$A:$A,MATCH(H499,GIOI_TINH!$B:$B,0)),"")</f>
        <v/>
      </c>
      <c r="H499" s="15"/>
      <c r="I499" s="15"/>
      <c r="J499" s="58" t="str">
        <f>IF(ISNUMBER(MATCH(K499,QUOC_GIA!$B:$B,0)),INDEX(QUOC_GIA!$A:$A,MATCH(K499,QUOC_GIA!$B:$B,0)),"")</f>
        <v/>
      </c>
      <c r="K499" s="50"/>
      <c r="L499" s="15"/>
      <c r="M499" s="58" t="str">
        <f>IF(ISNUMBER(MATCH(N499,LOAI_THUE!$B:$B,0)),INDEX(LOAI_THUE!$A:$A,MATCH(N499,LOAI_THUE!$B:$B,0)),"")</f>
        <v/>
      </c>
      <c r="N499" s="50"/>
      <c r="O499" s="58" t="str">
        <f>IF(ISNUMBER(MATCH(P499,CHI_TIET_LOAI_KH!$B:$B,0)),INDEX(CHI_TIET_LOAI_KH!$A:$A,MATCH(P499,CHI_TIET_LOAI_KH!$B:$B,0)),"")</f>
        <v/>
      </c>
      <c r="P499" s="50"/>
      <c r="Q499" s="58" t="str">
        <f>IF(ISNUMBER(MATCH(R499,NGHE_NGHIEP!$B:$B,0)),INDEX(NGHE_NGHIEP!$A:$A,MATCH(R499,NGHE_NGHIEP!$B:$B,0)),"")</f>
        <v/>
      </c>
      <c r="R499" s="50"/>
      <c r="S499" s="58" t="str">
        <f>IF(ISNUMBER(MATCH(T499,LOAI_ID!$B:$B,0)),INDEX(LOAI_ID!$A:$A,MATCH(T499,LOAI_ID!$B:$B,0)),"")</f>
        <v/>
      </c>
      <c r="T499" s="16"/>
      <c r="U499" s="48"/>
      <c r="V499" s="48"/>
      <c r="W499" s="17"/>
      <c r="X499" s="17"/>
      <c r="Y499" s="15"/>
      <c r="Z499" s="15"/>
      <c r="AA499" s="59" t="str">
        <f>IFERROR(INDEX(NOI_CAP!$B:$B,MATCH(Z499,NOI_CAP!$A:$A,0)),"")</f>
        <v/>
      </c>
      <c r="AB499" s="58" t="str">
        <f>IF(ISNUMBER(MATCH(AC499,LOAI_DIA_CHI!$B:$B,0)),INDEX(LOAI_DIA_CHI!$A:$A,MATCH(AC499,LOAI_DIA_CHI!$B:$B,0)),"")</f>
        <v/>
      </c>
      <c r="AC499" s="16"/>
      <c r="AD499" s="58" t="str">
        <f>IF(ISNUMBER(MATCH(AE499,QUOC_GIA!$B:$B,0)),INDEX(QUOC_GIA!$A:$A,MATCH(AE499,QUOC_GIA!$B:$B,0)),"")</f>
        <v/>
      </c>
      <c r="AE499" s="16"/>
      <c r="AF499" s="48"/>
      <c r="AG499" s="59" t="str">
        <f>IFERROR(INDEX(TINH_TP!$B:$B,MATCH(AF499,TINH_TP!$A:$A,0)),"")</f>
        <v/>
      </c>
      <c r="AH499" s="50"/>
      <c r="AI499" s="59" t="str">
        <f>IF(OR(AF499="",AH499=""),"",IF(COUNTIFS(PHUONG_XA!$A$2:$A$3323,AH499,PHUONG_XA!$C$2:$C$3323,AF499)=0,"",INDEX(PHUONG_XA!$B$2:$B$3323,SUMPRODUCT((PHUONG_XA!$A$2:$A$3323&amp;""=AH499&amp;"")*(PHUONG_XA!$C$2:$C$3323&amp;""=AF499&amp;"")*(ROW(PHUONG_XA!$A$2:$A$3323)-ROW(PHUONG_XA!$A$2)+1)))))</f>
        <v/>
      </c>
      <c r="AJ499" s="14"/>
      <c r="AK499" s="14"/>
      <c r="AL499" s="57" t="str">
        <f t="shared" si="8"/>
        <v/>
      </c>
      <c r="AM499" s="14"/>
      <c r="AN499" s="15"/>
      <c r="AO499" s="15"/>
      <c r="AP499" s="48"/>
      <c r="AQ499" s="15"/>
      <c r="AR499" s="15"/>
      <c r="AS499" s="15"/>
      <c r="AT499" s="60" t="str">
        <f>IF(ISNUMBER(MATCH(AU499,LOAI_THE!$B:$B,0)),INDEX(LOAI_THE!$A:$A,MATCH(AU499,LOAI_THE!$B:$B,0)),"")</f>
        <v/>
      </c>
      <c r="AU499" s="48"/>
      <c r="AV499" s="15"/>
      <c r="AW499" s="15"/>
      <c r="AX499" s="15"/>
      <c r="AY499" s="48"/>
    </row>
    <row r="500" spans="1:83" x14ac:dyDescent="0.3">
      <c r="A500" s="13" t="s">
        <v>4493</v>
      </c>
      <c r="B500" s="48"/>
      <c r="C500" s="48"/>
      <c r="D500" s="48"/>
      <c r="E500" s="48"/>
      <c r="F500" s="48"/>
      <c r="G500" s="58" t="str">
        <f>IF(ISNUMBER(MATCH(H500,GIOI_TINH!$B:$B,0)),INDEX(GIOI_TINH!$A:$A,MATCH(H500,GIOI_TINH!$B:$B,0)),"")</f>
        <v/>
      </c>
      <c r="H500" s="15"/>
      <c r="I500" s="15"/>
      <c r="J500" s="58" t="str">
        <f>IF(ISNUMBER(MATCH(K500,QUOC_GIA!$B:$B,0)),INDEX(QUOC_GIA!$A:$A,MATCH(K500,QUOC_GIA!$B:$B,0)),"")</f>
        <v/>
      </c>
      <c r="K500" s="50"/>
      <c r="L500" s="15"/>
      <c r="M500" s="58" t="str">
        <f>IF(ISNUMBER(MATCH(N500,LOAI_THUE!$B:$B,0)),INDEX(LOAI_THUE!$A:$A,MATCH(N500,LOAI_THUE!$B:$B,0)),"")</f>
        <v/>
      </c>
      <c r="N500" s="50"/>
      <c r="O500" s="58" t="str">
        <f>IF(ISNUMBER(MATCH(P500,CHI_TIET_LOAI_KH!$B:$B,0)),INDEX(CHI_TIET_LOAI_KH!$A:$A,MATCH(P500,CHI_TIET_LOAI_KH!$B:$B,0)),"")</f>
        <v/>
      </c>
      <c r="P500" s="50"/>
      <c r="Q500" s="58" t="str">
        <f>IF(ISNUMBER(MATCH(R500,NGHE_NGHIEP!$B:$B,0)),INDEX(NGHE_NGHIEP!$A:$A,MATCH(R500,NGHE_NGHIEP!$B:$B,0)),"")</f>
        <v/>
      </c>
      <c r="R500" s="50"/>
      <c r="S500" s="58" t="str">
        <f>IF(ISNUMBER(MATCH(T500,LOAI_ID!$B:$B,0)),INDEX(LOAI_ID!$A:$A,MATCH(T500,LOAI_ID!$B:$B,0)),"")</f>
        <v/>
      </c>
      <c r="T500" s="16"/>
      <c r="U500" s="48"/>
      <c r="V500" s="48"/>
      <c r="W500" s="17"/>
      <c r="X500" s="17"/>
      <c r="Y500" s="15"/>
      <c r="Z500" s="15"/>
      <c r="AA500" s="59" t="str">
        <f>IFERROR(INDEX(NOI_CAP!$B:$B,MATCH(Z500,NOI_CAP!$A:$A,0)),"")</f>
        <v/>
      </c>
      <c r="AB500" s="58" t="str">
        <f>IF(ISNUMBER(MATCH(AC500,LOAI_DIA_CHI!$B:$B,0)),INDEX(LOAI_DIA_CHI!$A:$A,MATCH(AC500,LOAI_DIA_CHI!$B:$B,0)),"")</f>
        <v/>
      </c>
      <c r="AC500" s="16"/>
      <c r="AD500" s="58" t="str">
        <f>IF(ISNUMBER(MATCH(AE500,QUOC_GIA!$B:$B,0)),INDEX(QUOC_GIA!$A:$A,MATCH(AE500,QUOC_GIA!$B:$B,0)),"")</f>
        <v/>
      </c>
      <c r="AE500" s="16"/>
      <c r="AF500" s="48"/>
      <c r="AG500" s="59" t="str">
        <f>IFERROR(INDEX(TINH_TP!$B:$B,MATCH(AF500,TINH_TP!$A:$A,0)),"")</f>
        <v/>
      </c>
      <c r="AH500" s="50"/>
      <c r="AI500" s="59" t="str">
        <f>IF(OR(AF500="",AH500=""),"",IF(COUNTIFS(PHUONG_XA!$A$2:$A$3323,AH500,PHUONG_XA!$C$2:$C$3323,AF500)=0,"",INDEX(PHUONG_XA!$B$2:$B$3323,SUMPRODUCT((PHUONG_XA!$A$2:$A$3323&amp;""=AH500&amp;"")*(PHUONG_XA!$C$2:$C$3323&amp;""=AF500&amp;"")*(ROW(PHUONG_XA!$A$2:$A$3323)-ROW(PHUONG_XA!$A$2)+1)))))</f>
        <v/>
      </c>
      <c r="AJ500" s="14"/>
      <c r="AK500" s="14"/>
      <c r="AL500" s="57" t="str">
        <f t="shared" si="8"/>
        <v/>
      </c>
      <c r="AM500" s="14"/>
      <c r="AN500" s="15"/>
      <c r="AO500" s="15"/>
      <c r="AP500" s="48"/>
      <c r="AQ500" s="15"/>
      <c r="AR500" s="15"/>
      <c r="AS500" s="15"/>
      <c r="AT500" s="60" t="str">
        <f>IF(ISNUMBER(MATCH(AU500,LOAI_THE!$B:$B,0)),INDEX(LOAI_THE!$A:$A,MATCH(AU500,LOAI_THE!$B:$B,0)),"")</f>
        <v/>
      </c>
      <c r="AU500" s="48"/>
      <c r="AV500" s="15"/>
      <c r="AW500" s="15"/>
      <c r="AX500" s="15"/>
      <c r="AY500" s="48"/>
    </row>
    <row r="501" spans="1:83" x14ac:dyDescent="0.3">
      <c r="A501" s="13" t="s">
        <v>4494</v>
      </c>
      <c r="B501" s="48"/>
      <c r="C501" s="48"/>
      <c r="D501" s="48"/>
      <c r="E501" s="48"/>
      <c r="F501" s="48"/>
      <c r="G501" s="58" t="str">
        <f>IF(ISNUMBER(MATCH(H501,GIOI_TINH!$B:$B,0)),INDEX(GIOI_TINH!$A:$A,MATCH(H501,GIOI_TINH!$B:$B,0)),"")</f>
        <v/>
      </c>
      <c r="H501" s="15"/>
      <c r="I501" s="15"/>
      <c r="J501" s="58" t="str">
        <f>IF(ISNUMBER(MATCH(K501,QUOC_GIA!$B:$B,0)),INDEX(QUOC_GIA!$A:$A,MATCH(K501,QUOC_GIA!$B:$B,0)),"")</f>
        <v/>
      </c>
      <c r="K501" s="50"/>
      <c r="L501" s="15"/>
      <c r="M501" s="58" t="str">
        <f>IF(ISNUMBER(MATCH(N501,LOAI_THUE!$B:$B,0)),INDEX(LOAI_THUE!$A:$A,MATCH(N501,LOAI_THUE!$B:$B,0)),"")</f>
        <v/>
      </c>
      <c r="N501" s="50"/>
      <c r="O501" s="58" t="str">
        <f>IF(ISNUMBER(MATCH(P501,CHI_TIET_LOAI_KH!$B:$B,0)),INDEX(CHI_TIET_LOAI_KH!$A:$A,MATCH(P501,CHI_TIET_LOAI_KH!$B:$B,0)),"")</f>
        <v/>
      </c>
      <c r="P501" s="50"/>
      <c r="Q501" s="58" t="str">
        <f>IF(ISNUMBER(MATCH(R501,NGHE_NGHIEP!$B:$B,0)),INDEX(NGHE_NGHIEP!$A:$A,MATCH(R501,NGHE_NGHIEP!$B:$B,0)),"")</f>
        <v/>
      </c>
      <c r="R501" s="50"/>
      <c r="S501" s="58" t="str">
        <f>IF(ISNUMBER(MATCH(T501,LOAI_ID!$B:$B,0)),INDEX(LOAI_ID!$A:$A,MATCH(T501,LOAI_ID!$B:$B,0)),"")</f>
        <v/>
      </c>
      <c r="T501" s="16"/>
      <c r="U501" s="48"/>
      <c r="V501" s="48"/>
      <c r="W501" s="17"/>
      <c r="X501" s="17"/>
      <c r="Y501" s="15"/>
      <c r="Z501" s="15"/>
      <c r="AA501" s="59" t="str">
        <f>IFERROR(INDEX(NOI_CAP!$B:$B,MATCH(Z501,NOI_CAP!$A:$A,0)),"")</f>
        <v/>
      </c>
      <c r="AB501" s="58" t="str">
        <f>IF(ISNUMBER(MATCH(AC501,LOAI_DIA_CHI!$B:$B,0)),INDEX(LOAI_DIA_CHI!$A:$A,MATCH(AC501,LOAI_DIA_CHI!$B:$B,0)),"")</f>
        <v/>
      </c>
      <c r="AC501" s="16"/>
      <c r="AD501" s="58" t="str">
        <f>IF(ISNUMBER(MATCH(AE501,QUOC_GIA!$B:$B,0)),INDEX(QUOC_GIA!$A:$A,MATCH(AE501,QUOC_GIA!$B:$B,0)),"")</f>
        <v/>
      </c>
      <c r="AE501" s="16"/>
      <c r="AF501" s="48"/>
      <c r="AG501" s="59" t="str">
        <f>IFERROR(INDEX(TINH_TP!$B:$B,MATCH(AF501,TINH_TP!$A:$A,0)),"")</f>
        <v/>
      </c>
      <c r="AH501" s="50"/>
      <c r="AI501" s="59" t="str">
        <f>IF(OR(AF501="",AH501=""),"",IF(COUNTIFS(PHUONG_XA!$A$2:$A$3323,AH501,PHUONG_XA!$C$2:$C$3323,AF501)=0,"",INDEX(PHUONG_XA!$B$2:$B$3323,SUMPRODUCT((PHUONG_XA!$A$2:$A$3323&amp;""=AH501&amp;"")*(PHUONG_XA!$C$2:$C$3323&amp;""=AF501&amp;"")*(ROW(PHUONG_XA!$A$2:$A$3323)-ROW(PHUONG_XA!$A$2)+1)))))</f>
        <v/>
      </c>
      <c r="AJ501" s="14"/>
      <c r="AK501" s="14"/>
      <c r="AL501" s="57" t="str">
        <f t="shared" si="8"/>
        <v/>
      </c>
      <c r="AM501" s="14"/>
      <c r="AN501" s="15"/>
      <c r="AO501" s="15"/>
      <c r="AP501" s="48"/>
      <c r="AQ501" s="15"/>
      <c r="AR501" s="15"/>
      <c r="AS501" s="15"/>
      <c r="AT501" s="60" t="str">
        <f>IF(ISNUMBER(MATCH(AU501,LOAI_THE!$B:$B,0)),INDEX(LOAI_THE!$A:$A,MATCH(AU501,LOAI_THE!$B:$B,0)),"")</f>
        <v/>
      </c>
      <c r="AU501" s="48"/>
      <c r="AV501" s="15"/>
      <c r="AW501" s="15"/>
      <c r="AX501" s="15"/>
      <c r="AY501" s="48"/>
    </row>
    <row r="502" spans="1:83" x14ac:dyDescent="0.3">
      <c r="A502" s="13" t="s">
        <v>4495</v>
      </c>
      <c r="B502" s="48"/>
      <c r="C502" s="48"/>
      <c r="D502" s="48"/>
      <c r="E502" s="48"/>
      <c r="F502" s="48"/>
      <c r="G502" s="58" t="str">
        <f>IF(ISNUMBER(MATCH(H502,GIOI_TINH!$B:$B,0)),INDEX(GIOI_TINH!$A:$A,MATCH(H502,GIOI_TINH!$B:$B,0)),"")</f>
        <v/>
      </c>
      <c r="H502" s="15"/>
      <c r="I502" s="15"/>
      <c r="J502" s="58" t="str">
        <f>IF(ISNUMBER(MATCH(K502,QUOC_GIA!$B:$B,0)),INDEX(QUOC_GIA!$A:$A,MATCH(K502,QUOC_GIA!$B:$B,0)),"")</f>
        <v/>
      </c>
      <c r="K502" s="50"/>
      <c r="L502" s="15"/>
      <c r="M502" s="58" t="str">
        <f>IF(ISNUMBER(MATCH(N502,LOAI_THUE!$B:$B,0)),INDEX(LOAI_THUE!$A:$A,MATCH(N502,LOAI_THUE!$B:$B,0)),"")</f>
        <v/>
      </c>
      <c r="N502" s="50"/>
      <c r="O502" s="58" t="str">
        <f>IF(ISNUMBER(MATCH(P502,CHI_TIET_LOAI_KH!$B:$B,0)),INDEX(CHI_TIET_LOAI_KH!$A:$A,MATCH(P502,CHI_TIET_LOAI_KH!$B:$B,0)),"")</f>
        <v/>
      </c>
      <c r="P502" s="50"/>
      <c r="Q502" s="58" t="str">
        <f>IF(ISNUMBER(MATCH(R502,NGHE_NGHIEP!$B:$B,0)),INDEX(NGHE_NGHIEP!$A:$A,MATCH(R502,NGHE_NGHIEP!$B:$B,0)),"")</f>
        <v/>
      </c>
      <c r="R502" s="50"/>
      <c r="S502" s="58" t="str">
        <f>IF(ISNUMBER(MATCH(T502,LOAI_ID!$B:$B,0)),INDEX(LOAI_ID!$A:$A,MATCH(T502,LOAI_ID!$B:$B,0)),"")</f>
        <v/>
      </c>
      <c r="T502" s="16"/>
      <c r="U502" s="48"/>
      <c r="V502" s="48"/>
      <c r="W502" s="17"/>
      <c r="X502" s="17"/>
      <c r="Y502" s="15"/>
      <c r="Z502" s="15"/>
      <c r="AA502" s="59" t="str">
        <f>IFERROR(INDEX(NOI_CAP!$B:$B,MATCH(Z502,NOI_CAP!$A:$A,0)),"")</f>
        <v/>
      </c>
      <c r="AB502" s="58" t="str">
        <f>IF(ISNUMBER(MATCH(AC502,LOAI_DIA_CHI!$B:$B,0)),INDEX(LOAI_DIA_CHI!$A:$A,MATCH(AC502,LOAI_DIA_CHI!$B:$B,0)),"")</f>
        <v/>
      </c>
      <c r="AC502" s="16"/>
      <c r="AD502" s="58" t="str">
        <f>IF(ISNUMBER(MATCH(AE502,QUOC_GIA!$B:$B,0)),INDEX(QUOC_GIA!$A:$A,MATCH(AE502,QUOC_GIA!$B:$B,0)),"")</f>
        <v/>
      </c>
      <c r="AE502" s="16"/>
      <c r="AF502" s="48"/>
      <c r="AG502" s="59" t="str">
        <f>IFERROR(INDEX(TINH_TP!$B:$B,MATCH(AF502,TINH_TP!$A:$A,0)),"")</f>
        <v/>
      </c>
      <c r="AH502" s="50"/>
      <c r="AI502" s="59" t="str">
        <f>IF(OR(AF502="",AH502=""),"",IF(COUNTIFS(PHUONG_XA!$A$2:$A$3323,AH502,PHUONG_XA!$C$2:$C$3323,AF502)=0,"",INDEX(PHUONG_XA!$B$2:$B$3323,SUMPRODUCT((PHUONG_XA!$A$2:$A$3323&amp;""=AH502&amp;"")*(PHUONG_XA!$C$2:$C$3323&amp;""=AF502&amp;"")*(ROW(PHUONG_XA!$A$2:$A$3323)-ROW(PHUONG_XA!$A$2)+1)))))</f>
        <v/>
      </c>
      <c r="AJ502" s="14"/>
      <c r="AK502" s="14"/>
      <c r="AL502" s="57" t="str">
        <f t="shared" si="8"/>
        <v/>
      </c>
      <c r="AM502" s="14"/>
      <c r="AN502" s="15"/>
      <c r="AO502" s="15"/>
      <c r="AP502" s="48"/>
      <c r="AQ502" s="15"/>
      <c r="AR502" s="15"/>
      <c r="AS502" s="15"/>
      <c r="AT502" s="60" t="str">
        <f>IF(ISNUMBER(MATCH(AU502,LOAI_THE!$B:$B,0)),INDEX(LOAI_THE!$A:$A,MATCH(AU502,LOAI_THE!$B:$B,0)),"")</f>
        <v/>
      </c>
      <c r="AU502" s="48"/>
      <c r="AV502" s="15"/>
      <c r="AW502" s="15"/>
      <c r="AX502" s="15"/>
      <c r="AY502" s="48"/>
    </row>
    <row r="503" spans="1:83" s="20" customFormat="1" x14ac:dyDescent="0.3">
      <c r="A503" s="13" t="s">
        <v>4496</v>
      </c>
      <c r="B503" s="48"/>
      <c r="C503" s="48"/>
      <c r="D503" s="48"/>
      <c r="E503" s="48"/>
      <c r="F503" s="48"/>
      <c r="G503" s="58" t="str">
        <f>IF(ISNUMBER(MATCH(H503,GIOI_TINH!$B:$B,0)),INDEX(GIOI_TINH!$A:$A,MATCH(H503,GIOI_TINH!$B:$B,0)),"")</f>
        <v/>
      </c>
      <c r="H503" s="15"/>
      <c r="I503" s="15"/>
      <c r="J503" s="58" t="str">
        <f>IF(ISNUMBER(MATCH(K503,QUOC_GIA!$B:$B,0)),INDEX(QUOC_GIA!$A:$A,MATCH(K503,QUOC_GIA!$B:$B,0)),"")</f>
        <v/>
      </c>
      <c r="K503" s="50"/>
      <c r="L503" s="15"/>
      <c r="M503" s="58" t="str">
        <f>IF(ISNUMBER(MATCH(N503,LOAI_THUE!$B:$B,0)),INDEX(LOAI_THUE!$A:$A,MATCH(N503,LOAI_THUE!$B:$B,0)),"")</f>
        <v/>
      </c>
      <c r="N503" s="50"/>
      <c r="O503" s="58" t="str">
        <f>IF(ISNUMBER(MATCH(P503,CHI_TIET_LOAI_KH!$B:$B,0)),INDEX(CHI_TIET_LOAI_KH!$A:$A,MATCH(P503,CHI_TIET_LOAI_KH!$B:$B,0)),"")</f>
        <v/>
      </c>
      <c r="P503" s="50"/>
      <c r="Q503" s="58" t="str">
        <f>IF(ISNUMBER(MATCH(R503,NGHE_NGHIEP!$B:$B,0)),INDEX(NGHE_NGHIEP!$A:$A,MATCH(R503,NGHE_NGHIEP!$B:$B,0)),"")</f>
        <v/>
      </c>
      <c r="R503" s="50"/>
      <c r="S503" s="58" t="str">
        <f>IF(ISNUMBER(MATCH(T503,LOAI_ID!$B:$B,0)),INDEX(LOAI_ID!$A:$A,MATCH(T503,LOAI_ID!$B:$B,0)),"")</f>
        <v/>
      </c>
      <c r="T503" s="16"/>
      <c r="U503" s="48"/>
      <c r="V503" s="48"/>
      <c r="W503" s="17"/>
      <c r="X503" s="17"/>
      <c r="Y503" s="15"/>
      <c r="Z503" s="15"/>
      <c r="AA503" s="59" t="str">
        <f>IFERROR(INDEX(NOI_CAP!$B:$B,MATCH(Z503,NOI_CAP!$A:$A,0)),"")</f>
        <v/>
      </c>
      <c r="AB503" s="58" t="str">
        <f>IF(ISNUMBER(MATCH(AC503,LOAI_DIA_CHI!$B:$B,0)),INDEX(LOAI_DIA_CHI!$A:$A,MATCH(AC503,LOAI_DIA_CHI!$B:$B,0)),"")</f>
        <v/>
      </c>
      <c r="AC503" s="16"/>
      <c r="AD503" s="58" t="str">
        <f>IF(ISNUMBER(MATCH(AE503,QUOC_GIA!$B:$B,0)),INDEX(QUOC_GIA!$A:$A,MATCH(AE503,QUOC_GIA!$B:$B,0)),"")</f>
        <v/>
      </c>
      <c r="AE503" s="16"/>
      <c r="AF503" s="48"/>
      <c r="AG503" s="59" t="str">
        <f>IFERROR(INDEX(TINH_TP!$B:$B,MATCH(AF503,TINH_TP!$A:$A,0)),"")</f>
        <v/>
      </c>
      <c r="AH503" s="50"/>
      <c r="AI503" s="59" t="str">
        <f>IF(OR(AF503="",AH503=""),"",IF(COUNTIFS(PHUONG_XA!$A$2:$A$3323,AH503,PHUONG_XA!$C$2:$C$3323,AF503)=0,"",INDEX(PHUONG_XA!$B$2:$B$3323,SUMPRODUCT((PHUONG_XA!$A$2:$A$3323&amp;""=AH503&amp;"")*(PHUONG_XA!$C$2:$C$3323&amp;""=AF503&amp;"")*(ROW(PHUONG_XA!$A$2:$A$3323)-ROW(PHUONG_XA!$A$2)+1)))))</f>
        <v/>
      </c>
      <c r="AJ503" s="14"/>
      <c r="AK503" s="14"/>
      <c r="AL503" s="57" t="str">
        <f t="shared" si="8"/>
        <v/>
      </c>
      <c r="AM503" s="14"/>
      <c r="AN503" s="15"/>
      <c r="AO503" s="15"/>
      <c r="AP503" s="48"/>
      <c r="AQ503" s="15"/>
      <c r="AR503" s="15"/>
      <c r="AS503" s="15"/>
      <c r="AT503" s="60" t="str">
        <f>IF(ISNUMBER(MATCH(AU503,LOAI_THE!$B:$B,0)),INDEX(LOAI_THE!$A:$A,MATCH(AU503,LOAI_THE!$B:$B,0)),"")</f>
        <v/>
      </c>
      <c r="AU503" s="48"/>
      <c r="AV503" s="15"/>
      <c r="AW503" s="15"/>
      <c r="AX503" s="15"/>
      <c r="AY503" s="48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</row>
    <row r="504" spans="1:83" x14ac:dyDescent="0.3">
      <c r="M504" s="4"/>
    </row>
    <row r="505" spans="1:83" x14ac:dyDescent="0.3">
      <c r="M505" s="4"/>
    </row>
    <row r="506" spans="1:83" x14ac:dyDescent="0.3">
      <c r="M506" s="4"/>
    </row>
    <row r="507" spans="1:83" x14ac:dyDescent="0.3">
      <c r="M507" s="4"/>
    </row>
    <row r="508" spans="1:83" x14ac:dyDescent="0.3">
      <c r="M508" s="4"/>
    </row>
    <row r="509" spans="1:83" x14ac:dyDescent="0.3">
      <c r="M509" s="4"/>
    </row>
    <row r="510" spans="1:83" x14ac:dyDescent="0.3">
      <c r="M510" s="4"/>
    </row>
    <row r="511" spans="1:83" x14ac:dyDescent="0.3">
      <c r="M511" s="4"/>
    </row>
    <row r="512" spans="1:83" x14ac:dyDescent="0.3">
      <c r="M512" s="4"/>
    </row>
    <row r="513" spans="13:13" x14ac:dyDescent="0.3">
      <c r="M513" s="4"/>
    </row>
    <row r="514" spans="13:13" x14ac:dyDescent="0.3">
      <c r="M514" s="4"/>
    </row>
    <row r="515" spans="13:13" x14ac:dyDescent="0.3">
      <c r="M515" s="4"/>
    </row>
    <row r="516" spans="13:13" x14ac:dyDescent="0.3">
      <c r="M516" s="4"/>
    </row>
    <row r="517" spans="13:13" x14ac:dyDescent="0.3">
      <c r="M517" s="4"/>
    </row>
    <row r="518" spans="13:13" x14ac:dyDescent="0.3">
      <c r="M518" s="4"/>
    </row>
    <row r="519" spans="13:13" x14ac:dyDescent="0.3">
      <c r="M519" s="4"/>
    </row>
    <row r="520" spans="13:13" x14ac:dyDescent="0.3">
      <c r="M520" s="4"/>
    </row>
    <row r="521" spans="13:13" x14ac:dyDescent="0.3">
      <c r="M521" s="4"/>
    </row>
    <row r="522" spans="13:13" x14ac:dyDescent="0.3">
      <c r="M522" s="4"/>
    </row>
    <row r="523" spans="13:13" x14ac:dyDescent="0.3">
      <c r="M523" s="4"/>
    </row>
    <row r="524" spans="13:13" x14ac:dyDescent="0.3">
      <c r="M524" s="4"/>
    </row>
    <row r="525" spans="13:13" x14ac:dyDescent="0.3">
      <c r="M525" s="4"/>
    </row>
    <row r="526" spans="13:13" x14ac:dyDescent="0.3">
      <c r="M526" s="4"/>
    </row>
    <row r="527" spans="13:13" x14ac:dyDescent="0.3">
      <c r="M527" s="4"/>
    </row>
    <row r="528" spans="13:13" x14ac:dyDescent="0.3">
      <c r="M528" s="4"/>
    </row>
    <row r="529" spans="13:13" x14ac:dyDescent="0.3">
      <c r="M529" s="4"/>
    </row>
    <row r="530" spans="13:13" x14ac:dyDescent="0.3">
      <c r="M530" s="4"/>
    </row>
    <row r="531" spans="13:13" x14ac:dyDescent="0.3">
      <c r="M531" s="4"/>
    </row>
    <row r="532" spans="13:13" x14ac:dyDescent="0.3">
      <c r="M532" s="4"/>
    </row>
    <row r="533" spans="13:13" x14ac:dyDescent="0.3">
      <c r="M533" s="4"/>
    </row>
    <row r="534" spans="13:13" x14ac:dyDescent="0.3">
      <c r="M534" s="4"/>
    </row>
    <row r="535" spans="13:13" x14ac:dyDescent="0.3">
      <c r="M535" s="4"/>
    </row>
    <row r="536" spans="13:13" x14ac:dyDescent="0.3">
      <c r="M536" s="4"/>
    </row>
    <row r="537" spans="13:13" x14ac:dyDescent="0.3">
      <c r="M537" s="4"/>
    </row>
    <row r="538" spans="13:13" x14ac:dyDescent="0.3">
      <c r="M538" s="4"/>
    </row>
    <row r="539" spans="13:13" x14ac:dyDescent="0.3">
      <c r="M539" s="4"/>
    </row>
    <row r="540" spans="13:13" x14ac:dyDescent="0.3">
      <c r="M540" s="4"/>
    </row>
    <row r="541" spans="13:13" x14ac:dyDescent="0.3">
      <c r="M541" s="4"/>
    </row>
    <row r="542" spans="13:13" x14ac:dyDescent="0.3">
      <c r="M542" s="4"/>
    </row>
    <row r="543" spans="13:13" x14ac:dyDescent="0.3">
      <c r="M543" s="4"/>
    </row>
    <row r="544" spans="13:13" x14ac:dyDescent="0.3">
      <c r="M544" s="4"/>
    </row>
    <row r="545" spans="13:13" x14ac:dyDescent="0.3">
      <c r="M545" s="4"/>
    </row>
    <row r="546" spans="13:13" x14ac:dyDescent="0.3">
      <c r="M546" s="4"/>
    </row>
    <row r="547" spans="13:13" x14ac:dyDescent="0.3">
      <c r="M547" s="4"/>
    </row>
    <row r="548" spans="13:13" x14ac:dyDescent="0.3">
      <c r="M548" s="4"/>
    </row>
    <row r="549" spans="13:13" x14ac:dyDescent="0.3">
      <c r="M549" s="4"/>
    </row>
    <row r="550" spans="13:13" x14ac:dyDescent="0.3">
      <c r="M550" s="4"/>
    </row>
    <row r="551" spans="13:13" x14ac:dyDescent="0.3">
      <c r="M551" s="4"/>
    </row>
    <row r="552" spans="13:13" x14ac:dyDescent="0.3">
      <c r="M552" s="4"/>
    </row>
    <row r="553" spans="13:13" x14ac:dyDescent="0.3">
      <c r="M553" s="4"/>
    </row>
    <row r="554" spans="13:13" x14ac:dyDescent="0.3">
      <c r="M554" s="4"/>
    </row>
    <row r="555" spans="13:13" x14ac:dyDescent="0.3">
      <c r="M555" s="4"/>
    </row>
    <row r="556" spans="13:13" x14ac:dyDescent="0.3">
      <c r="M556" s="4"/>
    </row>
    <row r="557" spans="13:13" x14ac:dyDescent="0.3">
      <c r="M557" s="4"/>
    </row>
    <row r="558" spans="13:13" x14ac:dyDescent="0.3">
      <c r="M558" s="4"/>
    </row>
    <row r="559" spans="13:13" x14ac:dyDescent="0.3">
      <c r="M559" s="4"/>
    </row>
    <row r="560" spans="13:13" x14ac:dyDescent="0.3">
      <c r="M560" s="4"/>
    </row>
    <row r="561" spans="13:13" x14ac:dyDescent="0.3">
      <c r="M561" s="4"/>
    </row>
    <row r="562" spans="13:13" x14ac:dyDescent="0.3">
      <c r="M562" s="4"/>
    </row>
    <row r="563" spans="13:13" x14ac:dyDescent="0.3">
      <c r="M563" s="4"/>
    </row>
    <row r="564" spans="13:13" x14ac:dyDescent="0.3">
      <c r="M564" s="4"/>
    </row>
    <row r="565" spans="13:13" x14ac:dyDescent="0.3">
      <c r="M565" s="4"/>
    </row>
    <row r="566" spans="13:13" x14ac:dyDescent="0.3">
      <c r="M566" s="4"/>
    </row>
    <row r="567" spans="13:13" x14ac:dyDescent="0.3">
      <c r="M567" s="4"/>
    </row>
    <row r="568" spans="13:13" x14ac:dyDescent="0.3">
      <c r="M568" s="4"/>
    </row>
    <row r="569" spans="13:13" x14ac:dyDescent="0.3">
      <c r="M569" s="4"/>
    </row>
    <row r="570" spans="13:13" x14ac:dyDescent="0.3">
      <c r="M570" s="4"/>
    </row>
    <row r="571" spans="13:13" x14ac:dyDescent="0.3">
      <c r="M571" s="4"/>
    </row>
    <row r="572" spans="13:13" x14ac:dyDescent="0.3">
      <c r="M572" s="4"/>
    </row>
    <row r="573" spans="13:13" x14ac:dyDescent="0.3">
      <c r="M573" s="4"/>
    </row>
    <row r="574" spans="13:13" x14ac:dyDescent="0.3">
      <c r="M574" s="4"/>
    </row>
    <row r="575" spans="13:13" x14ac:dyDescent="0.3">
      <c r="M575" s="4"/>
    </row>
    <row r="576" spans="13:13" x14ac:dyDescent="0.3">
      <c r="M576" s="4"/>
    </row>
    <row r="577" spans="13:13" x14ac:dyDescent="0.3">
      <c r="M577" s="4"/>
    </row>
    <row r="578" spans="13:13" x14ac:dyDescent="0.3">
      <c r="M578" s="4"/>
    </row>
    <row r="579" spans="13:13" x14ac:dyDescent="0.3">
      <c r="M579" s="4"/>
    </row>
    <row r="580" spans="13:13" x14ac:dyDescent="0.3">
      <c r="M580" s="4"/>
    </row>
    <row r="581" spans="13:13" x14ac:dyDescent="0.3">
      <c r="M581" s="4"/>
    </row>
    <row r="582" spans="13:13" x14ac:dyDescent="0.3">
      <c r="M582" s="4"/>
    </row>
    <row r="583" spans="13:13" x14ac:dyDescent="0.3">
      <c r="M583" s="4"/>
    </row>
    <row r="584" spans="13:13" x14ac:dyDescent="0.3">
      <c r="M584" s="4"/>
    </row>
    <row r="585" spans="13:13" x14ac:dyDescent="0.3">
      <c r="M585" s="4"/>
    </row>
    <row r="586" spans="13:13" x14ac:dyDescent="0.3">
      <c r="M586" s="4"/>
    </row>
    <row r="587" spans="13:13" x14ac:dyDescent="0.3">
      <c r="M587" s="4"/>
    </row>
    <row r="588" spans="13:13" x14ac:dyDescent="0.3">
      <c r="M588" s="4"/>
    </row>
    <row r="589" spans="13:13" x14ac:dyDescent="0.3">
      <c r="M589" s="4"/>
    </row>
    <row r="590" spans="13:13" x14ac:dyDescent="0.3">
      <c r="M590" s="4"/>
    </row>
    <row r="591" spans="13:13" x14ac:dyDescent="0.3">
      <c r="M591" s="4"/>
    </row>
    <row r="592" spans="13:13" x14ac:dyDescent="0.3">
      <c r="M592" s="4"/>
    </row>
    <row r="593" spans="13:13" x14ac:dyDescent="0.3">
      <c r="M593" s="4"/>
    </row>
    <row r="594" spans="13:13" x14ac:dyDescent="0.3">
      <c r="M594" s="4"/>
    </row>
    <row r="595" spans="13:13" x14ac:dyDescent="0.3">
      <c r="M595" s="4"/>
    </row>
    <row r="596" spans="13:13" x14ac:dyDescent="0.3">
      <c r="M596" s="4"/>
    </row>
    <row r="597" spans="13:13" x14ac:dyDescent="0.3">
      <c r="M597" s="4"/>
    </row>
    <row r="598" spans="13:13" x14ac:dyDescent="0.3">
      <c r="M598" s="4"/>
    </row>
    <row r="599" spans="13:13" x14ac:dyDescent="0.3">
      <c r="M599" s="4"/>
    </row>
    <row r="600" spans="13:13" x14ac:dyDescent="0.3">
      <c r="M600" s="4"/>
    </row>
    <row r="601" spans="13:13" x14ac:dyDescent="0.3">
      <c r="M601" s="4"/>
    </row>
    <row r="602" spans="13:13" x14ac:dyDescent="0.3">
      <c r="M602" s="4"/>
    </row>
    <row r="603" spans="13:13" x14ac:dyDescent="0.3">
      <c r="M603" s="4"/>
    </row>
    <row r="604" spans="13:13" x14ac:dyDescent="0.3">
      <c r="M604" s="4"/>
    </row>
    <row r="605" spans="13:13" x14ac:dyDescent="0.3">
      <c r="M605" s="4"/>
    </row>
    <row r="606" spans="13:13" x14ac:dyDescent="0.3">
      <c r="M606" s="4"/>
    </row>
    <row r="607" spans="13:13" x14ac:dyDescent="0.3">
      <c r="M607" s="4"/>
    </row>
    <row r="608" spans="13:13" x14ac:dyDescent="0.3">
      <c r="M608" s="4"/>
    </row>
    <row r="609" spans="13:13" x14ac:dyDescent="0.3">
      <c r="M609" s="4"/>
    </row>
    <row r="610" spans="13:13" x14ac:dyDescent="0.3">
      <c r="M610" s="4"/>
    </row>
    <row r="611" spans="13:13" x14ac:dyDescent="0.3">
      <c r="M611" s="4"/>
    </row>
    <row r="612" spans="13:13" x14ac:dyDescent="0.3">
      <c r="M612" s="4"/>
    </row>
    <row r="613" spans="13:13" x14ac:dyDescent="0.3">
      <c r="M613" s="4"/>
    </row>
    <row r="614" spans="13:13" x14ac:dyDescent="0.3">
      <c r="M614" s="4"/>
    </row>
    <row r="615" spans="13:13" x14ac:dyDescent="0.3">
      <c r="M615" s="4"/>
    </row>
    <row r="616" spans="13:13" x14ac:dyDescent="0.3">
      <c r="M616" s="4"/>
    </row>
    <row r="617" spans="13:13" x14ac:dyDescent="0.3">
      <c r="M617" s="4"/>
    </row>
    <row r="618" spans="13:13" x14ac:dyDescent="0.3">
      <c r="M618" s="4"/>
    </row>
    <row r="619" spans="13:13" x14ac:dyDescent="0.3">
      <c r="M619" s="4"/>
    </row>
    <row r="620" spans="13:13" x14ac:dyDescent="0.3">
      <c r="M620" s="4"/>
    </row>
    <row r="621" spans="13:13" x14ac:dyDescent="0.3">
      <c r="M621" s="4"/>
    </row>
    <row r="622" spans="13:13" x14ac:dyDescent="0.3">
      <c r="M622" s="4"/>
    </row>
    <row r="623" spans="13:13" x14ac:dyDescent="0.3">
      <c r="M623" s="4"/>
    </row>
    <row r="624" spans="13:13" x14ac:dyDescent="0.3">
      <c r="M624" s="4"/>
    </row>
    <row r="625" spans="13:13" x14ac:dyDescent="0.3">
      <c r="M625" s="4"/>
    </row>
    <row r="626" spans="13:13" x14ac:dyDescent="0.3">
      <c r="M626" s="4"/>
    </row>
    <row r="627" spans="13:13" x14ac:dyDescent="0.3">
      <c r="M627" s="4"/>
    </row>
    <row r="628" spans="13:13" x14ac:dyDescent="0.3">
      <c r="M628" s="4"/>
    </row>
    <row r="629" spans="13:13" x14ac:dyDescent="0.3">
      <c r="M629" s="4"/>
    </row>
    <row r="630" spans="13:13" x14ac:dyDescent="0.3">
      <c r="M630" s="4"/>
    </row>
    <row r="631" spans="13:13" x14ac:dyDescent="0.3">
      <c r="M631" s="4"/>
    </row>
    <row r="632" spans="13:13" x14ac:dyDescent="0.3">
      <c r="M632" s="4"/>
    </row>
    <row r="633" spans="13:13" x14ac:dyDescent="0.3">
      <c r="M633" s="4"/>
    </row>
    <row r="634" spans="13:13" x14ac:dyDescent="0.3">
      <c r="M634" s="4"/>
    </row>
    <row r="635" spans="13:13" x14ac:dyDescent="0.3">
      <c r="M635" s="4"/>
    </row>
    <row r="636" spans="13:13" x14ac:dyDescent="0.3">
      <c r="M636" s="4"/>
    </row>
    <row r="637" spans="13:13" x14ac:dyDescent="0.3">
      <c r="M637" s="4"/>
    </row>
    <row r="638" spans="13:13" x14ac:dyDescent="0.3">
      <c r="M638" s="4"/>
    </row>
    <row r="639" spans="13:13" x14ac:dyDescent="0.3">
      <c r="M639" s="4"/>
    </row>
    <row r="640" spans="13:13" x14ac:dyDescent="0.3">
      <c r="M640" s="4"/>
    </row>
    <row r="641" spans="13:13" x14ac:dyDescent="0.3">
      <c r="M641" s="4"/>
    </row>
    <row r="642" spans="13:13" x14ac:dyDescent="0.3">
      <c r="M642" s="4"/>
    </row>
    <row r="643" spans="13:13" x14ac:dyDescent="0.3">
      <c r="M643" s="4"/>
    </row>
    <row r="644" spans="13:13" x14ac:dyDescent="0.3">
      <c r="M644" s="4"/>
    </row>
    <row r="645" spans="13:13" x14ac:dyDescent="0.3">
      <c r="M645" s="4"/>
    </row>
    <row r="646" spans="13:13" x14ac:dyDescent="0.3">
      <c r="M646" s="4"/>
    </row>
    <row r="647" spans="13:13" x14ac:dyDescent="0.3">
      <c r="M647" s="4"/>
    </row>
    <row r="648" spans="13:13" x14ac:dyDescent="0.3">
      <c r="M648" s="4"/>
    </row>
    <row r="649" spans="13:13" x14ac:dyDescent="0.3">
      <c r="M649" s="4"/>
    </row>
    <row r="650" spans="13:13" x14ac:dyDescent="0.3">
      <c r="M650" s="4"/>
    </row>
    <row r="651" spans="13:13" x14ac:dyDescent="0.3">
      <c r="M651" s="4"/>
    </row>
    <row r="652" spans="13:13" x14ac:dyDescent="0.3">
      <c r="M652" s="4"/>
    </row>
    <row r="653" spans="13:13" x14ac:dyDescent="0.3">
      <c r="M653" s="4"/>
    </row>
    <row r="654" spans="13:13" x14ac:dyDescent="0.3">
      <c r="M654" s="4"/>
    </row>
    <row r="655" spans="13:13" x14ac:dyDescent="0.3">
      <c r="M655" s="4"/>
    </row>
    <row r="656" spans="13:13" x14ac:dyDescent="0.3">
      <c r="M656" s="4"/>
    </row>
    <row r="657" spans="13:13" x14ac:dyDescent="0.3">
      <c r="M657" s="4"/>
    </row>
    <row r="658" spans="13:13" x14ac:dyDescent="0.3">
      <c r="M658" s="4"/>
    </row>
    <row r="659" spans="13:13" x14ac:dyDescent="0.3">
      <c r="M659" s="4"/>
    </row>
    <row r="660" spans="13:13" x14ac:dyDescent="0.3">
      <c r="M660" s="4"/>
    </row>
    <row r="661" spans="13:13" x14ac:dyDescent="0.3">
      <c r="M661" s="4"/>
    </row>
    <row r="662" spans="13:13" x14ac:dyDescent="0.3">
      <c r="M662" s="4"/>
    </row>
    <row r="663" spans="13:13" x14ac:dyDescent="0.3">
      <c r="M663" s="4"/>
    </row>
    <row r="664" spans="13:13" x14ac:dyDescent="0.3">
      <c r="M664" s="4"/>
    </row>
    <row r="665" spans="13:13" x14ac:dyDescent="0.3">
      <c r="M665" s="4"/>
    </row>
    <row r="666" spans="13:13" x14ac:dyDescent="0.3">
      <c r="M666" s="4"/>
    </row>
    <row r="667" spans="13:13" x14ac:dyDescent="0.3">
      <c r="M667" s="4"/>
    </row>
    <row r="668" spans="13:13" x14ac:dyDescent="0.3">
      <c r="M668" s="4"/>
    </row>
    <row r="669" spans="13:13" x14ac:dyDescent="0.3">
      <c r="M669" s="4"/>
    </row>
    <row r="670" spans="13:13" x14ac:dyDescent="0.3">
      <c r="M670" s="4"/>
    </row>
    <row r="671" spans="13:13" x14ac:dyDescent="0.3">
      <c r="M671" s="4"/>
    </row>
    <row r="672" spans="13:13" x14ac:dyDescent="0.3">
      <c r="M672" s="4"/>
    </row>
    <row r="673" spans="13:13" x14ac:dyDescent="0.3">
      <c r="M673" s="4"/>
    </row>
    <row r="674" spans="13:13" x14ac:dyDescent="0.3">
      <c r="M674" s="4"/>
    </row>
    <row r="675" spans="13:13" x14ac:dyDescent="0.3">
      <c r="M675" s="4"/>
    </row>
    <row r="676" spans="13:13" x14ac:dyDescent="0.3">
      <c r="M676" s="4"/>
    </row>
    <row r="677" spans="13:13" x14ac:dyDescent="0.3">
      <c r="M677" s="4"/>
    </row>
    <row r="678" spans="13:13" x14ac:dyDescent="0.3">
      <c r="M678" s="4"/>
    </row>
    <row r="679" spans="13:13" x14ac:dyDescent="0.3">
      <c r="M679" s="4"/>
    </row>
    <row r="680" spans="13:13" x14ac:dyDescent="0.3">
      <c r="M680" s="4"/>
    </row>
    <row r="681" spans="13:13" x14ac:dyDescent="0.3">
      <c r="M681" s="4"/>
    </row>
    <row r="682" spans="13:13" x14ac:dyDescent="0.3">
      <c r="M682" s="4"/>
    </row>
    <row r="683" spans="13:13" x14ac:dyDescent="0.3">
      <c r="M683" s="4"/>
    </row>
    <row r="684" spans="13:13" x14ac:dyDescent="0.3">
      <c r="M684" s="4"/>
    </row>
    <row r="685" spans="13:13" x14ac:dyDescent="0.3">
      <c r="M685" s="4"/>
    </row>
    <row r="686" spans="13:13" x14ac:dyDescent="0.3">
      <c r="M686" s="4"/>
    </row>
    <row r="687" spans="13:13" x14ac:dyDescent="0.3">
      <c r="M687" s="4"/>
    </row>
    <row r="688" spans="13:13" x14ac:dyDescent="0.3">
      <c r="M688" s="4"/>
    </row>
    <row r="689" spans="13:13" x14ac:dyDescent="0.3">
      <c r="M689" s="4"/>
    </row>
    <row r="690" spans="13:13" x14ac:dyDescent="0.3">
      <c r="M690" s="4"/>
    </row>
    <row r="691" spans="13:13" x14ac:dyDescent="0.3">
      <c r="M691" s="4"/>
    </row>
    <row r="692" spans="13:13" x14ac:dyDescent="0.3">
      <c r="M692" s="4"/>
    </row>
    <row r="693" spans="13:13" x14ac:dyDescent="0.3">
      <c r="M693" s="4"/>
    </row>
    <row r="694" spans="13:13" x14ac:dyDescent="0.3">
      <c r="M694" s="4"/>
    </row>
    <row r="695" spans="13:13" x14ac:dyDescent="0.3">
      <c r="M695" s="4"/>
    </row>
    <row r="696" spans="13:13" x14ac:dyDescent="0.3">
      <c r="M696" s="4"/>
    </row>
    <row r="697" spans="13:13" x14ac:dyDescent="0.3">
      <c r="M697" s="4"/>
    </row>
    <row r="698" spans="13:13" x14ac:dyDescent="0.3">
      <c r="M698" s="4"/>
    </row>
    <row r="699" spans="13:13" x14ac:dyDescent="0.3">
      <c r="M699" s="4"/>
    </row>
    <row r="700" spans="13:13" x14ac:dyDescent="0.3">
      <c r="M700" s="4"/>
    </row>
    <row r="701" spans="13:13" x14ac:dyDescent="0.3">
      <c r="M701" s="4"/>
    </row>
    <row r="702" spans="13:13" x14ac:dyDescent="0.3">
      <c r="M702" s="4"/>
    </row>
    <row r="703" spans="13:13" x14ac:dyDescent="0.3">
      <c r="M703" s="4"/>
    </row>
    <row r="704" spans="13:13" x14ac:dyDescent="0.3">
      <c r="M704" s="4"/>
    </row>
    <row r="705" spans="13:13" x14ac:dyDescent="0.3">
      <c r="M705" s="4"/>
    </row>
    <row r="706" spans="13:13" x14ac:dyDescent="0.3">
      <c r="M706" s="4"/>
    </row>
    <row r="707" spans="13:13" x14ac:dyDescent="0.3">
      <c r="M707" s="4"/>
    </row>
    <row r="708" spans="13:13" x14ac:dyDescent="0.3">
      <c r="M708" s="4"/>
    </row>
    <row r="709" spans="13:13" x14ac:dyDescent="0.3">
      <c r="M709" s="4"/>
    </row>
    <row r="710" spans="13:13" x14ac:dyDescent="0.3">
      <c r="M710" s="4"/>
    </row>
    <row r="711" spans="13:13" x14ac:dyDescent="0.3">
      <c r="M711" s="4"/>
    </row>
    <row r="712" spans="13:13" x14ac:dyDescent="0.3">
      <c r="M712" s="4"/>
    </row>
    <row r="713" spans="13:13" x14ac:dyDescent="0.3">
      <c r="M713" s="4"/>
    </row>
    <row r="714" spans="13:13" x14ac:dyDescent="0.3">
      <c r="M714" s="4"/>
    </row>
    <row r="715" spans="13:13" x14ac:dyDescent="0.3">
      <c r="M715" s="4"/>
    </row>
    <row r="716" spans="13:13" x14ac:dyDescent="0.3">
      <c r="M716" s="4"/>
    </row>
    <row r="717" spans="13:13" x14ac:dyDescent="0.3">
      <c r="M717" s="4"/>
    </row>
    <row r="718" spans="13:13" x14ac:dyDescent="0.3">
      <c r="M718" s="4"/>
    </row>
    <row r="719" spans="13:13" x14ac:dyDescent="0.3">
      <c r="M719" s="4"/>
    </row>
    <row r="720" spans="13:13" x14ac:dyDescent="0.3">
      <c r="M720" s="4"/>
    </row>
    <row r="721" spans="13:13" x14ac:dyDescent="0.3">
      <c r="M721" s="4"/>
    </row>
    <row r="722" spans="13:13" x14ac:dyDescent="0.3">
      <c r="M722" s="4"/>
    </row>
    <row r="723" spans="13:13" x14ac:dyDescent="0.3">
      <c r="M723" s="4"/>
    </row>
    <row r="724" spans="13:13" x14ac:dyDescent="0.3">
      <c r="M724" s="4"/>
    </row>
    <row r="725" spans="13:13" x14ac:dyDescent="0.3">
      <c r="M725" s="4"/>
    </row>
    <row r="726" spans="13:13" x14ac:dyDescent="0.3">
      <c r="M726" s="4"/>
    </row>
    <row r="727" spans="13:13" x14ac:dyDescent="0.3">
      <c r="M727" s="4"/>
    </row>
    <row r="728" spans="13:13" x14ac:dyDescent="0.3">
      <c r="M728" s="4"/>
    </row>
    <row r="729" spans="13:13" x14ac:dyDescent="0.3">
      <c r="M729" s="4"/>
    </row>
    <row r="730" spans="13:13" x14ac:dyDescent="0.3">
      <c r="M730" s="4"/>
    </row>
    <row r="731" spans="13:13" x14ac:dyDescent="0.3">
      <c r="M731" s="4"/>
    </row>
    <row r="732" spans="13:13" x14ac:dyDescent="0.3">
      <c r="M732" s="4"/>
    </row>
    <row r="733" spans="13:13" x14ac:dyDescent="0.3">
      <c r="M733" s="4"/>
    </row>
    <row r="734" spans="13:13" x14ac:dyDescent="0.3">
      <c r="M734" s="4"/>
    </row>
    <row r="735" spans="13:13" x14ac:dyDescent="0.3">
      <c r="M735" s="4"/>
    </row>
    <row r="736" spans="13:13" x14ac:dyDescent="0.3">
      <c r="M736" s="4"/>
    </row>
    <row r="737" spans="13:13" x14ac:dyDescent="0.3">
      <c r="M737" s="4"/>
    </row>
    <row r="738" spans="13:13" x14ac:dyDescent="0.3">
      <c r="M738" s="4"/>
    </row>
    <row r="739" spans="13:13" x14ac:dyDescent="0.3">
      <c r="M739" s="4"/>
    </row>
    <row r="740" spans="13:13" x14ac:dyDescent="0.3">
      <c r="M740" s="4"/>
    </row>
    <row r="741" spans="13:13" x14ac:dyDescent="0.3">
      <c r="M741" s="4"/>
    </row>
    <row r="742" spans="13:13" x14ac:dyDescent="0.3">
      <c r="M742" s="4"/>
    </row>
    <row r="743" spans="13:13" x14ac:dyDescent="0.3">
      <c r="M743" s="4"/>
    </row>
    <row r="744" spans="13:13" x14ac:dyDescent="0.3">
      <c r="M744" s="4"/>
    </row>
    <row r="745" spans="13:13" x14ac:dyDescent="0.3">
      <c r="M745" s="4"/>
    </row>
    <row r="746" spans="13:13" x14ac:dyDescent="0.3">
      <c r="M746" s="4"/>
    </row>
    <row r="747" spans="13:13" x14ac:dyDescent="0.3">
      <c r="M747" s="4"/>
    </row>
    <row r="748" spans="13:13" x14ac:dyDescent="0.3">
      <c r="M748" s="4"/>
    </row>
    <row r="749" spans="13:13" x14ac:dyDescent="0.3">
      <c r="M749" s="4"/>
    </row>
    <row r="750" spans="13:13" x14ac:dyDescent="0.3">
      <c r="M750" s="4"/>
    </row>
    <row r="751" spans="13:13" x14ac:dyDescent="0.3">
      <c r="M751" s="4"/>
    </row>
    <row r="752" spans="13:13" x14ac:dyDescent="0.3">
      <c r="M752" s="4"/>
    </row>
    <row r="753" spans="13:13" x14ac:dyDescent="0.3">
      <c r="M753" s="4"/>
    </row>
    <row r="754" spans="13:13" x14ac:dyDescent="0.3">
      <c r="M754" s="4"/>
    </row>
    <row r="755" spans="13:13" x14ac:dyDescent="0.3">
      <c r="M755" s="4"/>
    </row>
    <row r="756" spans="13:13" x14ac:dyDescent="0.3">
      <c r="M756" s="4"/>
    </row>
    <row r="757" spans="13:13" x14ac:dyDescent="0.3">
      <c r="M757" s="4"/>
    </row>
    <row r="758" spans="13:13" x14ac:dyDescent="0.3">
      <c r="M758" s="4"/>
    </row>
    <row r="759" spans="13:13" x14ac:dyDescent="0.3">
      <c r="M759" s="4"/>
    </row>
    <row r="760" spans="13:13" x14ac:dyDescent="0.3">
      <c r="M760" s="4"/>
    </row>
    <row r="761" spans="13:13" x14ac:dyDescent="0.3">
      <c r="M761" s="4"/>
    </row>
    <row r="762" spans="13:13" x14ac:dyDescent="0.3">
      <c r="M762" s="4"/>
    </row>
    <row r="763" spans="13:13" x14ac:dyDescent="0.3">
      <c r="M763" s="4"/>
    </row>
    <row r="764" spans="13:13" x14ac:dyDescent="0.3">
      <c r="M764" s="4"/>
    </row>
    <row r="765" spans="13:13" x14ac:dyDescent="0.3">
      <c r="M765" s="4"/>
    </row>
    <row r="766" spans="13:13" x14ac:dyDescent="0.3">
      <c r="M766" s="4"/>
    </row>
    <row r="767" spans="13:13" x14ac:dyDescent="0.3">
      <c r="M767" s="4"/>
    </row>
    <row r="768" spans="13:13" x14ac:dyDescent="0.3">
      <c r="M768" s="4"/>
    </row>
    <row r="769" spans="13:13" x14ac:dyDescent="0.3">
      <c r="M769" s="4"/>
    </row>
    <row r="770" spans="13:13" x14ac:dyDescent="0.3">
      <c r="M770" s="4"/>
    </row>
    <row r="771" spans="13:13" x14ac:dyDescent="0.3">
      <c r="M771" s="4"/>
    </row>
    <row r="772" spans="13:13" x14ac:dyDescent="0.3">
      <c r="M772" s="4"/>
    </row>
    <row r="773" spans="13:13" x14ac:dyDescent="0.3">
      <c r="M773" s="4"/>
    </row>
    <row r="774" spans="13:13" x14ac:dyDescent="0.3">
      <c r="M774" s="4"/>
    </row>
    <row r="775" spans="13:13" x14ac:dyDescent="0.3">
      <c r="M775" s="4"/>
    </row>
    <row r="776" spans="13:13" x14ac:dyDescent="0.3">
      <c r="M776" s="4"/>
    </row>
    <row r="777" spans="13:13" x14ac:dyDescent="0.3">
      <c r="M777" s="4"/>
    </row>
    <row r="778" spans="13:13" x14ac:dyDescent="0.3">
      <c r="M778" s="4"/>
    </row>
    <row r="779" spans="13:13" x14ac:dyDescent="0.3">
      <c r="M779" s="4"/>
    </row>
    <row r="780" spans="13:13" x14ac:dyDescent="0.3">
      <c r="M780" s="4"/>
    </row>
    <row r="781" spans="13:13" x14ac:dyDescent="0.3">
      <c r="M781" s="4"/>
    </row>
    <row r="782" spans="13:13" x14ac:dyDescent="0.3">
      <c r="M782" s="4"/>
    </row>
    <row r="783" spans="13:13" x14ac:dyDescent="0.3">
      <c r="M783" s="4"/>
    </row>
    <row r="784" spans="13:13" x14ac:dyDescent="0.3">
      <c r="M784" s="4"/>
    </row>
    <row r="785" spans="13:13" x14ac:dyDescent="0.3">
      <c r="M785" s="4"/>
    </row>
    <row r="786" spans="13:13" x14ac:dyDescent="0.3">
      <c r="M786" s="4"/>
    </row>
    <row r="787" spans="13:13" x14ac:dyDescent="0.3">
      <c r="M787" s="4"/>
    </row>
    <row r="788" spans="13:13" x14ac:dyDescent="0.3">
      <c r="M788" s="4"/>
    </row>
    <row r="789" spans="13:13" x14ac:dyDescent="0.3">
      <c r="M789" s="4"/>
    </row>
    <row r="790" spans="13:13" x14ac:dyDescent="0.3">
      <c r="M790" s="4"/>
    </row>
    <row r="791" spans="13:13" x14ac:dyDescent="0.3">
      <c r="M791" s="4"/>
    </row>
    <row r="792" spans="13:13" x14ac:dyDescent="0.3">
      <c r="M792" s="4"/>
    </row>
    <row r="793" spans="13:13" x14ac:dyDescent="0.3">
      <c r="M793" s="4"/>
    </row>
    <row r="794" spans="13:13" x14ac:dyDescent="0.3">
      <c r="M794" s="4"/>
    </row>
    <row r="795" spans="13:13" x14ac:dyDescent="0.3">
      <c r="M795" s="4"/>
    </row>
    <row r="796" spans="13:13" x14ac:dyDescent="0.3">
      <c r="M796" s="4"/>
    </row>
    <row r="797" spans="13:13" x14ac:dyDescent="0.3">
      <c r="M797" s="4"/>
    </row>
    <row r="798" spans="13:13" x14ac:dyDescent="0.3">
      <c r="M798" s="4"/>
    </row>
    <row r="799" spans="13:13" x14ac:dyDescent="0.3">
      <c r="M799" s="4"/>
    </row>
    <row r="800" spans="13:13" x14ac:dyDescent="0.3">
      <c r="M800" s="4"/>
    </row>
    <row r="801" spans="13:13" x14ac:dyDescent="0.3">
      <c r="M801" s="4"/>
    </row>
    <row r="802" spans="13:13" x14ac:dyDescent="0.3">
      <c r="M802" s="4"/>
    </row>
    <row r="803" spans="13:13" x14ac:dyDescent="0.3">
      <c r="M803" s="4"/>
    </row>
    <row r="804" spans="13:13" x14ac:dyDescent="0.3">
      <c r="M804" s="4"/>
    </row>
    <row r="805" spans="13:13" x14ac:dyDescent="0.3">
      <c r="M805" s="4"/>
    </row>
    <row r="806" spans="13:13" x14ac:dyDescent="0.3">
      <c r="M806" s="4"/>
    </row>
    <row r="807" spans="13:13" x14ac:dyDescent="0.3">
      <c r="M807" s="4"/>
    </row>
    <row r="808" spans="13:13" x14ac:dyDescent="0.3">
      <c r="M808" s="4"/>
    </row>
    <row r="809" spans="13:13" x14ac:dyDescent="0.3">
      <c r="M809" s="4"/>
    </row>
    <row r="810" spans="13:13" x14ac:dyDescent="0.3">
      <c r="M810" s="4"/>
    </row>
    <row r="811" spans="13:13" x14ac:dyDescent="0.3">
      <c r="M811" s="4"/>
    </row>
    <row r="812" spans="13:13" x14ac:dyDescent="0.3">
      <c r="M812" s="4"/>
    </row>
    <row r="813" spans="13:13" x14ac:dyDescent="0.3">
      <c r="M813" s="4"/>
    </row>
    <row r="814" spans="13:13" x14ac:dyDescent="0.3">
      <c r="M814" s="4"/>
    </row>
    <row r="815" spans="13:13" x14ac:dyDescent="0.3">
      <c r="M815" s="4"/>
    </row>
    <row r="816" spans="13:13" x14ac:dyDescent="0.3">
      <c r="M816" s="4"/>
    </row>
    <row r="817" spans="13:13" x14ac:dyDescent="0.3">
      <c r="M817" s="4"/>
    </row>
    <row r="818" spans="13:13" x14ac:dyDescent="0.3">
      <c r="M818" s="4"/>
    </row>
    <row r="819" spans="13:13" x14ac:dyDescent="0.3">
      <c r="M819" s="4"/>
    </row>
    <row r="820" spans="13:13" x14ac:dyDescent="0.3">
      <c r="M820" s="4"/>
    </row>
    <row r="821" spans="13:13" x14ac:dyDescent="0.3">
      <c r="M821" s="4"/>
    </row>
    <row r="822" spans="13:13" x14ac:dyDescent="0.3">
      <c r="M822" s="4"/>
    </row>
    <row r="823" spans="13:13" x14ac:dyDescent="0.3">
      <c r="M823" s="4"/>
    </row>
    <row r="824" spans="13:13" x14ac:dyDescent="0.3">
      <c r="M824" s="4"/>
    </row>
    <row r="825" spans="13:13" x14ac:dyDescent="0.3">
      <c r="M825" s="4"/>
    </row>
    <row r="826" spans="13:13" x14ac:dyDescent="0.3">
      <c r="M826" s="4"/>
    </row>
    <row r="827" spans="13:13" x14ac:dyDescent="0.3">
      <c r="M827" s="4"/>
    </row>
    <row r="828" spans="13:13" x14ac:dyDescent="0.3">
      <c r="M828" s="4"/>
    </row>
    <row r="829" spans="13:13" x14ac:dyDescent="0.3">
      <c r="M829" s="4"/>
    </row>
    <row r="830" spans="13:13" x14ac:dyDescent="0.3">
      <c r="M830" s="4"/>
    </row>
    <row r="831" spans="13:13" x14ac:dyDescent="0.3">
      <c r="M831" s="4"/>
    </row>
    <row r="832" spans="13:13" x14ac:dyDescent="0.3">
      <c r="M832" s="4"/>
    </row>
    <row r="833" spans="13:13" x14ac:dyDescent="0.3">
      <c r="M833" s="4"/>
    </row>
    <row r="834" spans="13:13" x14ac:dyDescent="0.3">
      <c r="M834" s="4"/>
    </row>
    <row r="835" spans="13:13" x14ac:dyDescent="0.3">
      <c r="M835" s="4"/>
    </row>
    <row r="836" spans="13:13" x14ac:dyDescent="0.3">
      <c r="M836" s="4"/>
    </row>
    <row r="837" spans="13:13" x14ac:dyDescent="0.3">
      <c r="M837" s="4"/>
    </row>
    <row r="838" spans="13:13" x14ac:dyDescent="0.3">
      <c r="M838" s="4"/>
    </row>
    <row r="839" spans="13:13" x14ac:dyDescent="0.3">
      <c r="M839" s="4"/>
    </row>
    <row r="840" spans="13:13" x14ac:dyDescent="0.3">
      <c r="M840" s="4"/>
    </row>
    <row r="841" spans="13:13" x14ac:dyDescent="0.3">
      <c r="M841" s="4"/>
    </row>
    <row r="842" spans="13:13" x14ac:dyDescent="0.3">
      <c r="M842" s="4"/>
    </row>
    <row r="843" spans="13:13" x14ac:dyDescent="0.3">
      <c r="M843" s="4"/>
    </row>
    <row r="844" spans="13:13" x14ac:dyDescent="0.3">
      <c r="M844" s="4"/>
    </row>
    <row r="845" spans="13:13" x14ac:dyDescent="0.3">
      <c r="M845" s="4"/>
    </row>
    <row r="846" spans="13:13" x14ac:dyDescent="0.3">
      <c r="M846" s="4"/>
    </row>
    <row r="847" spans="13:13" x14ac:dyDescent="0.3">
      <c r="M847" s="4"/>
    </row>
    <row r="848" spans="13:13" x14ac:dyDescent="0.3">
      <c r="M848" s="4"/>
    </row>
    <row r="849" spans="13:13" x14ac:dyDescent="0.3">
      <c r="M849" s="4"/>
    </row>
    <row r="850" spans="13:13" x14ac:dyDescent="0.3">
      <c r="M850" s="4"/>
    </row>
    <row r="851" spans="13:13" x14ac:dyDescent="0.3">
      <c r="M851" s="4"/>
    </row>
    <row r="852" spans="13:13" x14ac:dyDescent="0.3">
      <c r="M852" s="4"/>
    </row>
    <row r="853" spans="13:13" x14ac:dyDescent="0.3">
      <c r="M853" s="4"/>
    </row>
    <row r="854" spans="13:13" x14ac:dyDescent="0.3">
      <c r="M854" s="4"/>
    </row>
    <row r="855" spans="13:13" x14ac:dyDescent="0.3">
      <c r="M855" s="4"/>
    </row>
    <row r="856" spans="13:13" x14ac:dyDescent="0.3">
      <c r="M856" s="4"/>
    </row>
    <row r="857" spans="13:13" x14ac:dyDescent="0.3">
      <c r="M857" s="4"/>
    </row>
    <row r="858" spans="13:13" x14ac:dyDescent="0.3">
      <c r="M858" s="4"/>
    </row>
    <row r="859" spans="13:13" x14ac:dyDescent="0.3">
      <c r="M859" s="4"/>
    </row>
    <row r="860" spans="13:13" x14ac:dyDescent="0.3">
      <c r="M860" s="4"/>
    </row>
    <row r="861" spans="13:13" x14ac:dyDescent="0.3">
      <c r="M861" s="4"/>
    </row>
    <row r="862" spans="13:13" x14ac:dyDescent="0.3">
      <c r="M862" s="4"/>
    </row>
    <row r="863" spans="13:13" x14ac:dyDescent="0.3">
      <c r="M863" s="4"/>
    </row>
    <row r="864" spans="13:13" x14ac:dyDescent="0.3">
      <c r="M864" s="4"/>
    </row>
    <row r="865" spans="13:13" x14ac:dyDescent="0.3">
      <c r="M865" s="4"/>
    </row>
    <row r="866" spans="13:13" x14ac:dyDescent="0.3">
      <c r="M866" s="4"/>
    </row>
    <row r="867" spans="13:13" x14ac:dyDescent="0.3">
      <c r="M867" s="4"/>
    </row>
    <row r="868" spans="13:13" x14ac:dyDescent="0.3">
      <c r="M868" s="4"/>
    </row>
    <row r="869" spans="13:13" x14ac:dyDescent="0.3">
      <c r="M869" s="4"/>
    </row>
    <row r="870" spans="13:13" x14ac:dyDescent="0.3">
      <c r="M870" s="4"/>
    </row>
    <row r="871" spans="13:13" x14ac:dyDescent="0.3">
      <c r="M871" s="4"/>
    </row>
    <row r="872" spans="13:13" x14ac:dyDescent="0.3">
      <c r="M872" s="4"/>
    </row>
    <row r="873" spans="13:13" x14ac:dyDescent="0.3">
      <c r="M873" s="4"/>
    </row>
    <row r="874" spans="13:13" x14ac:dyDescent="0.3">
      <c r="M874" s="4"/>
    </row>
    <row r="875" spans="13:13" x14ac:dyDescent="0.3">
      <c r="M875" s="4"/>
    </row>
    <row r="876" spans="13:13" x14ac:dyDescent="0.3">
      <c r="M876" s="4"/>
    </row>
    <row r="877" spans="13:13" x14ac:dyDescent="0.3">
      <c r="M877" s="4"/>
    </row>
    <row r="878" spans="13:13" x14ac:dyDescent="0.3">
      <c r="M878" s="4"/>
    </row>
    <row r="879" spans="13:13" x14ac:dyDescent="0.3">
      <c r="M879" s="4"/>
    </row>
    <row r="880" spans="13:13" x14ac:dyDescent="0.3">
      <c r="M880" s="4"/>
    </row>
    <row r="881" spans="13:13" x14ac:dyDescent="0.3">
      <c r="M881" s="4"/>
    </row>
    <row r="882" spans="13:13" x14ac:dyDescent="0.3">
      <c r="M882" s="4"/>
    </row>
    <row r="883" spans="13:13" x14ac:dyDescent="0.3">
      <c r="M883" s="4"/>
    </row>
    <row r="884" spans="13:13" x14ac:dyDescent="0.3">
      <c r="M884" s="4"/>
    </row>
    <row r="885" spans="13:13" x14ac:dyDescent="0.3">
      <c r="M885" s="4"/>
    </row>
    <row r="886" spans="13:13" x14ac:dyDescent="0.3">
      <c r="M886" s="4"/>
    </row>
    <row r="887" spans="13:13" x14ac:dyDescent="0.3">
      <c r="M887" s="4"/>
    </row>
    <row r="888" spans="13:13" x14ac:dyDescent="0.3">
      <c r="M888" s="4"/>
    </row>
    <row r="889" spans="13:13" x14ac:dyDescent="0.3">
      <c r="M889" s="4"/>
    </row>
    <row r="890" spans="13:13" x14ac:dyDescent="0.3">
      <c r="M890" s="4"/>
    </row>
    <row r="891" spans="13:13" x14ac:dyDescent="0.3">
      <c r="M891" s="4"/>
    </row>
    <row r="892" spans="13:13" x14ac:dyDescent="0.3">
      <c r="M892" s="4"/>
    </row>
    <row r="893" spans="13:13" x14ac:dyDescent="0.3">
      <c r="M893" s="4"/>
    </row>
    <row r="894" spans="13:13" x14ac:dyDescent="0.3">
      <c r="M894" s="4"/>
    </row>
    <row r="895" spans="13:13" x14ac:dyDescent="0.3">
      <c r="M895" s="4"/>
    </row>
    <row r="896" spans="13:13" x14ac:dyDescent="0.3">
      <c r="M896" s="4"/>
    </row>
    <row r="897" spans="13:13" x14ac:dyDescent="0.3">
      <c r="M897" s="4"/>
    </row>
    <row r="898" spans="13:13" x14ac:dyDescent="0.3">
      <c r="M898" s="4"/>
    </row>
    <row r="899" spans="13:13" x14ac:dyDescent="0.3">
      <c r="M899" s="4"/>
    </row>
    <row r="900" spans="13:13" x14ac:dyDescent="0.3">
      <c r="M900" s="4"/>
    </row>
    <row r="901" spans="13:13" x14ac:dyDescent="0.3">
      <c r="M901" s="4"/>
    </row>
    <row r="902" spans="13:13" x14ac:dyDescent="0.3">
      <c r="M902" s="4"/>
    </row>
    <row r="903" spans="13:13" x14ac:dyDescent="0.3">
      <c r="M903" s="4"/>
    </row>
    <row r="904" spans="13:13" x14ac:dyDescent="0.3">
      <c r="M904" s="4"/>
    </row>
    <row r="905" spans="13:13" x14ac:dyDescent="0.3">
      <c r="M905" s="4"/>
    </row>
    <row r="906" spans="13:13" x14ac:dyDescent="0.3">
      <c r="M906" s="4"/>
    </row>
    <row r="907" spans="13:13" x14ac:dyDescent="0.3">
      <c r="M907" s="4"/>
    </row>
    <row r="908" spans="13:13" x14ac:dyDescent="0.3">
      <c r="M908" s="4"/>
    </row>
    <row r="909" spans="13:13" x14ac:dyDescent="0.3">
      <c r="M909" s="4"/>
    </row>
    <row r="910" spans="13:13" x14ac:dyDescent="0.3">
      <c r="M910" s="4"/>
    </row>
    <row r="911" spans="13:13" x14ac:dyDescent="0.3">
      <c r="M911" s="4"/>
    </row>
    <row r="912" spans="13:13" x14ac:dyDescent="0.3">
      <c r="M912" s="4"/>
    </row>
    <row r="913" spans="13:13" x14ac:dyDescent="0.3">
      <c r="M913" s="4"/>
    </row>
    <row r="914" spans="13:13" x14ac:dyDescent="0.3">
      <c r="M914" s="4"/>
    </row>
    <row r="915" spans="13:13" x14ac:dyDescent="0.3">
      <c r="M915" s="4"/>
    </row>
    <row r="916" spans="13:13" x14ac:dyDescent="0.3">
      <c r="M916" s="4"/>
    </row>
    <row r="917" spans="13:13" x14ac:dyDescent="0.3">
      <c r="M917" s="4"/>
    </row>
    <row r="918" spans="13:13" x14ac:dyDescent="0.3">
      <c r="M918" s="4"/>
    </row>
    <row r="919" spans="13:13" x14ac:dyDescent="0.3">
      <c r="M919" s="4"/>
    </row>
    <row r="920" spans="13:13" x14ac:dyDescent="0.3">
      <c r="M920" s="4"/>
    </row>
    <row r="921" spans="13:13" x14ac:dyDescent="0.3">
      <c r="M921" s="4"/>
    </row>
    <row r="922" spans="13:13" x14ac:dyDescent="0.3">
      <c r="M922" s="4"/>
    </row>
    <row r="923" spans="13:13" x14ac:dyDescent="0.3">
      <c r="M923" s="4"/>
    </row>
    <row r="924" spans="13:13" x14ac:dyDescent="0.3">
      <c r="M924" s="4"/>
    </row>
    <row r="925" spans="13:13" x14ac:dyDescent="0.3">
      <c r="M925" s="4"/>
    </row>
    <row r="926" spans="13:13" x14ac:dyDescent="0.3">
      <c r="M926" s="4"/>
    </row>
    <row r="927" spans="13:13" x14ac:dyDescent="0.3">
      <c r="M927" s="4"/>
    </row>
    <row r="928" spans="13:13" x14ac:dyDescent="0.3">
      <c r="M928" s="4"/>
    </row>
    <row r="929" spans="13:13" x14ac:dyDescent="0.3">
      <c r="M929" s="4"/>
    </row>
    <row r="930" spans="13:13" x14ac:dyDescent="0.3">
      <c r="M930" s="4"/>
    </row>
    <row r="931" spans="13:13" x14ac:dyDescent="0.3">
      <c r="M931" s="4"/>
    </row>
    <row r="932" spans="13:13" x14ac:dyDescent="0.3">
      <c r="M932" s="4"/>
    </row>
    <row r="933" spans="13:13" x14ac:dyDescent="0.3">
      <c r="M933" s="4"/>
    </row>
    <row r="934" spans="13:13" x14ac:dyDescent="0.3">
      <c r="M934" s="4"/>
    </row>
    <row r="935" spans="13:13" x14ac:dyDescent="0.3">
      <c r="M935" s="4"/>
    </row>
    <row r="936" spans="13:13" x14ac:dyDescent="0.3">
      <c r="M936" s="4"/>
    </row>
    <row r="937" spans="13:13" x14ac:dyDescent="0.3">
      <c r="M937" s="4"/>
    </row>
    <row r="938" spans="13:13" x14ac:dyDescent="0.3">
      <c r="M938" s="4"/>
    </row>
    <row r="939" spans="13:13" x14ac:dyDescent="0.3">
      <c r="M939" s="4"/>
    </row>
    <row r="940" spans="13:13" x14ac:dyDescent="0.3">
      <c r="M940" s="4"/>
    </row>
    <row r="941" spans="13:13" x14ac:dyDescent="0.3">
      <c r="M941" s="4"/>
    </row>
    <row r="942" spans="13:13" x14ac:dyDescent="0.3">
      <c r="M942" s="4"/>
    </row>
    <row r="943" spans="13:13" x14ac:dyDescent="0.3">
      <c r="M943" s="4"/>
    </row>
    <row r="944" spans="13:13" x14ac:dyDescent="0.3">
      <c r="M944" s="4"/>
    </row>
    <row r="945" spans="13:13" x14ac:dyDescent="0.3">
      <c r="M945" s="4"/>
    </row>
    <row r="946" spans="13:13" x14ac:dyDescent="0.3">
      <c r="M946" s="4"/>
    </row>
    <row r="947" spans="13:13" x14ac:dyDescent="0.3">
      <c r="M947" s="4"/>
    </row>
    <row r="948" spans="13:13" x14ac:dyDescent="0.3">
      <c r="M948" s="4"/>
    </row>
    <row r="949" spans="13:13" x14ac:dyDescent="0.3">
      <c r="M949" s="4"/>
    </row>
    <row r="950" spans="13:13" x14ac:dyDescent="0.3">
      <c r="M950" s="4"/>
    </row>
    <row r="951" spans="13:13" x14ac:dyDescent="0.3">
      <c r="M951" s="4"/>
    </row>
    <row r="952" spans="13:13" x14ac:dyDescent="0.3">
      <c r="M952" s="4"/>
    </row>
    <row r="953" spans="13:13" x14ac:dyDescent="0.3">
      <c r="M953" s="4"/>
    </row>
    <row r="954" spans="13:13" x14ac:dyDescent="0.3">
      <c r="M954" s="4"/>
    </row>
    <row r="955" spans="13:13" x14ac:dyDescent="0.3">
      <c r="M955" s="4"/>
    </row>
    <row r="956" spans="13:13" x14ac:dyDescent="0.3">
      <c r="M956" s="4"/>
    </row>
    <row r="957" spans="13:13" x14ac:dyDescent="0.3">
      <c r="M957" s="4"/>
    </row>
    <row r="958" spans="13:13" x14ac:dyDescent="0.3">
      <c r="M958" s="4"/>
    </row>
    <row r="959" spans="13:13" x14ac:dyDescent="0.3">
      <c r="M959" s="4"/>
    </row>
    <row r="960" spans="13:13" x14ac:dyDescent="0.3">
      <c r="M960" s="4"/>
    </row>
    <row r="961" spans="13:13" x14ac:dyDescent="0.3">
      <c r="M961" s="4"/>
    </row>
    <row r="962" spans="13:13" x14ac:dyDescent="0.3">
      <c r="M962" s="4"/>
    </row>
    <row r="963" spans="13:13" x14ac:dyDescent="0.3">
      <c r="M963" s="4"/>
    </row>
    <row r="964" spans="13:13" x14ac:dyDescent="0.3">
      <c r="M964" s="4"/>
    </row>
    <row r="965" spans="13:13" x14ac:dyDescent="0.3">
      <c r="M965" s="4"/>
    </row>
    <row r="966" spans="13:13" x14ac:dyDescent="0.3">
      <c r="M966" s="4"/>
    </row>
    <row r="967" spans="13:13" x14ac:dyDescent="0.3">
      <c r="M967" s="4"/>
    </row>
    <row r="968" spans="13:13" x14ac:dyDescent="0.3">
      <c r="M968" s="4"/>
    </row>
    <row r="969" spans="13:13" x14ac:dyDescent="0.3">
      <c r="M969" s="4"/>
    </row>
    <row r="970" spans="13:13" x14ac:dyDescent="0.3">
      <c r="M970" s="4"/>
    </row>
    <row r="971" spans="13:13" x14ac:dyDescent="0.3">
      <c r="M971" s="4"/>
    </row>
    <row r="972" spans="13:13" x14ac:dyDescent="0.3">
      <c r="M972" s="4"/>
    </row>
    <row r="973" spans="13:13" x14ac:dyDescent="0.3">
      <c r="M973" s="4"/>
    </row>
    <row r="974" spans="13:13" x14ac:dyDescent="0.3">
      <c r="M974" s="4"/>
    </row>
    <row r="975" spans="13:13" x14ac:dyDescent="0.3">
      <c r="M975" s="4"/>
    </row>
    <row r="976" spans="13:13" x14ac:dyDescent="0.3">
      <c r="M976" s="4"/>
    </row>
    <row r="977" spans="13:13" x14ac:dyDescent="0.3">
      <c r="M977" s="4"/>
    </row>
    <row r="978" spans="13:13" x14ac:dyDescent="0.3">
      <c r="M978" s="4"/>
    </row>
    <row r="979" spans="13:13" x14ac:dyDescent="0.3">
      <c r="M979" s="4"/>
    </row>
    <row r="980" spans="13:13" x14ac:dyDescent="0.3">
      <c r="M980" s="4"/>
    </row>
    <row r="981" spans="13:13" x14ac:dyDescent="0.3">
      <c r="M981" s="4"/>
    </row>
    <row r="982" spans="13:13" x14ac:dyDescent="0.3">
      <c r="M982" s="4"/>
    </row>
    <row r="983" spans="13:13" x14ac:dyDescent="0.3">
      <c r="M983" s="4"/>
    </row>
    <row r="984" spans="13:13" x14ac:dyDescent="0.3">
      <c r="M984" s="4"/>
    </row>
    <row r="985" spans="13:13" x14ac:dyDescent="0.3">
      <c r="M985" s="4"/>
    </row>
    <row r="986" spans="13:13" x14ac:dyDescent="0.3">
      <c r="M986" s="4"/>
    </row>
    <row r="987" spans="13:13" x14ac:dyDescent="0.3">
      <c r="M987" s="4"/>
    </row>
    <row r="988" spans="13:13" x14ac:dyDescent="0.3">
      <c r="M988" s="4"/>
    </row>
    <row r="989" spans="13:13" x14ac:dyDescent="0.3">
      <c r="M989" s="4"/>
    </row>
    <row r="990" spans="13:13" x14ac:dyDescent="0.3">
      <c r="M990" s="4"/>
    </row>
    <row r="991" spans="13:13" x14ac:dyDescent="0.3">
      <c r="M991" s="4"/>
    </row>
    <row r="992" spans="13:13" x14ac:dyDescent="0.3">
      <c r="M992" s="4"/>
    </row>
    <row r="993" spans="13:13" x14ac:dyDescent="0.3">
      <c r="M993" s="4"/>
    </row>
    <row r="994" spans="13:13" x14ac:dyDescent="0.3">
      <c r="M994" s="4"/>
    </row>
    <row r="995" spans="13:13" x14ac:dyDescent="0.3">
      <c r="M995" s="4"/>
    </row>
    <row r="996" spans="13:13" x14ac:dyDescent="0.3">
      <c r="M996" s="4"/>
    </row>
    <row r="997" spans="13:13" x14ac:dyDescent="0.3">
      <c r="M997" s="4"/>
    </row>
    <row r="998" spans="13:13" x14ac:dyDescent="0.3">
      <c r="M998" s="4"/>
    </row>
    <row r="999" spans="13:13" x14ac:dyDescent="0.3">
      <c r="M999" s="4"/>
    </row>
    <row r="1000" spans="13:13" x14ac:dyDescent="0.3">
      <c r="M1000" s="4"/>
    </row>
    <row r="1001" spans="13:13" x14ac:dyDescent="0.3">
      <c r="M1001" s="4"/>
    </row>
    <row r="1002" spans="13:13" x14ac:dyDescent="0.3">
      <c r="M1002" s="4"/>
    </row>
    <row r="1003" spans="13:13" x14ac:dyDescent="0.3">
      <c r="M1003" s="4"/>
    </row>
    <row r="1004" spans="13:13" x14ac:dyDescent="0.3">
      <c r="M1004" s="4"/>
    </row>
    <row r="1005" spans="13:13" x14ac:dyDescent="0.3">
      <c r="M1005" s="4"/>
    </row>
    <row r="1006" spans="13:13" x14ac:dyDescent="0.3">
      <c r="M1006" s="4"/>
    </row>
    <row r="1007" spans="13:13" x14ac:dyDescent="0.3">
      <c r="M1007" s="4"/>
    </row>
    <row r="1008" spans="13:13" x14ac:dyDescent="0.3">
      <c r="M1008" s="4"/>
    </row>
    <row r="1009" spans="13:13" x14ac:dyDescent="0.3">
      <c r="M1009" s="4"/>
    </row>
    <row r="1010" spans="13:13" x14ac:dyDescent="0.3">
      <c r="M1010" s="4"/>
    </row>
    <row r="1011" spans="13:13" x14ac:dyDescent="0.3">
      <c r="M1011" s="4"/>
    </row>
    <row r="1012" spans="13:13" x14ac:dyDescent="0.3">
      <c r="M1012" s="4"/>
    </row>
    <row r="1013" spans="13:13" x14ac:dyDescent="0.3">
      <c r="M1013" s="4"/>
    </row>
    <row r="1014" spans="13:13" x14ac:dyDescent="0.3">
      <c r="M1014" s="4"/>
    </row>
    <row r="1015" spans="13:13" x14ac:dyDescent="0.3">
      <c r="M1015" s="4"/>
    </row>
    <row r="1016" spans="13:13" x14ac:dyDescent="0.3">
      <c r="M1016" s="4"/>
    </row>
    <row r="1017" spans="13:13" x14ac:dyDescent="0.3">
      <c r="M1017" s="4"/>
    </row>
    <row r="1018" spans="13:13" x14ac:dyDescent="0.3">
      <c r="M1018" s="4"/>
    </row>
    <row r="1019" spans="13:13" x14ac:dyDescent="0.3">
      <c r="M1019" s="4"/>
    </row>
    <row r="1020" spans="13:13" x14ac:dyDescent="0.3">
      <c r="M1020" s="4"/>
    </row>
    <row r="1021" spans="13:13" x14ac:dyDescent="0.3">
      <c r="M1021" s="4"/>
    </row>
    <row r="1022" spans="13:13" x14ac:dyDescent="0.3">
      <c r="M1022" s="4"/>
    </row>
    <row r="1023" spans="13:13" x14ac:dyDescent="0.3">
      <c r="M1023" s="4"/>
    </row>
    <row r="1024" spans="13:13" x14ac:dyDescent="0.3">
      <c r="M1024" s="4"/>
    </row>
    <row r="1025" spans="13:13" x14ac:dyDescent="0.3">
      <c r="M1025" s="4"/>
    </row>
    <row r="1026" spans="13:13" x14ac:dyDescent="0.3">
      <c r="M1026" s="4"/>
    </row>
    <row r="1027" spans="13:13" x14ac:dyDescent="0.3">
      <c r="M1027" s="4"/>
    </row>
    <row r="1028" spans="13:13" x14ac:dyDescent="0.3">
      <c r="M1028" s="4"/>
    </row>
    <row r="1029" spans="13:13" x14ac:dyDescent="0.3">
      <c r="M1029" s="4"/>
    </row>
    <row r="1030" spans="13:13" x14ac:dyDescent="0.3">
      <c r="M1030" s="4"/>
    </row>
    <row r="1031" spans="13:13" x14ac:dyDescent="0.3">
      <c r="M1031" s="4"/>
    </row>
    <row r="1032" spans="13:13" x14ac:dyDescent="0.3">
      <c r="M1032" s="4"/>
    </row>
    <row r="1033" spans="13:13" x14ac:dyDescent="0.3">
      <c r="M1033" s="4"/>
    </row>
    <row r="1034" spans="13:13" x14ac:dyDescent="0.3">
      <c r="M1034" s="4"/>
    </row>
    <row r="1035" spans="13:13" x14ac:dyDescent="0.3">
      <c r="M1035" s="4"/>
    </row>
    <row r="1036" spans="13:13" x14ac:dyDescent="0.3">
      <c r="M1036" s="4"/>
    </row>
    <row r="1037" spans="13:13" x14ac:dyDescent="0.3">
      <c r="M1037" s="4"/>
    </row>
    <row r="1038" spans="13:13" x14ac:dyDescent="0.3">
      <c r="M1038" s="4"/>
    </row>
    <row r="1039" spans="13:13" x14ac:dyDescent="0.3">
      <c r="M1039" s="4"/>
    </row>
    <row r="1040" spans="13:13" x14ac:dyDescent="0.3">
      <c r="M1040" s="4"/>
    </row>
    <row r="1041" spans="13:13" x14ac:dyDescent="0.3">
      <c r="M1041" s="4"/>
    </row>
    <row r="1042" spans="13:13" x14ac:dyDescent="0.3">
      <c r="M1042" s="4"/>
    </row>
    <row r="1043" spans="13:13" x14ac:dyDescent="0.3">
      <c r="M1043" s="4"/>
    </row>
    <row r="1044" spans="13:13" x14ac:dyDescent="0.3">
      <c r="M1044" s="4"/>
    </row>
    <row r="1045" spans="13:13" x14ac:dyDescent="0.3">
      <c r="M1045" s="4"/>
    </row>
    <row r="1046" spans="13:13" x14ac:dyDescent="0.3">
      <c r="M1046" s="4"/>
    </row>
    <row r="1047" spans="13:13" x14ac:dyDescent="0.3">
      <c r="M1047" s="4"/>
    </row>
    <row r="1048" spans="13:13" x14ac:dyDescent="0.3">
      <c r="M1048" s="4"/>
    </row>
    <row r="1049" spans="13:13" x14ac:dyDescent="0.3">
      <c r="M1049" s="4"/>
    </row>
    <row r="1050" spans="13:13" x14ac:dyDescent="0.3">
      <c r="M1050" s="4"/>
    </row>
    <row r="1051" spans="13:13" x14ac:dyDescent="0.3">
      <c r="M1051" s="4"/>
    </row>
    <row r="1052" spans="13:13" x14ac:dyDescent="0.3">
      <c r="M1052" s="4"/>
    </row>
    <row r="1053" spans="13:13" x14ac:dyDescent="0.3">
      <c r="M1053" s="4"/>
    </row>
    <row r="1054" spans="13:13" x14ac:dyDescent="0.3">
      <c r="M1054" s="4"/>
    </row>
    <row r="1055" spans="13:13" x14ac:dyDescent="0.3">
      <c r="M1055" s="4"/>
    </row>
    <row r="1056" spans="13:13" x14ac:dyDescent="0.3">
      <c r="M1056" s="4"/>
    </row>
    <row r="1057" spans="13:13" x14ac:dyDescent="0.3">
      <c r="M1057" s="4"/>
    </row>
    <row r="1058" spans="13:13" x14ac:dyDescent="0.3">
      <c r="M1058" s="4"/>
    </row>
    <row r="1059" spans="13:13" x14ac:dyDescent="0.3">
      <c r="M1059" s="4"/>
    </row>
    <row r="1060" spans="13:13" x14ac:dyDescent="0.3">
      <c r="M1060" s="4"/>
    </row>
    <row r="1061" spans="13:13" x14ac:dyDescent="0.3">
      <c r="M1061" s="4"/>
    </row>
    <row r="1062" spans="13:13" x14ac:dyDescent="0.3">
      <c r="M1062" s="4"/>
    </row>
    <row r="1063" spans="13:13" x14ac:dyDescent="0.3">
      <c r="M1063" s="4"/>
    </row>
    <row r="1064" spans="13:13" x14ac:dyDescent="0.3">
      <c r="M1064" s="4"/>
    </row>
    <row r="1065" spans="13:13" x14ac:dyDescent="0.3">
      <c r="M1065" s="4"/>
    </row>
    <row r="1066" spans="13:13" x14ac:dyDescent="0.3">
      <c r="M1066" s="4"/>
    </row>
    <row r="1067" spans="13:13" x14ac:dyDescent="0.3">
      <c r="M1067" s="4"/>
    </row>
    <row r="1068" spans="13:13" x14ac:dyDescent="0.3">
      <c r="M1068" s="4"/>
    </row>
    <row r="1069" spans="13:13" x14ac:dyDescent="0.3">
      <c r="M1069" s="4"/>
    </row>
    <row r="1070" spans="13:13" x14ac:dyDescent="0.3">
      <c r="M1070" s="4"/>
    </row>
    <row r="1071" spans="13:13" x14ac:dyDescent="0.3">
      <c r="M1071" s="4"/>
    </row>
    <row r="1072" spans="13:13" x14ac:dyDescent="0.3">
      <c r="M1072" s="4"/>
    </row>
  </sheetData>
  <sheetProtection password="C626" sheet="1" objects="1" scenarios="1"/>
  <customSheetViews>
    <customSheetView guid="{6E28C1C2-2488-40F5-AD70-D4C724F64D78}" scale="70">
      <pane xSplit="6" ySplit="3" topLeftCell="G4" activePane="bottomRight" state="frozen"/>
      <selection pane="bottomRight" activeCell="AH15" sqref="AH15"/>
      <pageMargins left="0.7" right="0.7" top="0.75" bottom="0.75" header="0.511811023622047" footer="0.511811023622047"/>
      <pageSetup orientation="portrait" horizontalDpi="300" verticalDpi="300" r:id="rId1"/>
    </customSheetView>
  </customSheetViews>
  <mergeCells count="17">
    <mergeCell ref="AD3:AE3"/>
    <mergeCell ref="AF3:AG3"/>
    <mergeCell ref="AH3:AI3"/>
    <mergeCell ref="A1:F1"/>
    <mergeCell ref="AS2:AY2"/>
    <mergeCell ref="AT3:AU3"/>
    <mergeCell ref="A2:F2"/>
    <mergeCell ref="G3:H3"/>
    <mergeCell ref="J3:K3"/>
    <mergeCell ref="M3:N3"/>
    <mergeCell ref="O3:P3"/>
    <mergeCell ref="Q3:R3"/>
    <mergeCell ref="S3:T3"/>
    <mergeCell ref="Z3:AA3"/>
    <mergeCell ref="AB3:AC3"/>
    <mergeCell ref="G2:AM2"/>
    <mergeCell ref="AN2:AP2"/>
  </mergeCells>
  <phoneticPr fontId="15" type="noConversion"/>
  <dataValidations xWindow="983" yWindow="489" count="26">
    <dataValidation type="list" allowBlank="1" showInputMessage="1" showErrorMessage="1" sqref="AU4:AU503">
      <formula1>LOAI_THE</formula1>
    </dataValidation>
    <dataValidation type="list" allowBlank="1" showInputMessage="1" showErrorMessage="1" sqref="AY4:AY503">
      <formula1>DOI_TUONG_MIEN_PHI</formula1>
    </dataValidation>
    <dataValidation type="list" allowBlank="1" showInputMessage="1" showErrorMessage="1" sqref="H4:H1503">
      <formula1>GIOI_TINH</formula1>
      <formula2>0</formula2>
    </dataValidation>
    <dataValidation type="list" allowBlank="1" showInputMessage="1" showErrorMessage="1" sqref="K4:K1503 AE4:AE1503">
      <formula1>QUOC_GIA</formula1>
      <formula2>0</formula2>
    </dataValidation>
    <dataValidation type="list" allowBlank="1" showInputMessage="1" showErrorMessage="1" sqref="N4:N1503">
      <formula1>LOAI_THUE</formula1>
      <formula2>0</formula2>
    </dataValidation>
    <dataValidation type="list" allowBlank="1" showInputMessage="1" showErrorMessage="1" sqref="T4:T1503">
      <formula1>LOAI_ID</formula1>
      <formula2>0</formula2>
    </dataValidation>
    <dataValidation type="list" allowBlank="1" showInputMessage="1" showErrorMessage="1" sqref="AA504:AA1503">
      <formula1>NOI_CAP</formula1>
      <formula2>0</formula2>
    </dataValidation>
    <dataValidation type="list" allowBlank="1" showInputMessage="1" showErrorMessage="1" sqref="P4:P1503">
      <formula1>CHI_TIET_LOAI_KH</formula1>
      <formula2>0</formula2>
    </dataValidation>
    <dataValidation type="list" allowBlank="1" showInputMessage="1" showErrorMessage="1" sqref="R4:R1503">
      <formula1>NGHE_NGHIEP</formula1>
      <formula2>0</formula2>
    </dataValidation>
    <dataValidation type="list" allowBlank="1" showInputMessage="1" showErrorMessage="1" sqref="AC4:AC1503">
      <formula1>LOAI_DIA_CHI</formula1>
      <formula2>0</formula2>
    </dataValidation>
    <dataValidation type="list" allowBlank="1" showInputMessage="1" showErrorMessage="1" sqref="AG504:AG1503">
      <formula1>TINH_TP</formula1>
      <formula2>0</formula2>
    </dataValidation>
    <dataValidation type="list" allowBlank="1" showInputMessage="1" showErrorMessage="1" sqref="AI504:AI1503">
      <formula1>PHUONG_XA</formula1>
      <formula2>0</formula2>
    </dataValidation>
    <dataValidation type="textLength" operator="lessThan" allowBlank="1" showInputMessage="1" showErrorMessage="1" error="Tên viết tắt tiếng anh nhập tối đa 35 ký tự" sqref="E4:E503">
      <formula1>35</formula1>
    </dataValidation>
    <dataValidation type="textLength" operator="lessThan" allowBlank="1" showInputMessage="1" showErrorMessage="1" error="Tên tiếng anh nhập tối đa 50 ký tự" sqref="D4:D503">
      <formula1>50</formula1>
    </dataValidation>
    <dataValidation type="textLength" operator="lessThan" allowBlank="1" showInputMessage="1" showErrorMessage="1" error="Tên viết tắt nhập tối đa 35 ký tự" sqref="C4:C503">
      <formula1>35</formula1>
    </dataValidation>
    <dataValidation type="textLength" operator="lessThan" allowBlank="1" showInputMessage="1" showErrorMessage="1" error="Tên tiếng việt nhập tối đa 50 ký tự" sqref="B4:B503">
      <formula1>50</formula1>
    </dataValidation>
    <dataValidation type="textLength" operator="lessThan" allowBlank="1" showInputMessage="1" showErrorMessage="1" error="Số DTDĐ không nhập quá 10 ký tự" sqref="I4:I503">
      <formula1>11</formula1>
    </dataValidation>
    <dataValidation type="textLength" operator="lessThan" allowBlank="1" showInputMessage="1" showErrorMessage="1" error="Số ID nhập tối đa 20 ký tự" sqref="U4:V503">
      <formula1>20</formula1>
    </dataValidation>
    <dataValidation type="textLength" operator="lessThan" allowBlank="1" showInputMessage="1" showErrorMessage="1" errorTitle="Invalid data" error="Địa chỉ 1 nhập tối đa 35 ký tự" sqref="AJ4:AJ503">
      <formula1>35</formula1>
    </dataValidation>
    <dataValidation type="textLength" operator="lessThan" allowBlank="1" showInputMessage="1" showErrorMessage="1" error="Địa chỉ 3 nhập tối đa 35 ký tự" sqref="AK4:AK503">
      <formula1>35</formula1>
    </dataValidation>
    <dataValidation allowBlank="1" showInputMessage="1" showErrorMessage="1" error="Địa chỉ 3 nhập tối đa 35 ký tự" sqref="AL4:AL503"/>
    <dataValidation type="textLength" operator="lessThan" allowBlank="1" showInputMessage="1" showErrorMessage="1" errorTitle="valid note account" error="Ghi chú không vượt quá 200 ký tự" sqref="AP4:AP503">
      <formula1>200</formula1>
    </dataValidation>
    <dataValidation type="list" allowBlank="1" showInputMessage="1" showErrorMessage="1" sqref="AV4:AV503">
      <formula1>HINH_THUC_NHAN</formula1>
    </dataValidation>
    <dataValidation type="list" allowBlank="1" showInputMessage="1" showErrorMessage="1" sqref="AW4:AW503">
      <formula1>HINH_THUC_PHAT_HANH</formula1>
    </dataValidation>
    <dataValidation type="list" allowBlank="1" showInputMessage="1" showErrorMessage="1" sqref="AX4:AX503">
      <formula1>BAO_HIEM_ABIC</formula1>
    </dataValidation>
    <dataValidation type="textLength" operator="lessThanOrEqual" allowBlank="1" showInputMessage="1" showErrorMessage="1" error="Email nhập tối đa 35 ký tự" sqref="AM5:AM6 AM7:AM503">
      <formula1>35</formula1>
    </dataValidation>
  </dataValidations>
  <pageMargins left="0.7" right="0.7" top="0.75" bottom="0.75" header="0.511811023622047" footer="0.511811023622047"/>
  <pageSetup orientation="portrait" horizontalDpi="300" verticalDpi="30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35"/>
  <sheetViews>
    <sheetView topLeftCell="A20" zoomScaleNormal="100" workbookViewId="0">
      <selection activeCell="D31" sqref="D31"/>
    </sheetView>
  </sheetViews>
  <sheetFormatPr defaultColWidth="8.7109375" defaultRowHeight="15" x14ac:dyDescent="0.25"/>
  <cols>
    <col min="1" max="1" width="9.140625" style="23" customWidth="1"/>
    <col min="2" max="2" width="21.5703125" style="23" bestFit="1" customWidth="1"/>
    <col min="3" max="3" width="15.42578125" style="23" customWidth="1"/>
  </cols>
  <sheetData>
    <row r="1" spans="1:3" x14ac:dyDescent="0.25">
      <c r="A1" s="36" t="s">
        <v>39</v>
      </c>
      <c r="B1" s="36" t="s">
        <v>40</v>
      </c>
      <c r="C1" s="36" t="s">
        <v>795</v>
      </c>
    </row>
    <row r="2" spans="1:3" x14ac:dyDescent="0.25">
      <c r="A2" s="37" t="s">
        <v>45</v>
      </c>
      <c r="B2" s="37" t="s">
        <v>23</v>
      </c>
      <c r="C2" s="37" t="s">
        <v>794</v>
      </c>
    </row>
    <row r="3" spans="1:3" x14ac:dyDescent="0.25">
      <c r="A3" s="37" t="s">
        <v>279</v>
      </c>
      <c r="B3" s="37" t="s">
        <v>796</v>
      </c>
      <c r="C3" s="37" t="s">
        <v>794</v>
      </c>
    </row>
    <row r="4" spans="1:3" x14ac:dyDescent="0.25">
      <c r="A4" s="37" t="s">
        <v>319</v>
      </c>
      <c r="B4" s="37" t="s">
        <v>797</v>
      </c>
      <c r="C4" s="37" t="s">
        <v>794</v>
      </c>
    </row>
    <row r="5" spans="1:3" x14ac:dyDescent="0.25">
      <c r="A5" s="37" t="s">
        <v>339</v>
      </c>
      <c r="B5" s="37" t="s">
        <v>798</v>
      </c>
      <c r="C5" s="37" t="s">
        <v>794</v>
      </c>
    </row>
    <row r="6" spans="1:3" x14ac:dyDescent="0.25">
      <c r="A6" s="37" t="s">
        <v>379</v>
      </c>
      <c r="B6" s="37" t="s">
        <v>799</v>
      </c>
      <c r="C6" s="37" t="s">
        <v>794</v>
      </c>
    </row>
    <row r="7" spans="1:3" x14ac:dyDescent="0.25">
      <c r="A7" s="23" t="s">
        <v>419</v>
      </c>
      <c r="B7" s="23" t="s">
        <v>800</v>
      </c>
      <c r="C7" s="37" t="s">
        <v>794</v>
      </c>
    </row>
    <row r="8" spans="1:3" x14ac:dyDescent="0.25">
      <c r="A8" s="23" t="s">
        <v>439</v>
      </c>
      <c r="B8" s="23" t="s">
        <v>801</v>
      </c>
      <c r="C8" s="37" t="s">
        <v>794</v>
      </c>
    </row>
    <row r="9" spans="1:3" x14ac:dyDescent="0.25">
      <c r="A9" s="23" t="s">
        <v>459</v>
      </c>
      <c r="B9" s="23" t="s">
        <v>802</v>
      </c>
      <c r="C9" s="37" t="s">
        <v>794</v>
      </c>
    </row>
    <row r="10" spans="1:3" x14ac:dyDescent="0.25">
      <c r="A10" s="23" t="s">
        <v>478</v>
      </c>
      <c r="B10" s="23" t="s">
        <v>803</v>
      </c>
      <c r="C10" s="37" t="s">
        <v>794</v>
      </c>
    </row>
    <row r="11" spans="1:3" x14ac:dyDescent="0.25">
      <c r="A11" s="23" t="s">
        <v>498</v>
      </c>
      <c r="B11" s="23" t="s">
        <v>13813</v>
      </c>
      <c r="C11" s="37" t="s">
        <v>794</v>
      </c>
    </row>
    <row r="12" spans="1:3" x14ac:dyDescent="0.25">
      <c r="A12" s="23" t="s">
        <v>518</v>
      </c>
      <c r="B12" s="23" t="s">
        <v>804</v>
      </c>
      <c r="C12" s="37" t="s">
        <v>794</v>
      </c>
    </row>
    <row r="13" spans="1:3" x14ac:dyDescent="0.25">
      <c r="A13" s="23" t="s">
        <v>558</v>
      </c>
      <c r="B13" s="23" t="s">
        <v>805</v>
      </c>
      <c r="C13" s="37" t="s">
        <v>794</v>
      </c>
    </row>
    <row r="14" spans="1:3" x14ac:dyDescent="0.25">
      <c r="A14" s="23" t="s">
        <v>598</v>
      </c>
      <c r="B14" s="23" t="s">
        <v>13814</v>
      </c>
      <c r="C14" s="37" t="s">
        <v>794</v>
      </c>
    </row>
    <row r="15" spans="1:3" x14ac:dyDescent="0.25">
      <c r="A15" s="23" t="s">
        <v>618</v>
      </c>
      <c r="B15" s="23" t="s">
        <v>806</v>
      </c>
      <c r="C15" s="37" t="s">
        <v>794</v>
      </c>
    </row>
    <row r="16" spans="1:3" x14ac:dyDescent="0.25">
      <c r="A16" s="23" t="s">
        <v>705</v>
      </c>
      <c r="B16" s="23" t="s">
        <v>807</v>
      </c>
      <c r="C16" s="37" t="s">
        <v>794</v>
      </c>
    </row>
    <row r="17" spans="1:3" x14ac:dyDescent="0.25">
      <c r="A17" s="23" t="s">
        <v>722</v>
      </c>
      <c r="B17" s="23" t="s">
        <v>808</v>
      </c>
      <c r="C17" s="37" t="s">
        <v>794</v>
      </c>
    </row>
    <row r="18" spans="1:3" x14ac:dyDescent="0.25">
      <c r="A18" s="23" t="s">
        <v>741</v>
      </c>
      <c r="B18" s="23" t="s">
        <v>809</v>
      </c>
      <c r="C18" s="37" t="s">
        <v>794</v>
      </c>
    </row>
    <row r="19" spans="1:3" x14ac:dyDescent="0.25">
      <c r="A19" s="23" t="s">
        <v>753</v>
      </c>
      <c r="B19" s="23" t="s">
        <v>810</v>
      </c>
      <c r="C19" s="37" t="s">
        <v>794</v>
      </c>
    </row>
    <row r="20" spans="1:3" x14ac:dyDescent="0.25">
      <c r="A20" s="23" t="s">
        <v>811</v>
      </c>
      <c r="B20" s="23" t="s">
        <v>812</v>
      </c>
      <c r="C20" s="37" t="s">
        <v>794</v>
      </c>
    </row>
    <row r="21" spans="1:3" x14ac:dyDescent="0.25">
      <c r="A21" s="23" t="s">
        <v>813</v>
      </c>
      <c r="B21" s="23" t="s">
        <v>814</v>
      </c>
      <c r="C21" s="37" t="s">
        <v>794</v>
      </c>
    </row>
    <row r="22" spans="1:3" x14ac:dyDescent="0.25">
      <c r="A22" s="23" t="s">
        <v>815</v>
      </c>
      <c r="B22" s="23" t="s">
        <v>816</v>
      </c>
      <c r="C22" s="37" t="s">
        <v>794</v>
      </c>
    </row>
    <row r="23" spans="1:3" x14ac:dyDescent="0.25">
      <c r="A23" s="23" t="s">
        <v>817</v>
      </c>
      <c r="B23" s="23" t="s">
        <v>818</v>
      </c>
      <c r="C23" s="37" t="s">
        <v>794</v>
      </c>
    </row>
    <row r="24" spans="1:3" x14ac:dyDescent="0.25">
      <c r="A24" s="23" t="s">
        <v>819</v>
      </c>
      <c r="B24" s="23" t="s">
        <v>820</v>
      </c>
      <c r="C24" s="37" t="s">
        <v>794</v>
      </c>
    </row>
    <row r="25" spans="1:3" x14ac:dyDescent="0.25">
      <c r="A25" s="23" t="s">
        <v>821</v>
      </c>
      <c r="B25" s="23" t="s">
        <v>822</v>
      </c>
      <c r="C25" s="37" t="s">
        <v>794</v>
      </c>
    </row>
    <row r="26" spans="1:3" x14ac:dyDescent="0.25">
      <c r="A26" s="23" t="s">
        <v>823</v>
      </c>
      <c r="B26" s="23" t="s">
        <v>824</v>
      </c>
      <c r="C26" s="37" t="s">
        <v>794</v>
      </c>
    </row>
    <row r="27" spans="1:3" x14ac:dyDescent="0.25">
      <c r="A27" s="23" t="s">
        <v>825</v>
      </c>
      <c r="B27" s="23" t="s">
        <v>826</v>
      </c>
      <c r="C27" s="37" t="s">
        <v>794</v>
      </c>
    </row>
    <row r="28" spans="1:3" x14ac:dyDescent="0.25">
      <c r="A28" s="23" t="s">
        <v>827</v>
      </c>
      <c r="B28" s="23" t="s">
        <v>828</v>
      </c>
      <c r="C28" s="37" t="s">
        <v>794</v>
      </c>
    </row>
    <row r="29" spans="1:3" x14ac:dyDescent="0.25">
      <c r="A29" s="23" t="s">
        <v>829</v>
      </c>
      <c r="B29" s="23" t="s">
        <v>830</v>
      </c>
      <c r="C29" s="37" t="s">
        <v>794</v>
      </c>
    </row>
    <row r="30" spans="1:3" x14ac:dyDescent="0.25">
      <c r="A30" s="23" t="s">
        <v>831</v>
      </c>
      <c r="B30" s="23" t="s">
        <v>13821</v>
      </c>
      <c r="C30" s="37" t="s">
        <v>794</v>
      </c>
    </row>
    <row r="31" spans="1:3" x14ac:dyDescent="0.25">
      <c r="A31" s="23" t="s">
        <v>832</v>
      </c>
      <c r="B31" s="23" t="s">
        <v>833</v>
      </c>
      <c r="C31" s="37" t="s">
        <v>794</v>
      </c>
    </row>
    <row r="32" spans="1:3" x14ac:dyDescent="0.25">
      <c r="A32" s="23" t="s">
        <v>834</v>
      </c>
      <c r="B32" s="23" t="s">
        <v>835</v>
      </c>
      <c r="C32" s="37" t="s">
        <v>794</v>
      </c>
    </row>
    <row r="33" spans="1:3" x14ac:dyDescent="0.25">
      <c r="A33" s="23" t="s">
        <v>836</v>
      </c>
      <c r="B33" s="23" t="s">
        <v>837</v>
      </c>
      <c r="C33" s="37" t="s">
        <v>794</v>
      </c>
    </row>
    <row r="34" spans="1:3" x14ac:dyDescent="0.25">
      <c r="A34" s="23" t="s">
        <v>838</v>
      </c>
      <c r="B34" s="23" t="s">
        <v>839</v>
      </c>
      <c r="C34" s="37" t="s">
        <v>794</v>
      </c>
    </row>
    <row r="35" spans="1:3" x14ac:dyDescent="0.25">
      <c r="A35" s="23" t="s">
        <v>840</v>
      </c>
      <c r="B35" s="23" t="s">
        <v>841</v>
      </c>
      <c r="C35" s="37" t="s">
        <v>794</v>
      </c>
    </row>
  </sheetData>
  <sheetProtection password="E0B1" sheet="1" objects="1" scenarios="1" selectLockedCells="1" autoFilter="0"/>
  <autoFilter ref="A1:C35"/>
  <customSheetViews>
    <customSheetView guid="{6E28C1C2-2488-40F5-AD70-D4C724F64D78}" showAutoFilter="1">
      <selection activeCell="B14" sqref="B14"/>
      <pageMargins left="0.7" right="0.7" top="0.75" bottom="0.75" header="0.511811023622047" footer="0.511811023622047"/>
      <pageSetup orientation="portrait" horizontalDpi="300" verticalDpi="300"/>
      <autoFilter ref="A1:C35"/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filterMode="1"/>
  <dimension ref="A1:C3323"/>
  <sheetViews>
    <sheetView zoomScaleNormal="100" workbookViewId="0">
      <selection activeCell="B5" sqref="B5"/>
    </sheetView>
  </sheetViews>
  <sheetFormatPr defaultColWidth="8.7109375" defaultRowHeight="15" x14ac:dyDescent="0.25"/>
  <cols>
    <col min="1" max="1" width="11.7109375" style="38" customWidth="1"/>
    <col min="2" max="2" width="19" style="21" customWidth="1"/>
    <col min="3" max="3" width="11" style="38" customWidth="1"/>
  </cols>
  <sheetData>
    <row r="1" spans="1:3" x14ac:dyDescent="0.25">
      <c r="A1" s="39" t="s">
        <v>39</v>
      </c>
      <c r="B1" s="39" t="s">
        <v>40</v>
      </c>
      <c r="C1" s="39" t="s">
        <v>842</v>
      </c>
    </row>
    <row r="2" spans="1:3" hidden="1" x14ac:dyDescent="0.25">
      <c r="A2" s="52" t="s">
        <v>843</v>
      </c>
      <c r="B2" s="52" t="s">
        <v>4562</v>
      </c>
      <c r="C2" s="52" t="s">
        <v>45</v>
      </c>
    </row>
    <row r="3" spans="1:3" hidden="1" x14ac:dyDescent="0.25">
      <c r="A3" s="52" t="s">
        <v>844</v>
      </c>
      <c r="B3" s="52" t="s">
        <v>4563</v>
      </c>
      <c r="C3" s="52" t="s">
        <v>45</v>
      </c>
    </row>
    <row r="4" spans="1:3" hidden="1" x14ac:dyDescent="0.25">
      <c r="A4" s="52" t="s">
        <v>845</v>
      </c>
      <c r="B4" s="52" t="s">
        <v>4564</v>
      </c>
      <c r="C4" s="52" t="s">
        <v>45</v>
      </c>
    </row>
    <row r="5" spans="1:3" hidden="1" x14ac:dyDescent="0.25">
      <c r="A5" s="52" t="s">
        <v>846</v>
      </c>
      <c r="B5" s="52" t="s">
        <v>4565</v>
      </c>
      <c r="C5" s="52" t="s">
        <v>45</v>
      </c>
    </row>
    <row r="6" spans="1:3" hidden="1" x14ac:dyDescent="0.25">
      <c r="A6" s="52" t="s">
        <v>847</v>
      </c>
      <c r="B6" s="52" t="s">
        <v>4566</v>
      </c>
      <c r="C6" s="52" t="s">
        <v>45</v>
      </c>
    </row>
    <row r="7" spans="1:3" hidden="1" x14ac:dyDescent="0.25">
      <c r="A7" s="52" t="s">
        <v>848</v>
      </c>
      <c r="B7" s="52" t="s">
        <v>4567</v>
      </c>
      <c r="C7" s="52" t="s">
        <v>45</v>
      </c>
    </row>
    <row r="8" spans="1:3" hidden="1" x14ac:dyDescent="0.25">
      <c r="A8" s="52" t="s">
        <v>849</v>
      </c>
      <c r="B8" s="52" t="s">
        <v>4568</v>
      </c>
      <c r="C8" s="52" t="s">
        <v>45</v>
      </c>
    </row>
    <row r="9" spans="1:3" hidden="1" x14ac:dyDescent="0.25">
      <c r="A9" s="52" t="s">
        <v>850</v>
      </c>
      <c r="B9" s="52" t="s">
        <v>4569</v>
      </c>
      <c r="C9" s="52" t="s">
        <v>45</v>
      </c>
    </row>
    <row r="10" spans="1:3" hidden="1" x14ac:dyDescent="0.25">
      <c r="A10" s="52" t="s">
        <v>851</v>
      </c>
      <c r="B10" s="52" t="s">
        <v>4570</v>
      </c>
      <c r="C10" s="52" t="s">
        <v>45</v>
      </c>
    </row>
    <row r="11" spans="1:3" hidden="1" x14ac:dyDescent="0.25">
      <c r="A11" s="52" t="s">
        <v>852</v>
      </c>
      <c r="B11" s="52" t="s">
        <v>4571</v>
      </c>
      <c r="C11" s="52" t="s">
        <v>45</v>
      </c>
    </row>
    <row r="12" spans="1:3" hidden="1" x14ac:dyDescent="0.25">
      <c r="A12" s="52" t="s">
        <v>853</v>
      </c>
      <c r="B12" s="52" t="s">
        <v>4572</v>
      </c>
      <c r="C12" s="52" t="s">
        <v>45</v>
      </c>
    </row>
    <row r="13" spans="1:3" hidden="1" x14ac:dyDescent="0.25">
      <c r="A13" s="52" t="s">
        <v>854</v>
      </c>
      <c r="B13" s="52" t="s">
        <v>4573</v>
      </c>
      <c r="C13" s="52" t="s">
        <v>45</v>
      </c>
    </row>
    <row r="14" spans="1:3" hidden="1" x14ac:dyDescent="0.25">
      <c r="A14" s="52" t="s">
        <v>855</v>
      </c>
      <c r="B14" s="52" t="s">
        <v>4574</v>
      </c>
      <c r="C14" s="52" t="s">
        <v>45</v>
      </c>
    </row>
    <row r="15" spans="1:3" hidden="1" x14ac:dyDescent="0.25">
      <c r="A15" s="52" t="s">
        <v>856</v>
      </c>
      <c r="B15" s="52" t="s">
        <v>4575</v>
      </c>
      <c r="C15" s="52" t="s">
        <v>45</v>
      </c>
    </row>
    <row r="16" spans="1:3" hidden="1" x14ac:dyDescent="0.25">
      <c r="A16" s="52" t="s">
        <v>857</v>
      </c>
      <c r="B16" s="52" t="s">
        <v>4576</v>
      </c>
      <c r="C16" s="52" t="s">
        <v>45</v>
      </c>
    </row>
    <row r="17" spans="1:3" hidden="1" x14ac:dyDescent="0.25">
      <c r="A17" s="52" t="s">
        <v>858</v>
      </c>
      <c r="B17" s="52" t="s">
        <v>4577</v>
      </c>
      <c r="C17" s="52" t="s">
        <v>45</v>
      </c>
    </row>
    <row r="18" spans="1:3" hidden="1" x14ac:dyDescent="0.25">
      <c r="A18" s="52" t="s">
        <v>859</v>
      </c>
      <c r="B18" s="52" t="s">
        <v>4578</v>
      </c>
      <c r="C18" s="52" t="s">
        <v>45</v>
      </c>
    </row>
    <row r="19" spans="1:3" hidden="1" x14ac:dyDescent="0.25">
      <c r="A19" s="52" t="s">
        <v>860</v>
      </c>
      <c r="B19" s="52" t="s">
        <v>4579</v>
      </c>
      <c r="C19" s="52" t="s">
        <v>45</v>
      </c>
    </row>
    <row r="20" spans="1:3" hidden="1" x14ac:dyDescent="0.25">
      <c r="A20" s="52" t="s">
        <v>861</v>
      </c>
      <c r="B20" s="52" t="s">
        <v>4580</v>
      </c>
      <c r="C20" s="52" t="s">
        <v>45</v>
      </c>
    </row>
    <row r="21" spans="1:3" hidden="1" x14ac:dyDescent="0.25">
      <c r="A21" s="52" t="s">
        <v>862</v>
      </c>
      <c r="B21" s="52" t="s">
        <v>4581</v>
      </c>
      <c r="C21" s="52" t="s">
        <v>45</v>
      </c>
    </row>
    <row r="22" spans="1:3" hidden="1" x14ac:dyDescent="0.25">
      <c r="A22" s="52" t="s">
        <v>863</v>
      </c>
      <c r="B22" s="52" t="s">
        <v>4582</v>
      </c>
      <c r="C22" s="52" t="s">
        <v>45</v>
      </c>
    </row>
    <row r="23" spans="1:3" hidden="1" x14ac:dyDescent="0.25">
      <c r="A23" s="52" t="s">
        <v>864</v>
      </c>
      <c r="B23" s="52" t="s">
        <v>4583</v>
      </c>
      <c r="C23" s="52" t="s">
        <v>45</v>
      </c>
    </row>
    <row r="24" spans="1:3" hidden="1" x14ac:dyDescent="0.25">
      <c r="A24" s="52" t="s">
        <v>865</v>
      </c>
      <c r="B24" s="52" t="s">
        <v>4584</v>
      </c>
      <c r="C24" s="52" t="s">
        <v>45</v>
      </c>
    </row>
    <row r="25" spans="1:3" hidden="1" x14ac:dyDescent="0.25">
      <c r="A25" s="52" t="s">
        <v>866</v>
      </c>
      <c r="B25" s="52" t="s">
        <v>4585</v>
      </c>
      <c r="C25" s="52" t="s">
        <v>45</v>
      </c>
    </row>
    <row r="26" spans="1:3" hidden="1" x14ac:dyDescent="0.25">
      <c r="A26" s="52" t="s">
        <v>867</v>
      </c>
      <c r="B26" s="52" t="s">
        <v>4586</v>
      </c>
      <c r="C26" s="52" t="s">
        <v>45</v>
      </c>
    </row>
    <row r="27" spans="1:3" hidden="1" x14ac:dyDescent="0.25">
      <c r="A27" s="52" t="s">
        <v>868</v>
      </c>
      <c r="B27" s="52" t="s">
        <v>4587</v>
      </c>
      <c r="C27" s="52" t="s">
        <v>45</v>
      </c>
    </row>
    <row r="28" spans="1:3" hidden="1" x14ac:dyDescent="0.25">
      <c r="A28" s="52" t="s">
        <v>869</v>
      </c>
      <c r="B28" s="52" t="s">
        <v>4588</v>
      </c>
      <c r="C28" s="52" t="s">
        <v>45</v>
      </c>
    </row>
    <row r="29" spans="1:3" hidden="1" x14ac:dyDescent="0.25">
      <c r="A29" s="52" t="s">
        <v>870</v>
      </c>
      <c r="B29" s="52" t="s">
        <v>4589</v>
      </c>
      <c r="C29" s="52" t="s">
        <v>45</v>
      </c>
    </row>
    <row r="30" spans="1:3" hidden="1" x14ac:dyDescent="0.25">
      <c r="A30" s="52" t="s">
        <v>871</v>
      </c>
      <c r="B30" s="52" t="s">
        <v>4590</v>
      </c>
      <c r="C30" s="52" t="s">
        <v>45</v>
      </c>
    </row>
    <row r="31" spans="1:3" hidden="1" x14ac:dyDescent="0.25">
      <c r="A31" s="52" t="s">
        <v>872</v>
      </c>
      <c r="B31" s="52" t="s">
        <v>4591</v>
      </c>
      <c r="C31" s="52" t="s">
        <v>45</v>
      </c>
    </row>
    <row r="32" spans="1:3" hidden="1" x14ac:dyDescent="0.25">
      <c r="A32" s="52" t="s">
        <v>873</v>
      </c>
      <c r="B32" s="52" t="s">
        <v>4592</v>
      </c>
      <c r="C32" s="52" t="s">
        <v>45</v>
      </c>
    </row>
    <row r="33" spans="1:3" hidden="1" x14ac:dyDescent="0.25">
      <c r="A33" s="52" t="s">
        <v>874</v>
      </c>
      <c r="B33" s="52" t="s">
        <v>4593</v>
      </c>
      <c r="C33" s="52" t="s">
        <v>45</v>
      </c>
    </row>
    <row r="34" spans="1:3" hidden="1" x14ac:dyDescent="0.25">
      <c r="A34" s="52" t="s">
        <v>875</v>
      </c>
      <c r="B34" s="52" t="s">
        <v>4594</v>
      </c>
      <c r="C34" s="52" t="s">
        <v>45</v>
      </c>
    </row>
    <row r="35" spans="1:3" hidden="1" x14ac:dyDescent="0.25">
      <c r="A35" s="52" t="s">
        <v>876</v>
      </c>
      <c r="B35" s="52" t="s">
        <v>4595</v>
      </c>
      <c r="C35" s="52" t="s">
        <v>45</v>
      </c>
    </row>
    <row r="36" spans="1:3" hidden="1" x14ac:dyDescent="0.25">
      <c r="A36" s="52" t="s">
        <v>877</v>
      </c>
      <c r="B36" s="52" t="s">
        <v>4596</v>
      </c>
      <c r="C36" s="52" t="s">
        <v>45</v>
      </c>
    </row>
    <row r="37" spans="1:3" hidden="1" x14ac:dyDescent="0.25">
      <c r="A37" s="52" t="s">
        <v>878</v>
      </c>
      <c r="B37" s="52" t="s">
        <v>4597</v>
      </c>
      <c r="C37" s="52" t="s">
        <v>45</v>
      </c>
    </row>
    <row r="38" spans="1:3" hidden="1" x14ac:dyDescent="0.25">
      <c r="A38" s="52" t="s">
        <v>879</v>
      </c>
      <c r="B38" s="52" t="s">
        <v>4598</v>
      </c>
      <c r="C38" s="52" t="s">
        <v>45</v>
      </c>
    </row>
    <row r="39" spans="1:3" hidden="1" x14ac:dyDescent="0.25">
      <c r="A39" s="52" t="s">
        <v>880</v>
      </c>
      <c r="B39" s="52" t="s">
        <v>4599</v>
      </c>
      <c r="C39" s="52" t="s">
        <v>45</v>
      </c>
    </row>
    <row r="40" spans="1:3" hidden="1" x14ac:dyDescent="0.25">
      <c r="A40" s="52" t="s">
        <v>881</v>
      </c>
      <c r="B40" s="52" t="s">
        <v>4600</v>
      </c>
      <c r="C40" s="52" t="s">
        <v>45</v>
      </c>
    </row>
    <row r="41" spans="1:3" hidden="1" x14ac:dyDescent="0.25">
      <c r="A41" s="52" t="s">
        <v>882</v>
      </c>
      <c r="B41" s="52" t="s">
        <v>4601</v>
      </c>
      <c r="C41" s="52" t="s">
        <v>45</v>
      </c>
    </row>
    <row r="42" spans="1:3" hidden="1" x14ac:dyDescent="0.25">
      <c r="A42" s="52" t="s">
        <v>883</v>
      </c>
      <c r="B42" s="52" t="s">
        <v>4602</v>
      </c>
      <c r="C42" s="52" t="s">
        <v>45</v>
      </c>
    </row>
    <row r="43" spans="1:3" hidden="1" x14ac:dyDescent="0.25">
      <c r="A43" s="52" t="s">
        <v>884</v>
      </c>
      <c r="B43" s="52" t="s">
        <v>4603</v>
      </c>
      <c r="C43" s="52" t="s">
        <v>45</v>
      </c>
    </row>
    <row r="44" spans="1:3" hidden="1" x14ac:dyDescent="0.25">
      <c r="A44" s="52" t="s">
        <v>885</v>
      </c>
      <c r="B44" s="52" t="s">
        <v>4604</v>
      </c>
      <c r="C44" s="52" t="s">
        <v>45</v>
      </c>
    </row>
    <row r="45" spans="1:3" hidden="1" x14ac:dyDescent="0.25">
      <c r="A45" s="52" t="s">
        <v>886</v>
      </c>
      <c r="B45" s="52" t="s">
        <v>4605</v>
      </c>
      <c r="C45" s="52" t="s">
        <v>45</v>
      </c>
    </row>
    <row r="46" spans="1:3" hidden="1" x14ac:dyDescent="0.25">
      <c r="A46" s="52" t="s">
        <v>887</v>
      </c>
      <c r="B46" s="52" t="s">
        <v>4606</v>
      </c>
      <c r="C46" s="52" t="s">
        <v>45</v>
      </c>
    </row>
    <row r="47" spans="1:3" hidden="1" x14ac:dyDescent="0.25">
      <c r="A47" s="52" t="s">
        <v>888</v>
      </c>
      <c r="B47" s="52" t="s">
        <v>4607</v>
      </c>
      <c r="C47" s="52" t="s">
        <v>45</v>
      </c>
    </row>
    <row r="48" spans="1:3" hidden="1" x14ac:dyDescent="0.25">
      <c r="A48" s="52" t="s">
        <v>889</v>
      </c>
      <c r="B48" s="52" t="s">
        <v>4608</v>
      </c>
      <c r="C48" s="52" t="s">
        <v>45</v>
      </c>
    </row>
    <row r="49" spans="1:3" hidden="1" x14ac:dyDescent="0.25">
      <c r="A49" s="52" t="s">
        <v>890</v>
      </c>
      <c r="B49" s="52" t="s">
        <v>4609</v>
      </c>
      <c r="C49" s="52" t="s">
        <v>45</v>
      </c>
    </row>
    <row r="50" spans="1:3" hidden="1" x14ac:dyDescent="0.25">
      <c r="A50" s="52" t="s">
        <v>891</v>
      </c>
      <c r="B50" s="52" t="s">
        <v>4610</v>
      </c>
      <c r="C50" s="52" t="s">
        <v>45</v>
      </c>
    </row>
    <row r="51" spans="1:3" hidden="1" x14ac:dyDescent="0.25">
      <c r="A51" s="52" t="s">
        <v>892</v>
      </c>
      <c r="B51" s="52" t="s">
        <v>4611</v>
      </c>
      <c r="C51" s="52" t="s">
        <v>45</v>
      </c>
    </row>
    <row r="52" spans="1:3" hidden="1" x14ac:dyDescent="0.25">
      <c r="A52" s="52" t="s">
        <v>893</v>
      </c>
      <c r="B52" s="52" t="s">
        <v>4612</v>
      </c>
      <c r="C52" s="52" t="s">
        <v>45</v>
      </c>
    </row>
    <row r="53" spans="1:3" hidden="1" x14ac:dyDescent="0.25">
      <c r="A53" s="52" t="s">
        <v>894</v>
      </c>
      <c r="B53" s="52" t="s">
        <v>895</v>
      </c>
      <c r="C53" s="52" t="s">
        <v>45</v>
      </c>
    </row>
    <row r="54" spans="1:3" hidden="1" x14ac:dyDescent="0.25">
      <c r="A54" s="52" t="s">
        <v>896</v>
      </c>
      <c r="B54" s="52" t="s">
        <v>897</v>
      </c>
      <c r="C54" s="52" t="s">
        <v>45</v>
      </c>
    </row>
    <row r="55" spans="1:3" hidden="1" x14ac:dyDescent="0.25">
      <c r="A55" s="52" t="s">
        <v>898</v>
      </c>
      <c r="B55" s="52" t="s">
        <v>899</v>
      </c>
      <c r="C55" s="52" t="s">
        <v>45</v>
      </c>
    </row>
    <row r="56" spans="1:3" hidden="1" x14ac:dyDescent="0.25">
      <c r="A56" s="52" t="s">
        <v>900</v>
      </c>
      <c r="B56" s="52" t="s">
        <v>901</v>
      </c>
      <c r="C56" s="52" t="s">
        <v>45</v>
      </c>
    </row>
    <row r="57" spans="1:3" hidden="1" x14ac:dyDescent="0.25">
      <c r="A57" s="52" t="s">
        <v>902</v>
      </c>
      <c r="B57" s="52" t="s">
        <v>903</v>
      </c>
      <c r="C57" s="52" t="s">
        <v>45</v>
      </c>
    </row>
    <row r="58" spans="1:3" hidden="1" x14ac:dyDescent="0.25">
      <c r="A58" s="52" t="s">
        <v>904</v>
      </c>
      <c r="B58" s="52" t="s">
        <v>4613</v>
      </c>
      <c r="C58" s="52" t="s">
        <v>45</v>
      </c>
    </row>
    <row r="59" spans="1:3" hidden="1" x14ac:dyDescent="0.25">
      <c r="A59" s="52" t="s">
        <v>905</v>
      </c>
      <c r="B59" s="52" t="s">
        <v>906</v>
      </c>
      <c r="C59" s="52" t="s">
        <v>45</v>
      </c>
    </row>
    <row r="60" spans="1:3" hidden="1" x14ac:dyDescent="0.25">
      <c r="A60" s="52" t="s">
        <v>907</v>
      </c>
      <c r="B60" s="52" t="s">
        <v>4614</v>
      </c>
      <c r="C60" s="52" t="s">
        <v>45</v>
      </c>
    </row>
    <row r="61" spans="1:3" hidden="1" x14ac:dyDescent="0.25">
      <c r="A61" s="52" t="s">
        <v>908</v>
      </c>
      <c r="B61" s="52" t="s">
        <v>909</v>
      </c>
      <c r="C61" s="52" t="s">
        <v>45</v>
      </c>
    </row>
    <row r="62" spans="1:3" hidden="1" x14ac:dyDescent="0.25">
      <c r="A62" s="52" t="s">
        <v>4539</v>
      </c>
      <c r="B62" s="52" t="s">
        <v>4615</v>
      </c>
      <c r="C62" s="52" t="s">
        <v>45</v>
      </c>
    </row>
    <row r="63" spans="1:3" hidden="1" x14ac:dyDescent="0.25">
      <c r="A63" s="52" t="s">
        <v>910</v>
      </c>
      <c r="B63" s="52" t="s">
        <v>911</v>
      </c>
      <c r="C63" s="52" t="s">
        <v>45</v>
      </c>
    </row>
    <row r="64" spans="1:3" hidden="1" x14ac:dyDescent="0.25">
      <c r="A64" s="52" t="s">
        <v>912</v>
      </c>
      <c r="B64" s="52" t="s">
        <v>913</v>
      </c>
      <c r="C64" s="52" t="s">
        <v>45</v>
      </c>
    </row>
    <row r="65" spans="1:3" hidden="1" x14ac:dyDescent="0.25">
      <c r="A65" s="52" t="s">
        <v>914</v>
      </c>
      <c r="B65" s="52" t="s">
        <v>4616</v>
      </c>
      <c r="C65" s="52" t="s">
        <v>45</v>
      </c>
    </row>
    <row r="66" spans="1:3" hidden="1" x14ac:dyDescent="0.25">
      <c r="A66" s="52" t="s">
        <v>915</v>
      </c>
      <c r="B66" s="52" t="s">
        <v>4617</v>
      </c>
      <c r="C66" s="52" t="s">
        <v>45</v>
      </c>
    </row>
    <row r="67" spans="1:3" hidden="1" x14ac:dyDescent="0.25">
      <c r="A67" s="52" t="s">
        <v>916</v>
      </c>
      <c r="B67" s="52" t="s">
        <v>4618</v>
      </c>
      <c r="C67" s="52" t="s">
        <v>45</v>
      </c>
    </row>
    <row r="68" spans="1:3" hidden="1" x14ac:dyDescent="0.25">
      <c r="A68" s="52" t="s">
        <v>917</v>
      </c>
      <c r="B68" s="52" t="s">
        <v>4619</v>
      </c>
      <c r="C68" s="52" t="s">
        <v>45</v>
      </c>
    </row>
    <row r="69" spans="1:3" hidden="1" x14ac:dyDescent="0.25">
      <c r="A69" s="52" t="s">
        <v>918</v>
      </c>
      <c r="B69" s="52" t="s">
        <v>919</v>
      </c>
      <c r="C69" s="52" t="s">
        <v>45</v>
      </c>
    </row>
    <row r="70" spans="1:3" hidden="1" x14ac:dyDescent="0.25">
      <c r="A70" s="52" t="s">
        <v>4540</v>
      </c>
      <c r="B70" s="52" t="s">
        <v>4620</v>
      </c>
      <c r="C70" s="52" t="s">
        <v>45</v>
      </c>
    </row>
    <row r="71" spans="1:3" hidden="1" x14ac:dyDescent="0.25">
      <c r="A71" s="52" t="s">
        <v>920</v>
      </c>
      <c r="B71" s="52" t="s">
        <v>4621</v>
      </c>
      <c r="C71" s="52" t="s">
        <v>45</v>
      </c>
    </row>
    <row r="72" spans="1:3" hidden="1" x14ac:dyDescent="0.25">
      <c r="A72" s="52" t="s">
        <v>921</v>
      </c>
      <c r="B72" s="52" t="s">
        <v>922</v>
      </c>
      <c r="C72" s="52" t="s">
        <v>45</v>
      </c>
    </row>
    <row r="73" spans="1:3" hidden="1" x14ac:dyDescent="0.25">
      <c r="A73" s="52" t="s">
        <v>923</v>
      </c>
      <c r="B73" s="52" t="s">
        <v>924</v>
      </c>
      <c r="C73" s="52" t="s">
        <v>45</v>
      </c>
    </row>
    <row r="74" spans="1:3" hidden="1" x14ac:dyDescent="0.25">
      <c r="A74" s="52" t="s">
        <v>925</v>
      </c>
      <c r="B74" s="52" t="s">
        <v>926</v>
      </c>
      <c r="C74" s="52" t="s">
        <v>45</v>
      </c>
    </row>
    <row r="75" spans="1:3" hidden="1" x14ac:dyDescent="0.25">
      <c r="A75" s="52" t="s">
        <v>927</v>
      </c>
      <c r="B75" s="52" t="s">
        <v>928</v>
      </c>
      <c r="C75" s="52" t="s">
        <v>45</v>
      </c>
    </row>
    <row r="76" spans="1:3" hidden="1" x14ac:dyDescent="0.25">
      <c r="A76" s="52" t="s">
        <v>929</v>
      </c>
      <c r="B76" s="52" t="s">
        <v>4622</v>
      </c>
      <c r="C76" s="52" t="s">
        <v>45</v>
      </c>
    </row>
    <row r="77" spans="1:3" hidden="1" x14ac:dyDescent="0.25">
      <c r="A77" s="52" t="s">
        <v>930</v>
      </c>
      <c r="B77" s="52" t="s">
        <v>931</v>
      </c>
      <c r="C77" s="52" t="s">
        <v>45</v>
      </c>
    </row>
    <row r="78" spans="1:3" hidden="1" x14ac:dyDescent="0.25">
      <c r="A78" s="52" t="s">
        <v>932</v>
      </c>
      <c r="B78" s="52" t="s">
        <v>4623</v>
      </c>
      <c r="C78" s="52" t="s">
        <v>45</v>
      </c>
    </row>
    <row r="79" spans="1:3" hidden="1" x14ac:dyDescent="0.25">
      <c r="A79" s="52" t="s">
        <v>933</v>
      </c>
      <c r="B79" s="52" t="s">
        <v>4624</v>
      </c>
      <c r="C79" s="52" t="s">
        <v>45</v>
      </c>
    </row>
    <row r="80" spans="1:3" hidden="1" x14ac:dyDescent="0.25">
      <c r="A80" s="52" t="s">
        <v>934</v>
      </c>
      <c r="B80" s="52" t="s">
        <v>935</v>
      </c>
      <c r="C80" s="52" t="s">
        <v>45</v>
      </c>
    </row>
    <row r="81" spans="1:3" hidden="1" x14ac:dyDescent="0.25">
      <c r="A81" s="52" t="s">
        <v>936</v>
      </c>
      <c r="B81" s="52" t="s">
        <v>937</v>
      </c>
      <c r="C81" s="52" t="s">
        <v>45</v>
      </c>
    </row>
    <row r="82" spans="1:3" hidden="1" x14ac:dyDescent="0.25">
      <c r="A82" s="52" t="s">
        <v>938</v>
      </c>
      <c r="B82" s="52" t="s">
        <v>939</v>
      </c>
      <c r="C82" s="52" t="s">
        <v>45</v>
      </c>
    </row>
    <row r="83" spans="1:3" hidden="1" x14ac:dyDescent="0.25">
      <c r="A83" s="52" t="s">
        <v>940</v>
      </c>
      <c r="B83" s="52" t="s">
        <v>941</v>
      </c>
      <c r="C83" s="52" t="s">
        <v>45</v>
      </c>
    </row>
    <row r="84" spans="1:3" hidden="1" x14ac:dyDescent="0.25">
      <c r="A84" s="52" t="s">
        <v>942</v>
      </c>
      <c r="B84" s="52" t="s">
        <v>943</v>
      </c>
      <c r="C84" s="52" t="s">
        <v>45</v>
      </c>
    </row>
    <row r="85" spans="1:3" hidden="1" x14ac:dyDescent="0.25">
      <c r="A85" s="52" t="s">
        <v>944</v>
      </c>
      <c r="B85" s="52" t="s">
        <v>945</v>
      </c>
      <c r="C85" s="52" t="s">
        <v>45</v>
      </c>
    </row>
    <row r="86" spans="1:3" hidden="1" x14ac:dyDescent="0.25">
      <c r="A86" s="52" t="s">
        <v>946</v>
      </c>
      <c r="B86" s="52" t="s">
        <v>947</v>
      </c>
      <c r="C86" s="52" t="s">
        <v>45</v>
      </c>
    </row>
    <row r="87" spans="1:3" hidden="1" x14ac:dyDescent="0.25">
      <c r="A87" s="52" t="s">
        <v>948</v>
      </c>
      <c r="B87" s="52" t="s">
        <v>949</v>
      </c>
      <c r="C87" s="52" t="s">
        <v>45</v>
      </c>
    </row>
    <row r="88" spans="1:3" hidden="1" x14ac:dyDescent="0.25">
      <c r="A88" s="52" t="s">
        <v>950</v>
      </c>
      <c r="B88" s="52" t="s">
        <v>951</v>
      </c>
      <c r="C88" s="52" t="s">
        <v>45</v>
      </c>
    </row>
    <row r="89" spans="1:3" hidden="1" x14ac:dyDescent="0.25">
      <c r="A89" s="52" t="s">
        <v>952</v>
      </c>
      <c r="B89" s="52" t="s">
        <v>953</v>
      </c>
      <c r="C89" s="52" t="s">
        <v>45</v>
      </c>
    </row>
    <row r="90" spans="1:3" hidden="1" x14ac:dyDescent="0.25">
      <c r="A90" s="52" t="s">
        <v>954</v>
      </c>
      <c r="B90" s="52" t="s">
        <v>955</v>
      </c>
      <c r="C90" s="52" t="s">
        <v>45</v>
      </c>
    </row>
    <row r="91" spans="1:3" hidden="1" x14ac:dyDescent="0.25">
      <c r="A91" s="52" t="s">
        <v>956</v>
      </c>
      <c r="B91" s="52" t="s">
        <v>957</v>
      </c>
      <c r="C91" s="52" t="s">
        <v>45</v>
      </c>
    </row>
    <row r="92" spans="1:3" hidden="1" x14ac:dyDescent="0.25">
      <c r="A92" s="52" t="s">
        <v>958</v>
      </c>
      <c r="B92" s="52" t="s">
        <v>959</v>
      </c>
      <c r="C92" s="52" t="s">
        <v>45</v>
      </c>
    </row>
    <row r="93" spans="1:3" hidden="1" x14ac:dyDescent="0.25">
      <c r="A93" s="52" t="s">
        <v>960</v>
      </c>
      <c r="B93" s="52" t="s">
        <v>961</v>
      </c>
      <c r="C93" s="52" t="s">
        <v>45</v>
      </c>
    </row>
    <row r="94" spans="1:3" hidden="1" x14ac:dyDescent="0.25">
      <c r="A94" s="52" t="s">
        <v>962</v>
      </c>
      <c r="B94" s="52" t="s">
        <v>963</v>
      </c>
      <c r="C94" s="52" t="s">
        <v>45</v>
      </c>
    </row>
    <row r="95" spans="1:3" hidden="1" x14ac:dyDescent="0.25">
      <c r="A95" s="52" t="s">
        <v>964</v>
      </c>
      <c r="B95" s="52" t="s">
        <v>4625</v>
      </c>
      <c r="C95" s="52" t="s">
        <v>45</v>
      </c>
    </row>
    <row r="96" spans="1:3" hidden="1" x14ac:dyDescent="0.25">
      <c r="A96" s="52" t="s">
        <v>965</v>
      </c>
      <c r="B96" s="52" t="s">
        <v>966</v>
      </c>
      <c r="C96" s="52" t="s">
        <v>45</v>
      </c>
    </row>
    <row r="97" spans="1:3" hidden="1" x14ac:dyDescent="0.25">
      <c r="A97" s="52" t="s">
        <v>967</v>
      </c>
      <c r="B97" s="52" t="s">
        <v>968</v>
      </c>
      <c r="C97" s="52" t="s">
        <v>45</v>
      </c>
    </row>
    <row r="98" spans="1:3" hidden="1" x14ac:dyDescent="0.25">
      <c r="A98" s="52" t="s">
        <v>969</v>
      </c>
      <c r="B98" s="52" t="s">
        <v>4626</v>
      </c>
      <c r="C98" s="52" t="s">
        <v>45</v>
      </c>
    </row>
    <row r="99" spans="1:3" hidden="1" x14ac:dyDescent="0.25">
      <c r="A99" s="52" t="s">
        <v>970</v>
      </c>
      <c r="B99" s="52" t="s">
        <v>4627</v>
      </c>
      <c r="C99" s="52" t="s">
        <v>45</v>
      </c>
    </row>
    <row r="100" spans="1:3" hidden="1" x14ac:dyDescent="0.25">
      <c r="A100" s="52" t="s">
        <v>971</v>
      </c>
      <c r="B100" s="52" t="s">
        <v>972</v>
      </c>
      <c r="C100" s="52" t="s">
        <v>45</v>
      </c>
    </row>
    <row r="101" spans="1:3" hidden="1" x14ac:dyDescent="0.25">
      <c r="A101" s="52" t="s">
        <v>973</v>
      </c>
      <c r="B101" s="52" t="s">
        <v>4628</v>
      </c>
      <c r="C101" s="52" t="s">
        <v>45</v>
      </c>
    </row>
    <row r="102" spans="1:3" hidden="1" x14ac:dyDescent="0.25">
      <c r="A102" s="52" t="s">
        <v>974</v>
      </c>
      <c r="B102" s="52" t="s">
        <v>975</v>
      </c>
      <c r="C102" s="52" t="s">
        <v>45</v>
      </c>
    </row>
    <row r="103" spans="1:3" hidden="1" x14ac:dyDescent="0.25">
      <c r="A103" s="52" t="s">
        <v>976</v>
      </c>
      <c r="B103" s="52" t="s">
        <v>4629</v>
      </c>
      <c r="C103" s="52" t="s">
        <v>45</v>
      </c>
    </row>
    <row r="104" spans="1:3" hidden="1" x14ac:dyDescent="0.25">
      <c r="A104" s="52" t="s">
        <v>977</v>
      </c>
      <c r="B104" s="52" t="s">
        <v>4630</v>
      </c>
      <c r="C104" s="52" t="s">
        <v>45</v>
      </c>
    </row>
    <row r="105" spans="1:3" hidden="1" x14ac:dyDescent="0.25">
      <c r="A105" s="52" t="s">
        <v>978</v>
      </c>
      <c r="B105" s="52" t="s">
        <v>979</v>
      </c>
      <c r="C105" s="52" t="s">
        <v>45</v>
      </c>
    </row>
    <row r="106" spans="1:3" hidden="1" x14ac:dyDescent="0.25">
      <c r="A106" s="52" t="s">
        <v>980</v>
      </c>
      <c r="B106" s="52" t="s">
        <v>4631</v>
      </c>
      <c r="C106" s="52" t="s">
        <v>45</v>
      </c>
    </row>
    <row r="107" spans="1:3" hidden="1" x14ac:dyDescent="0.25">
      <c r="A107" s="52" t="s">
        <v>981</v>
      </c>
      <c r="B107" s="52" t="s">
        <v>4632</v>
      </c>
      <c r="C107" s="52" t="s">
        <v>45</v>
      </c>
    </row>
    <row r="108" spans="1:3" hidden="1" x14ac:dyDescent="0.25">
      <c r="A108" s="52" t="s">
        <v>982</v>
      </c>
      <c r="B108" s="52" t="s">
        <v>983</v>
      </c>
      <c r="C108" s="52" t="s">
        <v>45</v>
      </c>
    </row>
    <row r="109" spans="1:3" hidden="1" x14ac:dyDescent="0.25">
      <c r="A109" s="52" t="s">
        <v>984</v>
      </c>
      <c r="B109" s="52" t="s">
        <v>985</v>
      </c>
      <c r="C109" s="52" t="s">
        <v>45</v>
      </c>
    </row>
    <row r="110" spans="1:3" hidden="1" x14ac:dyDescent="0.25">
      <c r="A110" s="52" t="s">
        <v>986</v>
      </c>
      <c r="B110" s="52" t="s">
        <v>987</v>
      </c>
      <c r="C110" s="52" t="s">
        <v>45</v>
      </c>
    </row>
    <row r="111" spans="1:3" hidden="1" x14ac:dyDescent="0.25">
      <c r="A111" s="52" t="s">
        <v>988</v>
      </c>
      <c r="B111" s="52" t="s">
        <v>989</v>
      </c>
      <c r="C111" s="52" t="s">
        <v>45</v>
      </c>
    </row>
    <row r="112" spans="1:3" hidden="1" x14ac:dyDescent="0.25">
      <c r="A112" s="52" t="s">
        <v>990</v>
      </c>
      <c r="B112" s="52" t="s">
        <v>4633</v>
      </c>
      <c r="C112" s="52" t="s">
        <v>45</v>
      </c>
    </row>
    <row r="113" spans="1:3" hidden="1" x14ac:dyDescent="0.25">
      <c r="A113" s="52" t="s">
        <v>991</v>
      </c>
      <c r="B113" s="52" t="s">
        <v>992</v>
      </c>
      <c r="C113" s="52" t="s">
        <v>45</v>
      </c>
    </row>
    <row r="114" spans="1:3" hidden="1" x14ac:dyDescent="0.25">
      <c r="A114" s="52" t="s">
        <v>993</v>
      </c>
      <c r="B114" s="52" t="s">
        <v>4634</v>
      </c>
      <c r="C114" s="52" t="s">
        <v>45</v>
      </c>
    </row>
    <row r="115" spans="1:3" hidden="1" x14ac:dyDescent="0.25">
      <c r="A115" s="52" t="s">
        <v>994</v>
      </c>
      <c r="B115" s="52" t="s">
        <v>4635</v>
      </c>
      <c r="C115" s="52" t="s">
        <v>45</v>
      </c>
    </row>
    <row r="116" spans="1:3" hidden="1" x14ac:dyDescent="0.25">
      <c r="A116" s="52" t="s">
        <v>995</v>
      </c>
      <c r="B116" s="52" t="s">
        <v>996</v>
      </c>
      <c r="C116" s="52" t="s">
        <v>45</v>
      </c>
    </row>
    <row r="117" spans="1:3" hidden="1" x14ac:dyDescent="0.25">
      <c r="A117" s="52" t="s">
        <v>997</v>
      </c>
      <c r="B117" s="52" t="s">
        <v>998</v>
      </c>
      <c r="C117" s="52" t="s">
        <v>45</v>
      </c>
    </row>
    <row r="118" spans="1:3" hidden="1" x14ac:dyDescent="0.25">
      <c r="A118" s="52" t="s">
        <v>999</v>
      </c>
      <c r="B118" s="52" t="s">
        <v>1000</v>
      </c>
      <c r="C118" s="52" t="s">
        <v>45</v>
      </c>
    </row>
    <row r="119" spans="1:3" hidden="1" x14ac:dyDescent="0.25">
      <c r="A119" s="52" t="s">
        <v>1001</v>
      </c>
      <c r="B119" s="52" t="s">
        <v>1002</v>
      </c>
      <c r="C119" s="52" t="s">
        <v>45</v>
      </c>
    </row>
    <row r="120" spans="1:3" hidden="1" x14ac:dyDescent="0.25">
      <c r="A120" s="52" t="s">
        <v>1003</v>
      </c>
      <c r="B120" s="52" t="s">
        <v>1004</v>
      </c>
      <c r="C120" s="52" t="s">
        <v>45</v>
      </c>
    </row>
    <row r="121" spans="1:3" hidden="1" x14ac:dyDescent="0.25">
      <c r="A121" s="52" t="s">
        <v>1005</v>
      </c>
      <c r="B121" s="52" t="s">
        <v>1006</v>
      </c>
      <c r="C121" s="52" t="s">
        <v>45</v>
      </c>
    </row>
    <row r="122" spans="1:3" hidden="1" x14ac:dyDescent="0.25">
      <c r="A122" s="52" t="s">
        <v>1007</v>
      </c>
      <c r="B122" s="52" t="s">
        <v>1008</v>
      </c>
      <c r="C122" s="52" t="s">
        <v>45</v>
      </c>
    </row>
    <row r="123" spans="1:3" hidden="1" x14ac:dyDescent="0.25">
      <c r="A123" s="52" t="s">
        <v>1009</v>
      </c>
      <c r="B123" s="52" t="s">
        <v>1010</v>
      </c>
      <c r="C123" s="52" t="s">
        <v>45</v>
      </c>
    </row>
    <row r="124" spans="1:3" hidden="1" x14ac:dyDescent="0.25">
      <c r="A124" s="52" t="s">
        <v>1011</v>
      </c>
      <c r="B124" s="52" t="s">
        <v>1012</v>
      </c>
      <c r="C124" s="52" t="s">
        <v>45</v>
      </c>
    </row>
    <row r="125" spans="1:3" hidden="1" x14ac:dyDescent="0.25">
      <c r="A125" s="52" t="s">
        <v>1013</v>
      </c>
      <c r="B125" s="52" t="s">
        <v>1014</v>
      </c>
      <c r="C125" s="52" t="s">
        <v>45</v>
      </c>
    </row>
    <row r="126" spans="1:3" hidden="1" x14ac:dyDescent="0.25">
      <c r="A126" s="52" t="s">
        <v>1015</v>
      </c>
      <c r="B126" s="52" t="s">
        <v>1016</v>
      </c>
      <c r="C126" s="52" t="s">
        <v>45</v>
      </c>
    </row>
    <row r="127" spans="1:3" hidden="1" x14ac:dyDescent="0.25">
      <c r="A127" s="52" t="s">
        <v>1017</v>
      </c>
      <c r="B127" s="52" t="s">
        <v>1018</v>
      </c>
      <c r="C127" s="52" t="s">
        <v>45</v>
      </c>
    </row>
    <row r="128" spans="1:3" hidden="1" x14ac:dyDescent="0.25">
      <c r="A128" s="52" t="s">
        <v>1019</v>
      </c>
      <c r="B128" s="52" t="s">
        <v>919</v>
      </c>
      <c r="C128" s="52" t="s">
        <v>45</v>
      </c>
    </row>
    <row r="129" spans="1:3" hidden="1" x14ac:dyDescent="0.25">
      <c r="A129" s="52" t="s">
        <v>1020</v>
      </c>
      <c r="B129" s="52" t="s">
        <v>992</v>
      </c>
      <c r="C129" s="52" t="s">
        <v>45</v>
      </c>
    </row>
    <row r="130" spans="1:3" hidden="1" x14ac:dyDescent="0.25">
      <c r="A130" s="52" t="s">
        <v>1021</v>
      </c>
      <c r="B130" s="52" t="s">
        <v>4636</v>
      </c>
      <c r="C130" s="52" t="s">
        <v>279</v>
      </c>
    </row>
    <row r="131" spans="1:3" hidden="1" x14ac:dyDescent="0.25">
      <c r="A131" s="52" t="s">
        <v>1023</v>
      </c>
      <c r="B131" s="52" t="s">
        <v>4637</v>
      </c>
      <c r="C131" s="52" t="s">
        <v>279</v>
      </c>
    </row>
    <row r="132" spans="1:3" hidden="1" x14ac:dyDescent="0.25">
      <c r="A132" s="52" t="s">
        <v>1024</v>
      </c>
      <c r="B132" s="52" t="s">
        <v>4638</v>
      </c>
      <c r="C132" s="52" t="s">
        <v>279</v>
      </c>
    </row>
    <row r="133" spans="1:3" hidden="1" x14ac:dyDescent="0.25">
      <c r="A133" s="52" t="s">
        <v>1025</v>
      </c>
      <c r="B133" s="52" t="s">
        <v>4639</v>
      </c>
      <c r="C133" s="52" t="s">
        <v>279</v>
      </c>
    </row>
    <row r="134" spans="1:3" hidden="1" x14ac:dyDescent="0.25">
      <c r="A134" s="52" t="s">
        <v>1026</v>
      </c>
      <c r="B134" s="52" t="s">
        <v>4640</v>
      </c>
      <c r="C134" s="52" t="s">
        <v>279</v>
      </c>
    </row>
    <row r="135" spans="1:3" hidden="1" x14ac:dyDescent="0.25">
      <c r="A135" s="52" t="s">
        <v>1027</v>
      </c>
      <c r="B135" s="52" t="s">
        <v>4641</v>
      </c>
      <c r="C135" s="52" t="s">
        <v>279</v>
      </c>
    </row>
    <row r="136" spans="1:3" hidden="1" x14ac:dyDescent="0.25">
      <c r="A136" s="52" t="s">
        <v>1028</v>
      </c>
      <c r="B136" s="52" t="s">
        <v>4642</v>
      </c>
      <c r="C136" s="52" t="s">
        <v>279</v>
      </c>
    </row>
    <row r="137" spans="1:3" hidden="1" x14ac:dyDescent="0.25">
      <c r="A137" s="52" t="s">
        <v>1029</v>
      </c>
      <c r="B137" s="52" t="s">
        <v>4643</v>
      </c>
      <c r="C137" s="52" t="s">
        <v>279</v>
      </c>
    </row>
    <row r="138" spans="1:3" hidden="1" x14ac:dyDescent="0.25">
      <c r="A138" s="52" t="s">
        <v>1031</v>
      </c>
      <c r="B138" s="52" t="s">
        <v>4644</v>
      </c>
      <c r="C138" s="52" t="s">
        <v>279</v>
      </c>
    </row>
    <row r="139" spans="1:3" hidden="1" x14ac:dyDescent="0.25">
      <c r="A139" s="52" t="s">
        <v>1032</v>
      </c>
      <c r="B139" s="52" t="s">
        <v>4645</v>
      </c>
      <c r="C139" s="52" t="s">
        <v>279</v>
      </c>
    </row>
    <row r="140" spans="1:3" hidden="1" x14ac:dyDescent="0.25">
      <c r="A140" s="52" t="s">
        <v>1033</v>
      </c>
      <c r="B140" s="52" t="s">
        <v>4646</v>
      </c>
      <c r="C140" s="52" t="s">
        <v>279</v>
      </c>
    </row>
    <row r="141" spans="1:3" hidden="1" x14ac:dyDescent="0.25">
      <c r="A141" s="52" t="s">
        <v>1035</v>
      </c>
      <c r="B141" s="52" t="s">
        <v>4647</v>
      </c>
      <c r="C141" s="52" t="s">
        <v>279</v>
      </c>
    </row>
    <row r="142" spans="1:3" hidden="1" x14ac:dyDescent="0.25">
      <c r="A142" s="52" t="s">
        <v>1037</v>
      </c>
      <c r="B142" s="52" t="s">
        <v>4648</v>
      </c>
      <c r="C142" s="52" t="s">
        <v>279</v>
      </c>
    </row>
    <row r="143" spans="1:3" hidden="1" x14ac:dyDescent="0.25">
      <c r="A143" s="52" t="s">
        <v>1038</v>
      </c>
      <c r="B143" s="52" t="s">
        <v>4649</v>
      </c>
      <c r="C143" s="52" t="s">
        <v>279</v>
      </c>
    </row>
    <row r="144" spans="1:3" hidden="1" x14ac:dyDescent="0.25">
      <c r="A144" s="52" t="s">
        <v>1039</v>
      </c>
      <c r="B144" s="52" t="s">
        <v>4650</v>
      </c>
      <c r="C144" s="52" t="s">
        <v>279</v>
      </c>
    </row>
    <row r="145" spans="1:3" hidden="1" x14ac:dyDescent="0.25">
      <c r="A145" s="52" t="s">
        <v>1040</v>
      </c>
      <c r="B145" s="52" t="s">
        <v>4651</v>
      </c>
      <c r="C145" s="52" t="s">
        <v>279</v>
      </c>
    </row>
    <row r="146" spans="1:3" hidden="1" x14ac:dyDescent="0.25">
      <c r="A146" s="52" t="s">
        <v>1041</v>
      </c>
      <c r="B146" s="52" t="s">
        <v>4652</v>
      </c>
      <c r="C146" s="52" t="s">
        <v>279</v>
      </c>
    </row>
    <row r="147" spans="1:3" hidden="1" x14ac:dyDescent="0.25">
      <c r="A147" s="52" t="s">
        <v>1043</v>
      </c>
      <c r="B147" s="52" t="s">
        <v>4653</v>
      </c>
      <c r="C147" s="52" t="s">
        <v>279</v>
      </c>
    </row>
    <row r="148" spans="1:3" hidden="1" x14ac:dyDescent="0.25">
      <c r="A148" s="52" t="s">
        <v>1045</v>
      </c>
      <c r="B148" s="52" t="s">
        <v>4654</v>
      </c>
      <c r="C148" s="52" t="s">
        <v>279</v>
      </c>
    </row>
    <row r="149" spans="1:3" hidden="1" x14ac:dyDescent="0.25">
      <c r="A149" s="52" t="s">
        <v>1047</v>
      </c>
      <c r="B149" s="52" t="s">
        <v>4655</v>
      </c>
      <c r="C149" s="52" t="s">
        <v>279</v>
      </c>
    </row>
    <row r="150" spans="1:3" hidden="1" x14ac:dyDescent="0.25">
      <c r="A150" s="52" t="s">
        <v>1049</v>
      </c>
      <c r="B150" s="52" t="s">
        <v>4656</v>
      </c>
      <c r="C150" s="52" t="s">
        <v>279</v>
      </c>
    </row>
    <row r="151" spans="1:3" hidden="1" x14ac:dyDescent="0.25">
      <c r="A151" s="52" t="s">
        <v>1051</v>
      </c>
      <c r="B151" s="52" t="s">
        <v>4657</v>
      </c>
      <c r="C151" s="52" t="s">
        <v>279</v>
      </c>
    </row>
    <row r="152" spans="1:3" hidden="1" x14ac:dyDescent="0.25">
      <c r="A152" s="52" t="s">
        <v>1053</v>
      </c>
      <c r="B152" s="52" t="s">
        <v>4658</v>
      </c>
      <c r="C152" s="52" t="s">
        <v>279</v>
      </c>
    </row>
    <row r="153" spans="1:3" hidden="1" x14ac:dyDescent="0.25">
      <c r="A153" s="52" t="s">
        <v>1054</v>
      </c>
      <c r="B153" s="52" t="s">
        <v>4659</v>
      </c>
      <c r="C153" s="52" t="s">
        <v>279</v>
      </c>
    </row>
    <row r="154" spans="1:3" hidden="1" x14ac:dyDescent="0.25">
      <c r="A154" s="52" t="s">
        <v>1055</v>
      </c>
      <c r="B154" s="52" t="s">
        <v>4660</v>
      </c>
      <c r="C154" s="52" t="s">
        <v>279</v>
      </c>
    </row>
    <row r="155" spans="1:3" hidden="1" x14ac:dyDescent="0.25">
      <c r="A155" s="52" t="s">
        <v>1056</v>
      </c>
      <c r="B155" s="52" t="s">
        <v>4661</v>
      </c>
      <c r="C155" s="52" t="s">
        <v>279</v>
      </c>
    </row>
    <row r="156" spans="1:3" hidden="1" x14ac:dyDescent="0.25">
      <c r="A156" s="52" t="s">
        <v>1058</v>
      </c>
      <c r="B156" s="52" t="s">
        <v>4662</v>
      </c>
      <c r="C156" s="52" t="s">
        <v>279</v>
      </c>
    </row>
    <row r="157" spans="1:3" hidden="1" x14ac:dyDescent="0.25">
      <c r="A157" s="52" t="s">
        <v>1059</v>
      </c>
      <c r="B157" s="52" t="s">
        <v>4663</v>
      </c>
      <c r="C157" s="52" t="s">
        <v>279</v>
      </c>
    </row>
    <row r="158" spans="1:3" hidden="1" x14ac:dyDescent="0.25">
      <c r="A158" s="52" t="s">
        <v>1061</v>
      </c>
      <c r="B158" s="52" t="s">
        <v>4664</v>
      </c>
      <c r="C158" s="52" t="s">
        <v>279</v>
      </c>
    </row>
    <row r="159" spans="1:3" hidden="1" x14ac:dyDescent="0.25">
      <c r="A159" s="52" t="s">
        <v>1063</v>
      </c>
      <c r="B159" s="52" t="s">
        <v>4665</v>
      </c>
      <c r="C159" s="52" t="s">
        <v>279</v>
      </c>
    </row>
    <row r="160" spans="1:3" hidden="1" x14ac:dyDescent="0.25">
      <c r="A160" s="52" t="s">
        <v>1065</v>
      </c>
      <c r="B160" s="52" t="s">
        <v>4666</v>
      </c>
      <c r="C160" s="52" t="s">
        <v>279</v>
      </c>
    </row>
    <row r="161" spans="1:3" hidden="1" x14ac:dyDescent="0.25">
      <c r="A161" s="52" t="s">
        <v>1067</v>
      </c>
      <c r="B161" s="52" t="s">
        <v>4667</v>
      </c>
      <c r="C161" s="52" t="s">
        <v>279</v>
      </c>
    </row>
    <row r="162" spans="1:3" hidden="1" x14ac:dyDescent="0.25">
      <c r="A162" s="52" t="s">
        <v>1068</v>
      </c>
      <c r="B162" s="52" t="s">
        <v>4668</v>
      </c>
      <c r="C162" s="52" t="s">
        <v>279</v>
      </c>
    </row>
    <row r="163" spans="1:3" hidden="1" x14ac:dyDescent="0.25">
      <c r="A163" s="52" t="s">
        <v>1070</v>
      </c>
      <c r="B163" s="52" t="s">
        <v>4669</v>
      </c>
      <c r="C163" s="52" t="s">
        <v>279</v>
      </c>
    </row>
    <row r="164" spans="1:3" hidden="1" x14ac:dyDescent="0.25">
      <c r="A164" s="52" t="s">
        <v>1072</v>
      </c>
      <c r="B164" s="52" t="s">
        <v>4622</v>
      </c>
      <c r="C164" s="52" t="s">
        <v>279</v>
      </c>
    </row>
    <row r="165" spans="1:3" hidden="1" x14ac:dyDescent="0.25">
      <c r="A165" s="52" t="s">
        <v>1074</v>
      </c>
      <c r="B165" s="52" t="s">
        <v>4670</v>
      </c>
      <c r="C165" s="52" t="s">
        <v>279</v>
      </c>
    </row>
    <row r="166" spans="1:3" hidden="1" x14ac:dyDescent="0.25">
      <c r="A166" s="52" t="s">
        <v>1076</v>
      </c>
      <c r="B166" s="52" t="s">
        <v>4671</v>
      </c>
      <c r="C166" s="52" t="s">
        <v>279</v>
      </c>
    </row>
    <row r="167" spans="1:3" hidden="1" x14ac:dyDescent="0.25">
      <c r="A167" s="52" t="s">
        <v>1077</v>
      </c>
      <c r="B167" s="52" t="s">
        <v>4672</v>
      </c>
      <c r="C167" s="52" t="s">
        <v>279</v>
      </c>
    </row>
    <row r="168" spans="1:3" hidden="1" x14ac:dyDescent="0.25">
      <c r="A168" s="52" t="s">
        <v>1078</v>
      </c>
      <c r="B168" s="52" t="s">
        <v>4673</v>
      </c>
      <c r="C168" s="52" t="s">
        <v>279</v>
      </c>
    </row>
    <row r="169" spans="1:3" hidden="1" x14ac:dyDescent="0.25">
      <c r="A169" s="52" t="s">
        <v>1079</v>
      </c>
      <c r="B169" s="52" t="s">
        <v>4674</v>
      </c>
      <c r="C169" s="52" t="s">
        <v>279</v>
      </c>
    </row>
    <row r="170" spans="1:3" hidden="1" x14ac:dyDescent="0.25">
      <c r="A170" s="52" t="s">
        <v>1080</v>
      </c>
      <c r="B170" s="52" t="s">
        <v>4675</v>
      </c>
      <c r="C170" s="52" t="s">
        <v>279</v>
      </c>
    </row>
    <row r="171" spans="1:3" hidden="1" x14ac:dyDescent="0.25">
      <c r="A171" s="52" t="s">
        <v>1081</v>
      </c>
      <c r="B171" s="52" t="s">
        <v>4676</v>
      </c>
      <c r="C171" s="52" t="s">
        <v>279</v>
      </c>
    </row>
    <row r="172" spans="1:3" hidden="1" x14ac:dyDescent="0.25">
      <c r="A172" s="52" t="s">
        <v>1082</v>
      </c>
      <c r="B172" s="52" t="s">
        <v>4677</v>
      </c>
      <c r="C172" s="52" t="s">
        <v>279</v>
      </c>
    </row>
    <row r="173" spans="1:3" hidden="1" x14ac:dyDescent="0.25">
      <c r="A173" s="52" t="s">
        <v>1083</v>
      </c>
      <c r="B173" s="52" t="s">
        <v>4678</v>
      </c>
      <c r="C173" s="52" t="s">
        <v>279</v>
      </c>
    </row>
    <row r="174" spans="1:3" hidden="1" x14ac:dyDescent="0.25">
      <c r="A174" s="52" t="s">
        <v>1085</v>
      </c>
      <c r="B174" s="52" t="s">
        <v>4679</v>
      </c>
      <c r="C174" s="52" t="s">
        <v>279</v>
      </c>
    </row>
    <row r="175" spans="1:3" hidden="1" x14ac:dyDescent="0.25">
      <c r="A175" s="52" t="s">
        <v>1087</v>
      </c>
      <c r="B175" s="52" t="s">
        <v>4680</v>
      </c>
      <c r="C175" s="52" t="s">
        <v>279</v>
      </c>
    </row>
    <row r="176" spans="1:3" hidden="1" x14ac:dyDescent="0.25">
      <c r="A176" s="52" t="s">
        <v>1089</v>
      </c>
      <c r="B176" s="52" t="s">
        <v>4681</v>
      </c>
      <c r="C176" s="52" t="s">
        <v>279</v>
      </c>
    </row>
    <row r="177" spans="1:3" hidden="1" x14ac:dyDescent="0.25">
      <c r="A177" s="52" t="s">
        <v>1091</v>
      </c>
      <c r="B177" s="52" t="s">
        <v>4682</v>
      </c>
      <c r="C177" s="52" t="s">
        <v>279</v>
      </c>
    </row>
    <row r="178" spans="1:3" hidden="1" x14ac:dyDescent="0.25">
      <c r="A178" s="52" t="s">
        <v>1092</v>
      </c>
      <c r="B178" s="52" t="s">
        <v>4683</v>
      </c>
      <c r="C178" s="52" t="s">
        <v>279</v>
      </c>
    </row>
    <row r="179" spans="1:3" hidden="1" x14ac:dyDescent="0.25">
      <c r="A179" s="52" t="s">
        <v>1094</v>
      </c>
      <c r="B179" s="52" t="s">
        <v>4684</v>
      </c>
      <c r="C179" s="52" t="s">
        <v>279</v>
      </c>
    </row>
    <row r="180" spans="1:3" hidden="1" x14ac:dyDescent="0.25">
      <c r="A180" s="52" t="s">
        <v>1096</v>
      </c>
      <c r="B180" s="52" t="s">
        <v>4685</v>
      </c>
      <c r="C180" s="52" t="s">
        <v>279</v>
      </c>
    </row>
    <row r="181" spans="1:3" hidden="1" x14ac:dyDescent="0.25">
      <c r="A181" s="52" t="s">
        <v>1098</v>
      </c>
      <c r="B181" s="52" t="s">
        <v>4686</v>
      </c>
      <c r="C181" s="52" t="s">
        <v>279</v>
      </c>
    </row>
    <row r="182" spans="1:3" hidden="1" x14ac:dyDescent="0.25">
      <c r="A182" s="52" t="s">
        <v>1100</v>
      </c>
      <c r="B182" s="52" t="s">
        <v>4687</v>
      </c>
      <c r="C182" s="52" t="s">
        <v>279</v>
      </c>
    </row>
    <row r="183" spans="1:3" hidden="1" x14ac:dyDescent="0.25">
      <c r="A183" s="52" t="s">
        <v>1102</v>
      </c>
      <c r="B183" s="52" t="s">
        <v>4688</v>
      </c>
      <c r="C183" s="52" t="s">
        <v>279</v>
      </c>
    </row>
    <row r="184" spans="1:3" hidden="1" x14ac:dyDescent="0.25">
      <c r="A184" s="52" t="s">
        <v>1103</v>
      </c>
      <c r="B184" s="52" t="s">
        <v>4689</v>
      </c>
      <c r="C184" s="52" t="s">
        <v>279</v>
      </c>
    </row>
    <row r="185" spans="1:3" hidden="1" x14ac:dyDescent="0.25">
      <c r="A185" s="52" t="s">
        <v>1105</v>
      </c>
      <c r="B185" s="52" t="s">
        <v>4690</v>
      </c>
      <c r="C185" s="52" t="s">
        <v>279</v>
      </c>
    </row>
    <row r="186" spans="1:3" hidden="1" x14ac:dyDescent="0.25">
      <c r="A186" s="52" t="s">
        <v>1107</v>
      </c>
      <c r="B186" s="52" t="s">
        <v>4691</v>
      </c>
      <c r="C186" s="52" t="s">
        <v>279</v>
      </c>
    </row>
    <row r="187" spans="1:3" hidden="1" x14ac:dyDescent="0.25">
      <c r="A187" s="52" t="s">
        <v>1108</v>
      </c>
      <c r="B187" s="52" t="s">
        <v>4692</v>
      </c>
      <c r="C187" s="52" t="s">
        <v>279</v>
      </c>
    </row>
    <row r="188" spans="1:3" hidden="1" x14ac:dyDescent="0.25">
      <c r="A188" s="52" t="s">
        <v>1109</v>
      </c>
      <c r="B188" s="52" t="s">
        <v>4693</v>
      </c>
      <c r="C188" s="52" t="s">
        <v>279</v>
      </c>
    </row>
    <row r="189" spans="1:3" hidden="1" x14ac:dyDescent="0.25">
      <c r="A189" s="52" t="s">
        <v>1111</v>
      </c>
      <c r="B189" s="52" t="s">
        <v>4694</v>
      </c>
      <c r="C189" s="52" t="s">
        <v>279</v>
      </c>
    </row>
    <row r="190" spans="1:3" hidden="1" x14ac:dyDescent="0.25">
      <c r="A190" s="52" t="s">
        <v>1113</v>
      </c>
      <c r="B190" s="52" t="s">
        <v>4695</v>
      </c>
      <c r="C190" s="52" t="s">
        <v>279</v>
      </c>
    </row>
    <row r="191" spans="1:3" hidden="1" x14ac:dyDescent="0.25">
      <c r="A191" s="52" t="s">
        <v>1115</v>
      </c>
      <c r="B191" s="52" t="s">
        <v>4696</v>
      </c>
      <c r="C191" s="52" t="s">
        <v>279</v>
      </c>
    </row>
    <row r="192" spans="1:3" hidden="1" x14ac:dyDescent="0.25">
      <c r="A192" s="52" t="s">
        <v>1117</v>
      </c>
      <c r="B192" s="52" t="s">
        <v>4697</v>
      </c>
      <c r="C192" s="52" t="s">
        <v>279</v>
      </c>
    </row>
    <row r="193" spans="1:3" hidden="1" x14ac:dyDescent="0.25">
      <c r="A193" s="52" t="s">
        <v>1118</v>
      </c>
      <c r="B193" s="52" t="s">
        <v>4698</v>
      </c>
      <c r="C193" s="52" t="s">
        <v>279</v>
      </c>
    </row>
    <row r="194" spans="1:3" hidden="1" x14ac:dyDescent="0.25">
      <c r="A194" s="52" t="s">
        <v>1119</v>
      </c>
      <c r="B194" s="52" t="s">
        <v>4699</v>
      </c>
      <c r="C194" s="52" t="s">
        <v>279</v>
      </c>
    </row>
    <row r="195" spans="1:3" hidden="1" x14ac:dyDescent="0.25">
      <c r="A195" s="52" t="s">
        <v>1121</v>
      </c>
      <c r="B195" s="52" t="s">
        <v>4700</v>
      </c>
      <c r="C195" s="52" t="s">
        <v>279</v>
      </c>
    </row>
    <row r="196" spans="1:3" hidden="1" x14ac:dyDescent="0.25">
      <c r="A196" s="52" t="s">
        <v>1123</v>
      </c>
      <c r="B196" s="52" t="s">
        <v>4701</v>
      </c>
      <c r="C196" s="52" t="s">
        <v>279</v>
      </c>
    </row>
    <row r="197" spans="1:3" hidden="1" x14ac:dyDescent="0.25">
      <c r="A197" s="52" t="s">
        <v>1125</v>
      </c>
      <c r="B197" s="52" t="s">
        <v>4702</v>
      </c>
      <c r="C197" s="52" t="s">
        <v>279</v>
      </c>
    </row>
    <row r="198" spans="1:3" hidden="1" x14ac:dyDescent="0.25">
      <c r="A198" s="52" t="s">
        <v>1127</v>
      </c>
      <c r="B198" s="52" t="s">
        <v>4703</v>
      </c>
      <c r="C198" s="52" t="s">
        <v>279</v>
      </c>
    </row>
    <row r="199" spans="1:3" hidden="1" x14ac:dyDescent="0.25">
      <c r="A199" s="52" t="s">
        <v>1129</v>
      </c>
      <c r="B199" s="52" t="s">
        <v>4704</v>
      </c>
      <c r="C199" s="52" t="s">
        <v>279</v>
      </c>
    </row>
    <row r="200" spans="1:3" hidden="1" x14ac:dyDescent="0.25">
      <c r="A200" s="52" t="s">
        <v>1131</v>
      </c>
      <c r="B200" s="52" t="s">
        <v>4705</v>
      </c>
      <c r="C200" s="52" t="s">
        <v>279</v>
      </c>
    </row>
    <row r="201" spans="1:3" hidden="1" x14ac:dyDescent="0.25">
      <c r="A201" s="52" t="s">
        <v>1132</v>
      </c>
      <c r="B201" s="52" t="s">
        <v>4706</v>
      </c>
      <c r="C201" s="52" t="s">
        <v>279</v>
      </c>
    </row>
    <row r="202" spans="1:3" hidden="1" x14ac:dyDescent="0.25">
      <c r="A202" s="52" t="s">
        <v>1134</v>
      </c>
      <c r="B202" s="52" t="s">
        <v>4707</v>
      </c>
      <c r="C202" s="52" t="s">
        <v>279</v>
      </c>
    </row>
    <row r="203" spans="1:3" hidden="1" x14ac:dyDescent="0.25">
      <c r="A203" s="52" t="s">
        <v>1136</v>
      </c>
      <c r="B203" s="52" t="s">
        <v>4708</v>
      </c>
      <c r="C203" s="52" t="s">
        <v>279</v>
      </c>
    </row>
    <row r="204" spans="1:3" hidden="1" x14ac:dyDescent="0.25">
      <c r="A204" s="52" t="s">
        <v>1137</v>
      </c>
      <c r="B204" s="52" t="s">
        <v>4709</v>
      </c>
      <c r="C204" s="52" t="s">
        <v>279</v>
      </c>
    </row>
    <row r="205" spans="1:3" hidden="1" x14ac:dyDescent="0.25">
      <c r="A205" s="52" t="s">
        <v>1138</v>
      </c>
      <c r="B205" s="52" t="s">
        <v>4710</v>
      </c>
      <c r="C205" s="52" t="s">
        <v>279</v>
      </c>
    </row>
    <row r="206" spans="1:3" hidden="1" x14ac:dyDescent="0.25">
      <c r="A206" s="52" t="s">
        <v>1139</v>
      </c>
      <c r="B206" s="52" t="s">
        <v>4711</v>
      </c>
      <c r="C206" s="52" t="s">
        <v>279</v>
      </c>
    </row>
    <row r="207" spans="1:3" hidden="1" x14ac:dyDescent="0.25">
      <c r="A207" s="52" t="s">
        <v>1140</v>
      </c>
      <c r="B207" s="52" t="s">
        <v>4712</v>
      </c>
      <c r="C207" s="52" t="s">
        <v>279</v>
      </c>
    </row>
    <row r="208" spans="1:3" hidden="1" x14ac:dyDescent="0.25">
      <c r="A208" s="52" t="s">
        <v>1141</v>
      </c>
      <c r="B208" s="52" t="s">
        <v>4713</v>
      </c>
      <c r="C208" s="52" t="s">
        <v>279</v>
      </c>
    </row>
    <row r="209" spans="1:3" hidden="1" x14ac:dyDescent="0.25">
      <c r="A209" s="52" t="s">
        <v>1142</v>
      </c>
      <c r="B209" s="52" t="s">
        <v>4714</v>
      </c>
      <c r="C209" s="52" t="s">
        <v>279</v>
      </c>
    </row>
    <row r="210" spans="1:3" hidden="1" x14ac:dyDescent="0.25">
      <c r="A210" s="52" t="s">
        <v>1143</v>
      </c>
      <c r="B210" s="52" t="s">
        <v>4715</v>
      </c>
      <c r="C210" s="52" t="s">
        <v>279</v>
      </c>
    </row>
    <row r="211" spans="1:3" hidden="1" x14ac:dyDescent="0.25">
      <c r="A211" s="52" t="s">
        <v>1144</v>
      </c>
      <c r="B211" s="52" t="s">
        <v>4716</v>
      </c>
      <c r="C211" s="52" t="s">
        <v>279</v>
      </c>
    </row>
    <row r="212" spans="1:3" hidden="1" x14ac:dyDescent="0.25">
      <c r="A212" s="52" t="s">
        <v>1145</v>
      </c>
      <c r="B212" s="52" t="s">
        <v>4717</v>
      </c>
      <c r="C212" s="52" t="s">
        <v>279</v>
      </c>
    </row>
    <row r="213" spans="1:3" hidden="1" x14ac:dyDescent="0.25">
      <c r="A213" s="52" t="s">
        <v>1146</v>
      </c>
      <c r="B213" s="52" t="s">
        <v>4718</v>
      </c>
      <c r="C213" s="52" t="s">
        <v>279</v>
      </c>
    </row>
    <row r="214" spans="1:3" hidden="1" x14ac:dyDescent="0.25">
      <c r="A214" s="52" t="s">
        <v>1147</v>
      </c>
      <c r="B214" s="52" t="s">
        <v>4719</v>
      </c>
      <c r="C214" s="52" t="s">
        <v>279</v>
      </c>
    </row>
    <row r="215" spans="1:3" hidden="1" x14ac:dyDescent="0.25">
      <c r="A215" s="52" t="s">
        <v>1148</v>
      </c>
      <c r="B215" s="52" t="s">
        <v>4720</v>
      </c>
      <c r="C215" s="52" t="s">
        <v>279</v>
      </c>
    </row>
    <row r="216" spans="1:3" hidden="1" x14ac:dyDescent="0.25">
      <c r="A216" s="52" t="s">
        <v>1149</v>
      </c>
      <c r="B216" s="52" t="s">
        <v>4721</v>
      </c>
      <c r="C216" s="52" t="s">
        <v>279</v>
      </c>
    </row>
    <row r="217" spans="1:3" hidden="1" x14ac:dyDescent="0.25">
      <c r="A217" s="52" t="s">
        <v>1150</v>
      </c>
      <c r="B217" s="52" t="s">
        <v>4722</v>
      </c>
      <c r="C217" s="52" t="s">
        <v>279</v>
      </c>
    </row>
    <row r="218" spans="1:3" hidden="1" x14ac:dyDescent="0.25">
      <c r="A218" s="52" t="s">
        <v>1151</v>
      </c>
      <c r="B218" s="52" t="s">
        <v>4723</v>
      </c>
      <c r="C218" s="52" t="s">
        <v>279</v>
      </c>
    </row>
    <row r="219" spans="1:3" hidden="1" x14ac:dyDescent="0.25">
      <c r="A219" s="52" t="s">
        <v>1152</v>
      </c>
      <c r="B219" s="52" t="s">
        <v>4724</v>
      </c>
      <c r="C219" s="52" t="s">
        <v>279</v>
      </c>
    </row>
    <row r="220" spans="1:3" hidden="1" x14ac:dyDescent="0.25">
      <c r="A220" s="52" t="s">
        <v>1153</v>
      </c>
      <c r="B220" s="52" t="s">
        <v>4725</v>
      </c>
      <c r="C220" s="52" t="s">
        <v>279</v>
      </c>
    </row>
    <row r="221" spans="1:3" hidden="1" x14ac:dyDescent="0.25">
      <c r="A221" s="52" t="s">
        <v>1154</v>
      </c>
      <c r="B221" s="52" t="s">
        <v>1097</v>
      </c>
      <c r="C221" s="52" t="s">
        <v>279</v>
      </c>
    </row>
    <row r="222" spans="1:3" hidden="1" x14ac:dyDescent="0.25">
      <c r="A222" s="52" t="s">
        <v>1155</v>
      </c>
      <c r="B222" s="52" t="s">
        <v>4726</v>
      </c>
      <c r="C222" s="52" t="s">
        <v>279</v>
      </c>
    </row>
    <row r="223" spans="1:3" hidden="1" x14ac:dyDescent="0.25">
      <c r="A223" s="52" t="s">
        <v>1156</v>
      </c>
      <c r="B223" s="52" t="s">
        <v>4727</v>
      </c>
      <c r="C223" s="52" t="s">
        <v>279</v>
      </c>
    </row>
    <row r="224" spans="1:3" hidden="1" x14ac:dyDescent="0.25">
      <c r="A224" s="52" t="s">
        <v>1157</v>
      </c>
      <c r="B224" s="52" t="s">
        <v>4728</v>
      </c>
      <c r="C224" s="52" t="s">
        <v>279</v>
      </c>
    </row>
    <row r="225" spans="1:3" hidden="1" x14ac:dyDescent="0.25">
      <c r="A225" s="52" t="s">
        <v>1158</v>
      </c>
      <c r="B225" s="52" t="s">
        <v>1042</v>
      </c>
      <c r="C225" s="52" t="s">
        <v>279</v>
      </c>
    </row>
    <row r="226" spans="1:3" hidden="1" x14ac:dyDescent="0.25">
      <c r="A226" s="52" t="s">
        <v>1159</v>
      </c>
      <c r="B226" s="52" t="s">
        <v>4729</v>
      </c>
      <c r="C226" s="52" t="s">
        <v>279</v>
      </c>
    </row>
    <row r="227" spans="1:3" hidden="1" x14ac:dyDescent="0.25">
      <c r="A227" s="52" t="s">
        <v>1161</v>
      </c>
      <c r="B227" s="52" t="s">
        <v>4730</v>
      </c>
      <c r="C227" s="52" t="s">
        <v>279</v>
      </c>
    </row>
    <row r="228" spans="1:3" hidden="1" x14ac:dyDescent="0.25">
      <c r="A228" s="52" t="s">
        <v>1163</v>
      </c>
      <c r="B228" s="52" t="s">
        <v>4731</v>
      </c>
      <c r="C228" s="52" t="s">
        <v>279</v>
      </c>
    </row>
    <row r="229" spans="1:3" hidden="1" x14ac:dyDescent="0.25">
      <c r="A229" s="52" t="s">
        <v>1164</v>
      </c>
      <c r="B229" s="52" t="s">
        <v>4732</v>
      </c>
      <c r="C229" s="52" t="s">
        <v>279</v>
      </c>
    </row>
    <row r="230" spans="1:3" hidden="1" x14ac:dyDescent="0.25">
      <c r="A230" s="52" t="s">
        <v>1166</v>
      </c>
      <c r="B230" s="52" t="s">
        <v>4733</v>
      </c>
      <c r="C230" s="52" t="s">
        <v>279</v>
      </c>
    </row>
    <row r="231" spans="1:3" hidden="1" x14ac:dyDescent="0.25">
      <c r="A231" s="52" t="s">
        <v>1168</v>
      </c>
      <c r="B231" s="52" t="s">
        <v>4734</v>
      </c>
      <c r="C231" s="52" t="s">
        <v>279</v>
      </c>
    </row>
    <row r="232" spans="1:3" hidden="1" x14ac:dyDescent="0.25">
      <c r="A232" s="52" t="s">
        <v>1170</v>
      </c>
      <c r="B232" s="52" t="s">
        <v>4735</v>
      </c>
      <c r="C232" s="52" t="s">
        <v>279</v>
      </c>
    </row>
    <row r="233" spans="1:3" hidden="1" x14ac:dyDescent="0.25">
      <c r="A233" s="52" t="s">
        <v>1172</v>
      </c>
      <c r="B233" s="52" t="s">
        <v>4736</v>
      </c>
      <c r="C233" s="52" t="s">
        <v>279</v>
      </c>
    </row>
    <row r="234" spans="1:3" hidden="1" x14ac:dyDescent="0.25">
      <c r="A234" s="52" t="s">
        <v>1174</v>
      </c>
      <c r="B234" s="52" t="s">
        <v>4737</v>
      </c>
      <c r="C234" s="52" t="s">
        <v>279</v>
      </c>
    </row>
    <row r="235" spans="1:3" hidden="1" x14ac:dyDescent="0.25">
      <c r="A235" s="52" t="s">
        <v>1176</v>
      </c>
      <c r="B235" s="52" t="s">
        <v>4738</v>
      </c>
      <c r="C235" s="52" t="s">
        <v>279</v>
      </c>
    </row>
    <row r="236" spans="1:3" hidden="1" x14ac:dyDescent="0.25">
      <c r="A236" s="52" t="s">
        <v>1177</v>
      </c>
      <c r="B236" s="52" t="s">
        <v>4739</v>
      </c>
      <c r="C236" s="52" t="s">
        <v>279</v>
      </c>
    </row>
    <row r="237" spans="1:3" hidden="1" x14ac:dyDescent="0.25">
      <c r="A237" s="52" t="s">
        <v>1179</v>
      </c>
      <c r="B237" s="52" t="s">
        <v>4740</v>
      </c>
      <c r="C237" s="52" t="s">
        <v>279</v>
      </c>
    </row>
    <row r="238" spans="1:3" hidden="1" x14ac:dyDescent="0.25">
      <c r="A238" s="52" t="s">
        <v>1181</v>
      </c>
      <c r="B238" s="52" t="s">
        <v>4741</v>
      </c>
      <c r="C238" s="52" t="s">
        <v>279</v>
      </c>
    </row>
    <row r="239" spans="1:3" hidden="1" x14ac:dyDescent="0.25">
      <c r="A239" s="52" t="s">
        <v>1182</v>
      </c>
      <c r="B239" s="52" t="s">
        <v>4742</v>
      </c>
      <c r="C239" s="52" t="s">
        <v>279</v>
      </c>
    </row>
    <row r="240" spans="1:3" hidden="1" x14ac:dyDescent="0.25">
      <c r="A240" s="52" t="s">
        <v>1183</v>
      </c>
      <c r="B240" s="52" t="s">
        <v>4743</v>
      </c>
      <c r="C240" s="52" t="s">
        <v>279</v>
      </c>
    </row>
    <row r="241" spans="1:3" hidden="1" x14ac:dyDescent="0.25">
      <c r="A241" s="52" t="s">
        <v>1185</v>
      </c>
      <c r="B241" s="52" t="s">
        <v>4744</v>
      </c>
      <c r="C241" s="52" t="s">
        <v>279</v>
      </c>
    </row>
    <row r="242" spans="1:3" hidden="1" x14ac:dyDescent="0.25">
      <c r="A242" s="52" t="s">
        <v>1187</v>
      </c>
      <c r="B242" s="52" t="s">
        <v>4745</v>
      </c>
      <c r="C242" s="52" t="s">
        <v>279</v>
      </c>
    </row>
    <row r="243" spans="1:3" hidden="1" x14ac:dyDescent="0.25">
      <c r="A243" s="52" t="s">
        <v>1189</v>
      </c>
      <c r="B243" s="52" t="s">
        <v>4746</v>
      </c>
      <c r="C243" s="52" t="s">
        <v>279</v>
      </c>
    </row>
    <row r="244" spans="1:3" hidden="1" x14ac:dyDescent="0.25">
      <c r="A244" s="52" t="s">
        <v>1190</v>
      </c>
      <c r="B244" s="52" t="s">
        <v>4747</v>
      </c>
      <c r="C244" s="52" t="s">
        <v>279</v>
      </c>
    </row>
    <row r="245" spans="1:3" hidden="1" x14ac:dyDescent="0.25">
      <c r="A245" s="52" t="s">
        <v>1192</v>
      </c>
      <c r="B245" s="52" t="s">
        <v>4748</v>
      </c>
      <c r="C245" s="52" t="s">
        <v>279</v>
      </c>
    </row>
    <row r="246" spans="1:3" hidden="1" x14ac:dyDescent="0.25">
      <c r="A246" s="52" t="s">
        <v>1194</v>
      </c>
      <c r="B246" s="52" t="s">
        <v>4749</v>
      </c>
      <c r="C246" s="52" t="s">
        <v>279</v>
      </c>
    </row>
    <row r="247" spans="1:3" hidden="1" x14ac:dyDescent="0.25">
      <c r="A247" s="52" t="s">
        <v>1196</v>
      </c>
      <c r="B247" s="52" t="s">
        <v>4750</v>
      </c>
      <c r="C247" s="52" t="s">
        <v>279</v>
      </c>
    </row>
    <row r="248" spans="1:3" hidden="1" x14ac:dyDescent="0.25">
      <c r="A248" s="52" t="s">
        <v>1198</v>
      </c>
      <c r="B248" s="52" t="s">
        <v>4751</v>
      </c>
      <c r="C248" s="52" t="s">
        <v>279</v>
      </c>
    </row>
    <row r="249" spans="1:3" hidden="1" x14ac:dyDescent="0.25">
      <c r="A249" s="52" t="s">
        <v>1200</v>
      </c>
      <c r="B249" s="52" t="s">
        <v>4752</v>
      </c>
      <c r="C249" s="52" t="s">
        <v>279</v>
      </c>
    </row>
    <row r="250" spans="1:3" hidden="1" x14ac:dyDescent="0.25">
      <c r="A250" s="52" t="s">
        <v>1201</v>
      </c>
      <c r="B250" s="52" t="s">
        <v>4753</v>
      </c>
      <c r="C250" s="52" t="s">
        <v>279</v>
      </c>
    </row>
    <row r="251" spans="1:3" hidden="1" x14ac:dyDescent="0.25">
      <c r="A251" s="52" t="s">
        <v>1203</v>
      </c>
      <c r="B251" s="52" t="s">
        <v>1057</v>
      </c>
      <c r="C251" s="52" t="s">
        <v>279</v>
      </c>
    </row>
    <row r="252" spans="1:3" hidden="1" x14ac:dyDescent="0.25">
      <c r="A252" s="52" t="s">
        <v>1205</v>
      </c>
      <c r="B252" s="52" t="s">
        <v>4754</v>
      </c>
      <c r="C252" s="52" t="s">
        <v>279</v>
      </c>
    </row>
    <row r="253" spans="1:3" hidden="1" x14ac:dyDescent="0.25">
      <c r="A253" s="52" t="s">
        <v>1207</v>
      </c>
      <c r="B253" s="52" t="s">
        <v>4755</v>
      </c>
      <c r="C253" s="52" t="s">
        <v>279</v>
      </c>
    </row>
    <row r="254" spans="1:3" hidden="1" x14ac:dyDescent="0.25">
      <c r="A254" s="52" t="s">
        <v>1209</v>
      </c>
      <c r="B254" s="52" t="s">
        <v>4756</v>
      </c>
      <c r="C254" s="52" t="s">
        <v>319</v>
      </c>
    </row>
    <row r="255" spans="1:3" hidden="1" x14ac:dyDescent="0.25">
      <c r="A255" s="52" t="s">
        <v>1210</v>
      </c>
      <c r="B255" s="52" t="s">
        <v>4757</v>
      </c>
      <c r="C255" s="52" t="s">
        <v>319</v>
      </c>
    </row>
    <row r="256" spans="1:3" hidden="1" x14ac:dyDescent="0.25">
      <c r="A256" s="52" t="s">
        <v>1211</v>
      </c>
      <c r="B256" s="52" t="s">
        <v>4758</v>
      </c>
      <c r="C256" s="52" t="s">
        <v>319</v>
      </c>
    </row>
    <row r="257" spans="1:3" hidden="1" x14ac:dyDescent="0.25">
      <c r="A257" s="52" t="s">
        <v>1212</v>
      </c>
      <c r="B257" s="52" t="s">
        <v>4759</v>
      </c>
      <c r="C257" s="52" t="s">
        <v>319</v>
      </c>
    </row>
    <row r="258" spans="1:3" hidden="1" x14ac:dyDescent="0.25">
      <c r="A258" s="52" t="s">
        <v>1213</v>
      </c>
      <c r="B258" s="52" t="s">
        <v>4760</v>
      </c>
      <c r="C258" s="52" t="s">
        <v>319</v>
      </c>
    </row>
    <row r="259" spans="1:3" hidden="1" x14ac:dyDescent="0.25">
      <c r="A259" s="52" t="s">
        <v>1214</v>
      </c>
      <c r="B259" s="52" t="s">
        <v>4761</v>
      </c>
      <c r="C259" s="52" t="s">
        <v>319</v>
      </c>
    </row>
    <row r="260" spans="1:3" hidden="1" x14ac:dyDescent="0.25">
      <c r="A260" s="52" t="s">
        <v>1215</v>
      </c>
      <c r="B260" s="52" t="s">
        <v>4762</v>
      </c>
      <c r="C260" s="52" t="s">
        <v>319</v>
      </c>
    </row>
    <row r="261" spans="1:3" hidden="1" x14ac:dyDescent="0.25">
      <c r="A261" s="52" t="s">
        <v>1216</v>
      </c>
      <c r="B261" s="52" t="s">
        <v>4763</v>
      </c>
      <c r="C261" s="52" t="s">
        <v>319</v>
      </c>
    </row>
    <row r="262" spans="1:3" hidden="1" x14ac:dyDescent="0.25">
      <c r="A262" s="52" t="s">
        <v>1217</v>
      </c>
      <c r="B262" s="52" t="s">
        <v>4764</v>
      </c>
      <c r="C262" s="52" t="s">
        <v>319</v>
      </c>
    </row>
    <row r="263" spans="1:3" hidden="1" x14ac:dyDescent="0.25">
      <c r="A263" s="52" t="s">
        <v>1218</v>
      </c>
      <c r="B263" s="52" t="s">
        <v>4765</v>
      </c>
      <c r="C263" s="52" t="s">
        <v>319</v>
      </c>
    </row>
    <row r="264" spans="1:3" hidden="1" x14ac:dyDescent="0.25">
      <c r="A264" s="52" t="s">
        <v>1219</v>
      </c>
      <c r="B264" s="52" t="s">
        <v>4766</v>
      </c>
      <c r="C264" s="52" t="s">
        <v>319</v>
      </c>
    </row>
    <row r="265" spans="1:3" hidden="1" x14ac:dyDescent="0.25">
      <c r="A265" s="52" t="s">
        <v>1220</v>
      </c>
      <c r="B265" s="52" t="s">
        <v>4767</v>
      </c>
      <c r="C265" s="52" t="s">
        <v>319</v>
      </c>
    </row>
    <row r="266" spans="1:3" hidden="1" x14ac:dyDescent="0.25">
      <c r="A266" s="52" t="s">
        <v>1221</v>
      </c>
      <c r="B266" s="52" t="s">
        <v>4768</v>
      </c>
      <c r="C266" s="52" t="s">
        <v>319</v>
      </c>
    </row>
    <row r="267" spans="1:3" hidden="1" x14ac:dyDescent="0.25">
      <c r="A267" s="52" t="s">
        <v>1222</v>
      </c>
      <c r="B267" s="52" t="s">
        <v>4769</v>
      </c>
      <c r="C267" s="52" t="s">
        <v>319</v>
      </c>
    </row>
    <row r="268" spans="1:3" hidden="1" x14ac:dyDescent="0.25">
      <c r="A268" s="52" t="s">
        <v>1223</v>
      </c>
      <c r="B268" s="52" t="s">
        <v>4770</v>
      </c>
      <c r="C268" s="52" t="s">
        <v>319</v>
      </c>
    </row>
    <row r="269" spans="1:3" hidden="1" x14ac:dyDescent="0.25">
      <c r="A269" s="52" t="s">
        <v>1224</v>
      </c>
      <c r="B269" s="52" t="s">
        <v>4771</v>
      </c>
      <c r="C269" s="52" t="s">
        <v>319</v>
      </c>
    </row>
    <row r="270" spans="1:3" hidden="1" x14ac:dyDescent="0.25">
      <c r="A270" s="52" t="s">
        <v>1225</v>
      </c>
      <c r="B270" s="52" t="s">
        <v>4772</v>
      </c>
      <c r="C270" s="52" t="s">
        <v>319</v>
      </c>
    </row>
    <row r="271" spans="1:3" hidden="1" x14ac:dyDescent="0.25">
      <c r="A271" s="52" t="s">
        <v>1226</v>
      </c>
      <c r="B271" s="52" t="s">
        <v>4773</v>
      </c>
      <c r="C271" s="52" t="s">
        <v>319</v>
      </c>
    </row>
    <row r="272" spans="1:3" hidden="1" x14ac:dyDescent="0.25">
      <c r="A272" s="52" t="s">
        <v>1228</v>
      </c>
      <c r="B272" s="52" t="s">
        <v>4774</v>
      </c>
      <c r="C272" s="52" t="s">
        <v>319</v>
      </c>
    </row>
    <row r="273" spans="1:3" hidden="1" x14ac:dyDescent="0.25">
      <c r="A273" s="52" t="s">
        <v>1230</v>
      </c>
      <c r="B273" s="52" t="s">
        <v>4775</v>
      </c>
      <c r="C273" s="52" t="s">
        <v>319</v>
      </c>
    </row>
    <row r="274" spans="1:3" hidden="1" x14ac:dyDescent="0.25">
      <c r="A274" s="52" t="s">
        <v>1231</v>
      </c>
      <c r="B274" s="52" t="s">
        <v>4776</v>
      </c>
      <c r="C274" s="52" t="s">
        <v>319</v>
      </c>
    </row>
    <row r="275" spans="1:3" hidden="1" x14ac:dyDescent="0.25">
      <c r="A275" s="52" t="s">
        <v>1233</v>
      </c>
      <c r="B275" s="52" t="s">
        <v>4668</v>
      </c>
      <c r="C275" s="52" t="s">
        <v>319</v>
      </c>
    </row>
    <row r="276" spans="1:3" hidden="1" x14ac:dyDescent="0.25">
      <c r="A276" s="52" t="s">
        <v>1235</v>
      </c>
      <c r="B276" s="52" t="s">
        <v>4623</v>
      </c>
      <c r="C276" s="52" t="s">
        <v>319</v>
      </c>
    </row>
    <row r="277" spans="1:3" hidden="1" x14ac:dyDescent="0.25">
      <c r="A277" s="52" t="s">
        <v>1236</v>
      </c>
      <c r="B277" s="52" t="s">
        <v>4777</v>
      </c>
      <c r="C277" s="52" t="s">
        <v>319</v>
      </c>
    </row>
    <row r="278" spans="1:3" hidden="1" x14ac:dyDescent="0.25">
      <c r="A278" s="52" t="s">
        <v>1237</v>
      </c>
      <c r="B278" s="52" t="s">
        <v>4778</v>
      </c>
      <c r="C278" s="52" t="s">
        <v>319</v>
      </c>
    </row>
    <row r="279" spans="1:3" hidden="1" x14ac:dyDescent="0.25">
      <c r="A279" s="52" t="s">
        <v>1238</v>
      </c>
      <c r="B279" s="52" t="s">
        <v>4779</v>
      </c>
      <c r="C279" s="52" t="s">
        <v>319</v>
      </c>
    </row>
    <row r="280" spans="1:3" hidden="1" x14ac:dyDescent="0.25">
      <c r="A280" s="52" t="s">
        <v>1239</v>
      </c>
      <c r="B280" s="52" t="s">
        <v>4780</v>
      </c>
      <c r="C280" s="52" t="s">
        <v>319</v>
      </c>
    </row>
    <row r="281" spans="1:3" hidden="1" x14ac:dyDescent="0.25">
      <c r="A281" s="52" t="s">
        <v>1240</v>
      </c>
      <c r="B281" s="52" t="s">
        <v>4781</v>
      </c>
      <c r="C281" s="52" t="s">
        <v>319</v>
      </c>
    </row>
    <row r="282" spans="1:3" hidden="1" x14ac:dyDescent="0.25">
      <c r="A282" s="52" t="s">
        <v>1241</v>
      </c>
      <c r="B282" s="52" t="s">
        <v>4782</v>
      </c>
      <c r="C282" s="52" t="s">
        <v>319</v>
      </c>
    </row>
    <row r="283" spans="1:3" hidden="1" x14ac:dyDescent="0.25">
      <c r="A283" s="52" t="s">
        <v>1242</v>
      </c>
      <c r="B283" s="52" t="s">
        <v>4783</v>
      </c>
      <c r="C283" s="52" t="s">
        <v>319</v>
      </c>
    </row>
    <row r="284" spans="1:3" hidden="1" x14ac:dyDescent="0.25">
      <c r="A284" s="52" t="s">
        <v>1243</v>
      </c>
      <c r="B284" s="52" t="s">
        <v>4784</v>
      </c>
      <c r="C284" s="52" t="s">
        <v>319</v>
      </c>
    </row>
    <row r="285" spans="1:3" hidden="1" x14ac:dyDescent="0.25">
      <c r="A285" s="52" t="s">
        <v>1244</v>
      </c>
      <c r="B285" s="52" t="s">
        <v>4785</v>
      </c>
      <c r="C285" s="52" t="s">
        <v>319</v>
      </c>
    </row>
    <row r="286" spans="1:3" hidden="1" x14ac:dyDescent="0.25">
      <c r="A286" s="52" t="s">
        <v>1245</v>
      </c>
      <c r="B286" s="52" t="s">
        <v>4786</v>
      </c>
      <c r="C286" s="52" t="s">
        <v>319</v>
      </c>
    </row>
    <row r="287" spans="1:3" hidden="1" x14ac:dyDescent="0.25">
      <c r="A287" s="52" t="s">
        <v>1246</v>
      </c>
      <c r="B287" s="52" t="s">
        <v>4787</v>
      </c>
      <c r="C287" s="52" t="s">
        <v>319</v>
      </c>
    </row>
    <row r="288" spans="1:3" hidden="1" x14ac:dyDescent="0.25">
      <c r="A288" s="52" t="s">
        <v>1247</v>
      </c>
      <c r="B288" s="52" t="s">
        <v>4788</v>
      </c>
      <c r="C288" s="52" t="s">
        <v>319</v>
      </c>
    </row>
    <row r="289" spans="1:3" hidden="1" x14ac:dyDescent="0.25">
      <c r="A289" s="52" t="s">
        <v>1248</v>
      </c>
      <c r="B289" s="52" t="s">
        <v>4789</v>
      </c>
      <c r="C289" s="52" t="s">
        <v>319</v>
      </c>
    </row>
    <row r="290" spans="1:3" hidden="1" x14ac:dyDescent="0.25">
      <c r="A290" s="52" t="s">
        <v>1250</v>
      </c>
      <c r="B290" s="52" t="s">
        <v>4790</v>
      </c>
      <c r="C290" s="52" t="s">
        <v>319</v>
      </c>
    </row>
    <row r="291" spans="1:3" hidden="1" x14ac:dyDescent="0.25">
      <c r="A291" s="52" t="s">
        <v>1251</v>
      </c>
      <c r="B291" s="52" t="s">
        <v>4791</v>
      </c>
      <c r="C291" s="52" t="s">
        <v>319</v>
      </c>
    </row>
    <row r="292" spans="1:3" hidden="1" x14ac:dyDescent="0.25">
      <c r="A292" s="52" t="s">
        <v>1252</v>
      </c>
      <c r="B292" s="52" t="s">
        <v>4792</v>
      </c>
      <c r="C292" s="52" t="s">
        <v>319</v>
      </c>
    </row>
    <row r="293" spans="1:3" hidden="1" x14ac:dyDescent="0.25">
      <c r="A293" s="52" t="s">
        <v>1253</v>
      </c>
      <c r="B293" s="52" t="s">
        <v>4793</v>
      </c>
      <c r="C293" s="52" t="s">
        <v>319</v>
      </c>
    </row>
    <row r="294" spans="1:3" hidden="1" x14ac:dyDescent="0.25">
      <c r="A294" s="52" t="s">
        <v>1254</v>
      </c>
      <c r="B294" s="52" t="s">
        <v>4794</v>
      </c>
      <c r="C294" s="52" t="s">
        <v>319</v>
      </c>
    </row>
    <row r="295" spans="1:3" hidden="1" x14ac:dyDescent="0.25">
      <c r="A295" s="52" t="s">
        <v>1255</v>
      </c>
      <c r="B295" s="52" t="s">
        <v>4795</v>
      </c>
      <c r="C295" s="52" t="s">
        <v>319</v>
      </c>
    </row>
    <row r="296" spans="1:3" hidden="1" x14ac:dyDescent="0.25">
      <c r="A296" s="52" t="s">
        <v>1256</v>
      </c>
      <c r="B296" s="52" t="s">
        <v>4796</v>
      </c>
      <c r="C296" s="52" t="s">
        <v>319</v>
      </c>
    </row>
    <row r="297" spans="1:3" hidden="1" x14ac:dyDescent="0.25">
      <c r="A297" s="52" t="s">
        <v>1257</v>
      </c>
      <c r="B297" s="52" t="s">
        <v>4797</v>
      </c>
      <c r="C297" s="52" t="s">
        <v>319</v>
      </c>
    </row>
    <row r="298" spans="1:3" hidden="1" x14ac:dyDescent="0.25">
      <c r="A298" s="52" t="s">
        <v>1259</v>
      </c>
      <c r="B298" s="52" t="s">
        <v>4798</v>
      </c>
      <c r="C298" s="52" t="s">
        <v>319</v>
      </c>
    </row>
    <row r="299" spans="1:3" hidden="1" x14ac:dyDescent="0.25">
      <c r="A299" s="52" t="s">
        <v>1261</v>
      </c>
      <c r="B299" s="52" t="s">
        <v>4799</v>
      </c>
      <c r="C299" s="52" t="s">
        <v>319</v>
      </c>
    </row>
    <row r="300" spans="1:3" hidden="1" x14ac:dyDescent="0.25">
      <c r="A300" s="52" t="s">
        <v>1262</v>
      </c>
      <c r="B300" s="52" t="s">
        <v>4800</v>
      </c>
      <c r="C300" s="52" t="s">
        <v>319</v>
      </c>
    </row>
    <row r="301" spans="1:3" hidden="1" x14ac:dyDescent="0.25">
      <c r="A301" s="52" t="s">
        <v>1263</v>
      </c>
      <c r="B301" s="52" t="s">
        <v>4801</v>
      </c>
      <c r="C301" s="52" t="s">
        <v>319</v>
      </c>
    </row>
    <row r="302" spans="1:3" hidden="1" x14ac:dyDescent="0.25">
      <c r="A302" s="52" t="s">
        <v>1265</v>
      </c>
      <c r="B302" s="52" t="s">
        <v>4802</v>
      </c>
      <c r="C302" s="52" t="s">
        <v>319</v>
      </c>
    </row>
    <row r="303" spans="1:3" hidden="1" x14ac:dyDescent="0.25">
      <c r="A303" s="52" t="s">
        <v>1266</v>
      </c>
      <c r="B303" s="52" t="s">
        <v>4803</v>
      </c>
      <c r="C303" s="52" t="s">
        <v>319</v>
      </c>
    </row>
    <row r="304" spans="1:3" hidden="1" x14ac:dyDescent="0.25">
      <c r="A304" s="52" t="s">
        <v>1268</v>
      </c>
      <c r="B304" s="52" t="s">
        <v>4804</v>
      </c>
      <c r="C304" s="52" t="s">
        <v>319</v>
      </c>
    </row>
    <row r="305" spans="1:3" hidden="1" x14ac:dyDescent="0.25">
      <c r="A305" s="52" t="s">
        <v>1270</v>
      </c>
      <c r="B305" s="52" t="s">
        <v>4805</v>
      </c>
      <c r="C305" s="52" t="s">
        <v>319</v>
      </c>
    </row>
    <row r="306" spans="1:3" hidden="1" x14ac:dyDescent="0.25">
      <c r="A306" s="52" t="s">
        <v>1271</v>
      </c>
      <c r="B306" s="52" t="s">
        <v>4806</v>
      </c>
      <c r="C306" s="52" t="s">
        <v>319</v>
      </c>
    </row>
    <row r="307" spans="1:3" hidden="1" x14ac:dyDescent="0.25">
      <c r="A307" s="52" t="s">
        <v>1272</v>
      </c>
      <c r="B307" s="52" t="s">
        <v>4807</v>
      </c>
      <c r="C307" s="52" t="s">
        <v>319</v>
      </c>
    </row>
    <row r="308" spans="1:3" hidden="1" x14ac:dyDescent="0.25">
      <c r="A308" s="52" t="s">
        <v>1273</v>
      </c>
      <c r="B308" s="52" t="s">
        <v>4808</v>
      </c>
      <c r="C308" s="52" t="s">
        <v>319</v>
      </c>
    </row>
    <row r="309" spans="1:3" hidden="1" x14ac:dyDescent="0.25">
      <c r="A309" s="52" t="s">
        <v>1274</v>
      </c>
      <c r="B309" s="52" t="s">
        <v>4809</v>
      </c>
      <c r="C309" s="52" t="s">
        <v>319</v>
      </c>
    </row>
    <row r="310" spans="1:3" hidden="1" x14ac:dyDescent="0.25">
      <c r="A310" s="52" t="s">
        <v>1275</v>
      </c>
      <c r="B310" s="52" t="s">
        <v>4810</v>
      </c>
      <c r="C310" s="52" t="s">
        <v>339</v>
      </c>
    </row>
    <row r="311" spans="1:3" hidden="1" x14ac:dyDescent="0.25">
      <c r="A311" s="52" t="s">
        <v>1276</v>
      </c>
      <c r="B311" s="52" t="s">
        <v>4811</v>
      </c>
      <c r="C311" s="52" t="s">
        <v>339</v>
      </c>
    </row>
    <row r="312" spans="1:3" hidden="1" x14ac:dyDescent="0.25">
      <c r="A312" s="52" t="s">
        <v>1277</v>
      </c>
      <c r="B312" s="52" t="s">
        <v>4812</v>
      </c>
      <c r="C312" s="52" t="s">
        <v>339</v>
      </c>
    </row>
    <row r="313" spans="1:3" hidden="1" x14ac:dyDescent="0.25">
      <c r="A313" s="52" t="s">
        <v>1278</v>
      </c>
      <c r="B313" s="52" t="s">
        <v>4813</v>
      </c>
      <c r="C313" s="52" t="s">
        <v>339</v>
      </c>
    </row>
    <row r="314" spans="1:3" hidden="1" x14ac:dyDescent="0.25">
      <c r="A314" s="52" t="s">
        <v>1279</v>
      </c>
      <c r="B314" s="52" t="s">
        <v>4814</v>
      </c>
      <c r="C314" s="52" t="s">
        <v>339</v>
      </c>
    </row>
    <row r="315" spans="1:3" hidden="1" x14ac:dyDescent="0.25">
      <c r="A315" s="52" t="s">
        <v>1280</v>
      </c>
      <c r="B315" s="52" t="s">
        <v>4815</v>
      </c>
      <c r="C315" s="52" t="s">
        <v>339</v>
      </c>
    </row>
    <row r="316" spans="1:3" hidden="1" x14ac:dyDescent="0.25">
      <c r="A316" s="52" t="s">
        <v>1281</v>
      </c>
      <c r="B316" s="52" t="s">
        <v>4816</v>
      </c>
      <c r="C316" s="52" t="s">
        <v>339</v>
      </c>
    </row>
    <row r="317" spans="1:3" hidden="1" x14ac:dyDescent="0.25">
      <c r="A317" s="52" t="s">
        <v>1282</v>
      </c>
      <c r="B317" s="52" t="s">
        <v>4817</v>
      </c>
      <c r="C317" s="52" t="s">
        <v>339</v>
      </c>
    </row>
    <row r="318" spans="1:3" hidden="1" x14ac:dyDescent="0.25">
      <c r="A318" s="52" t="s">
        <v>1283</v>
      </c>
      <c r="B318" s="52" t="s">
        <v>4818</v>
      </c>
      <c r="C318" s="52" t="s">
        <v>339</v>
      </c>
    </row>
    <row r="319" spans="1:3" hidden="1" x14ac:dyDescent="0.25">
      <c r="A319" s="52" t="s">
        <v>1284</v>
      </c>
      <c r="B319" s="52" t="s">
        <v>4819</v>
      </c>
      <c r="C319" s="52" t="s">
        <v>339</v>
      </c>
    </row>
    <row r="320" spans="1:3" hidden="1" x14ac:dyDescent="0.25">
      <c r="A320" s="52" t="s">
        <v>1285</v>
      </c>
      <c r="B320" s="52" t="s">
        <v>4820</v>
      </c>
      <c r="C320" s="52" t="s">
        <v>339</v>
      </c>
    </row>
    <row r="321" spans="1:3" hidden="1" x14ac:dyDescent="0.25">
      <c r="A321" s="52" t="s">
        <v>1286</v>
      </c>
      <c r="B321" s="52" t="s">
        <v>4821</v>
      </c>
      <c r="C321" s="52" t="s">
        <v>339</v>
      </c>
    </row>
    <row r="322" spans="1:3" hidden="1" x14ac:dyDescent="0.25">
      <c r="A322" s="52" t="s">
        <v>1287</v>
      </c>
      <c r="B322" s="52" t="s">
        <v>4822</v>
      </c>
      <c r="C322" s="52" t="s">
        <v>339</v>
      </c>
    </row>
    <row r="323" spans="1:3" hidden="1" x14ac:dyDescent="0.25">
      <c r="A323" s="52" t="s">
        <v>1288</v>
      </c>
      <c r="B323" s="52" t="s">
        <v>4823</v>
      </c>
      <c r="C323" s="52" t="s">
        <v>339</v>
      </c>
    </row>
    <row r="324" spans="1:3" hidden="1" x14ac:dyDescent="0.25">
      <c r="A324" s="52" t="s">
        <v>1289</v>
      </c>
      <c r="B324" s="52" t="s">
        <v>4824</v>
      </c>
      <c r="C324" s="52" t="s">
        <v>339</v>
      </c>
    </row>
    <row r="325" spans="1:3" hidden="1" x14ac:dyDescent="0.25">
      <c r="A325" s="52" t="s">
        <v>1290</v>
      </c>
      <c r="B325" s="52" t="s">
        <v>4825</v>
      </c>
      <c r="C325" s="52" t="s">
        <v>339</v>
      </c>
    </row>
    <row r="326" spans="1:3" hidden="1" x14ac:dyDescent="0.25">
      <c r="A326" s="52" t="s">
        <v>1291</v>
      </c>
      <c r="B326" s="52" t="s">
        <v>4826</v>
      </c>
      <c r="C326" s="52" t="s">
        <v>339</v>
      </c>
    </row>
    <row r="327" spans="1:3" hidden="1" x14ac:dyDescent="0.25">
      <c r="A327" s="52" t="s">
        <v>1292</v>
      </c>
      <c r="B327" s="52" t="s">
        <v>4827</v>
      </c>
      <c r="C327" s="52" t="s">
        <v>339</v>
      </c>
    </row>
    <row r="328" spans="1:3" hidden="1" x14ac:dyDescent="0.25">
      <c r="A328" s="52" t="s">
        <v>1293</v>
      </c>
      <c r="B328" s="52" t="s">
        <v>4828</v>
      </c>
      <c r="C328" s="52" t="s">
        <v>339</v>
      </c>
    </row>
    <row r="329" spans="1:3" hidden="1" x14ac:dyDescent="0.25">
      <c r="A329" s="52" t="s">
        <v>1294</v>
      </c>
      <c r="B329" s="52" t="s">
        <v>4829</v>
      </c>
      <c r="C329" s="52" t="s">
        <v>339</v>
      </c>
    </row>
    <row r="330" spans="1:3" hidden="1" x14ac:dyDescent="0.25">
      <c r="A330" s="52" t="s">
        <v>1295</v>
      </c>
      <c r="B330" s="52" t="s">
        <v>4830</v>
      </c>
      <c r="C330" s="52" t="s">
        <v>339</v>
      </c>
    </row>
    <row r="331" spans="1:3" hidden="1" x14ac:dyDescent="0.25">
      <c r="A331" s="52" t="s">
        <v>1296</v>
      </c>
      <c r="B331" s="52" t="s">
        <v>4831</v>
      </c>
      <c r="C331" s="52" t="s">
        <v>339</v>
      </c>
    </row>
    <row r="332" spans="1:3" hidden="1" x14ac:dyDescent="0.25">
      <c r="A332" s="52" t="s">
        <v>1297</v>
      </c>
      <c r="B332" s="52" t="s">
        <v>4832</v>
      </c>
      <c r="C332" s="52" t="s">
        <v>339</v>
      </c>
    </row>
    <row r="333" spans="1:3" hidden="1" x14ac:dyDescent="0.25">
      <c r="A333" s="52" t="s">
        <v>1298</v>
      </c>
      <c r="B333" s="52" t="s">
        <v>4833</v>
      </c>
      <c r="C333" s="52" t="s">
        <v>339</v>
      </c>
    </row>
    <row r="334" spans="1:3" hidden="1" x14ac:dyDescent="0.25">
      <c r="A334" s="52" t="s">
        <v>1299</v>
      </c>
      <c r="B334" s="52" t="s">
        <v>4834</v>
      </c>
      <c r="C334" s="52" t="s">
        <v>339</v>
      </c>
    </row>
    <row r="335" spans="1:3" hidden="1" x14ac:dyDescent="0.25">
      <c r="A335" s="52" t="s">
        <v>1300</v>
      </c>
      <c r="B335" s="52" t="s">
        <v>4835</v>
      </c>
      <c r="C335" s="52" t="s">
        <v>339</v>
      </c>
    </row>
    <row r="336" spans="1:3" hidden="1" x14ac:dyDescent="0.25">
      <c r="A336" s="52" t="s">
        <v>1301</v>
      </c>
      <c r="B336" s="52" t="s">
        <v>4836</v>
      </c>
      <c r="C336" s="52" t="s">
        <v>339</v>
      </c>
    </row>
    <row r="337" spans="1:3" hidden="1" x14ac:dyDescent="0.25">
      <c r="A337" s="52" t="s">
        <v>1302</v>
      </c>
      <c r="B337" s="52" t="s">
        <v>4837</v>
      </c>
      <c r="C337" s="52" t="s">
        <v>339</v>
      </c>
    </row>
    <row r="338" spans="1:3" hidden="1" x14ac:dyDescent="0.25">
      <c r="A338" s="52" t="s">
        <v>1303</v>
      </c>
      <c r="B338" s="52" t="s">
        <v>4838</v>
      </c>
      <c r="C338" s="52" t="s">
        <v>339</v>
      </c>
    </row>
    <row r="339" spans="1:3" hidden="1" x14ac:dyDescent="0.25">
      <c r="A339" s="52" t="s">
        <v>1304</v>
      </c>
      <c r="B339" s="52" t="s">
        <v>4839</v>
      </c>
      <c r="C339" s="52" t="s">
        <v>339</v>
      </c>
    </row>
    <row r="340" spans="1:3" hidden="1" x14ac:dyDescent="0.25">
      <c r="A340" s="52" t="s">
        <v>1305</v>
      </c>
      <c r="B340" s="52" t="s">
        <v>4840</v>
      </c>
      <c r="C340" s="52" t="s">
        <v>339</v>
      </c>
    </row>
    <row r="341" spans="1:3" hidden="1" x14ac:dyDescent="0.25">
      <c r="A341" s="52" t="s">
        <v>1306</v>
      </c>
      <c r="B341" s="52" t="s">
        <v>4841</v>
      </c>
      <c r="C341" s="52" t="s">
        <v>339</v>
      </c>
    </row>
    <row r="342" spans="1:3" hidden="1" x14ac:dyDescent="0.25">
      <c r="A342" s="52" t="s">
        <v>1307</v>
      </c>
      <c r="B342" s="52" t="s">
        <v>4842</v>
      </c>
      <c r="C342" s="52" t="s">
        <v>339</v>
      </c>
    </row>
    <row r="343" spans="1:3" hidden="1" x14ac:dyDescent="0.25">
      <c r="A343" s="52" t="s">
        <v>1308</v>
      </c>
      <c r="B343" s="52" t="s">
        <v>4843</v>
      </c>
      <c r="C343" s="52" t="s">
        <v>339</v>
      </c>
    </row>
    <row r="344" spans="1:3" hidden="1" x14ac:dyDescent="0.25">
      <c r="A344" s="52" t="s">
        <v>1309</v>
      </c>
      <c r="B344" s="52" t="s">
        <v>4844</v>
      </c>
      <c r="C344" s="52" t="s">
        <v>339</v>
      </c>
    </row>
    <row r="345" spans="1:3" hidden="1" x14ac:dyDescent="0.25">
      <c r="A345" s="52" t="s">
        <v>1310</v>
      </c>
      <c r="B345" s="52" t="s">
        <v>4845</v>
      </c>
      <c r="C345" s="52" t="s">
        <v>339</v>
      </c>
    </row>
    <row r="346" spans="1:3" hidden="1" x14ac:dyDescent="0.25">
      <c r="A346" s="52" t="s">
        <v>1311</v>
      </c>
      <c r="B346" s="52" t="s">
        <v>4846</v>
      </c>
      <c r="C346" s="52" t="s">
        <v>339</v>
      </c>
    </row>
    <row r="347" spans="1:3" hidden="1" x14ac:dyDescent="0.25">
      <c r="A347" s="52" t="s">
        <v>1312</v>
      </c>
      <c r="B347" s="52" t="s">
        <v>4847</v>
      </c>
      <c r="C347" s="52" t="s">
        <v>339</v>
      </c>
    </row>
    <row r="348" spans="1:3" hidden="1" x14ac:dyDescent="0.25">
      <c r="A348" s="52" t="s">
        <v>1313</v>
      </c>
      <c r="B348" s="52" t="s">
        <v>4848</v>
      </c>
      <c r="C348" s="52" t="s">
        <v>339</v>
      </c>
    </row>
    <row r="349" spans="1:3" hidden="1" x14ac:dyDescent="0.25">
      <c r="A349" s="52" t="s">
        <v>1314</v>
      </c>
      <c r="B349" s="52" t="s">
        <v>4849</v>
      </c>
      <c r="C349" s="52" t="s">
        <v>339</v>
      </c>
    </row>
    <row r="350" spans="1:3" hidden="1" x14ac:dyDescent="0.25">
      <c r="A350" s="52" t="s">
        <v>1315</v>
      </c>
      <c r="B350" s="52" t="s">
        <v>4850</v>
      </c>
      <c r="C350" s="52" t="s">
        <v>339</v>
      </c>
    </row>
    <row r="351" spans="1:3" hidden="1" x14ac:dyDescent="0.25">
      <c r="A351" s="52" t="s">
        <v>1316</v>
      </c>
      <c r="B351" s="52" t="s">
        <v>4851</v>
      </c>
      <c r="C351" s="52" t="s">
        <v>339</v>
      </c>
    </row>
    <row r="352" spans="1:3" hidden="1" x14ac:dyDescent="0.25">
      <c r="A352" s="52" t="s">
        <v>1317</v>
      </c>
      <c r="B352" s="52" t="s">
        <v>4721</v>
      </c>
      <c r="C352" s="52" t="s">
        <v>339</v>
      </c>
    </row>
    <row r="353" spans="1:3" hidden="1" x14ac:dyDescent="0.25">
      <c r="A353" s="52" t="s">
        <v>1318</v>
      </c>
      <c r="B353" s="52" t="s">
        <v>4852</v>
      </c>
      <c r="C353" s="52" t="s">
        <v>339</v>
      </c>
    </row>
    <row r="354" spans="1:3" hidden="1" x14ac:dyDescent="0.25">
      <c r="A354" s="52" t="s">
        <v>1319</v>
      </c>
      <c r="B354" s="52" t="s">
        <v>4853</v>
      </c>
      <c r="C354" s="52" t="s">
        <v>339</v>
      </c>
    </row>
    <row r="355" spans="1:3" hidden="1" x14ac:dyDescent="0.25">
      <c r="A355" s="52" t="s">
        <v>1320</v>
      </c>
      <c r="B355" s="52" t="s">
        <v>4725</v>
      </c>
      <c r="C355" s="52" t="s">
        <v>339</v>
      </c>
    </row>
    <row r="356" spans="1:3" hidden="1" x14ac:dyDescent="0.25">
      <c r="A356" s="52" t="s">
        <v>1321</v>
      </c>
      <c r="B356" s="52" t="s">
        <v>4854</v>
      </c>
      <c r="C356" s="52" t="s">
        <v>339</v>
      </c>
    </row>
    <row r="357" spans="1:3" hidden="1" x14ac:dyDescent="0.25">
      <c r="A357" s="52" t="s">
        <v>1322</v>
      </c>
      <c r="B357" s="52" t="s">
        <v>4855</v>
      </c>
      <c r="C357" s="52" t="s">
        <v>339</v>
      </c>
    </row>
    <row r="358" spans="1:3" hidden="1" x14ac:dyDescent="0.25">
      <c r="A358" s="52" t="s">
        <v>1323</v>
      </c>
      <c r="B358" s="52" t="s">
        <v>4856</v>
      </c>
      <c r="C358" s="52" t="s">
        <v>339</v>
      </c>
    </row>
    <row r="359" spans="1:3" hidden="1" x14ac:dyDescent="0.25">
      <c r="A359" s="52" t="s">
        <v>1324</v>
      </c>
      <c r="B359" s="52" t="s">
        <v>4857</v>
      </c>
      <c r="C359" s="52" t="s">
        <v>339</v>
      </c>
    </row>
    <row r="360" spans="1:3" hidden="1" x14ac:dyDescent="0.25">
      <c r="A360" s="52" t="s">
        <v>1325</v>
      </c>
      <c r="B360" s="52" t="s">
        <v>4858</v>
      </c>
      <c r="C360" s="52" t="s">
        <v>339</v>
      </c>
    </row>
    <row r="361" spans="1:3" hidden="1" x14ac:dyDescent="0.25">
      <c r="A361" s="52" t="s">
        <v>1326</v>
      </c>
      <c r="B361" s="52" t="s">
        <v>4859</v>
      </c>
      <c r="C361" s="52" t="s">
        <v>339</v>
      </c>
    </row>
    <row r="362" spans="1:3" hidden="1" x14ac:dyDescent="0.25">
      <c r="A362" s="52" t="s">
        <v>1327</v>
      </c>
      <c r="B362" s="52" t="s">
        <v>4860</v>
      </c>
      <c r="C362" s="52" t="s">
        <v>339</v>
      </c>
    </row>
    <row r="363" spans="1:3" hidden="1" x14ac:dyDescent="0.25">
      <c r="A363" s="52" t="s">
        <v>1328</v>
      </c>
      <c r="B363" s="52" t="s">
        <v>4861</v>
      </c>
      <c r="C363" s="52" t="s">
        <v>339</v>
      </c>
    </row>
    <row r="364" spans="1:3" hidden="1" x14ac:dyDescent="0.25">
      <c r="A364" s="52" t="s">
        <v>1329</v>
      </c>
      <c r="B364" s="52" t="s">
        <v>4862</v>
      </c>
      <c r="C364" s="52" t="s">
        <v>339</v>
      </c>
    </row>
    <row r="365" spans="1:3" hidden="1" x14ac:dyDescent="0.25">
      <c r="A365" s="52" t="s">
        <v>1330</v>
      </c>
      <c r="B365" s="52" t="s">
        <v>4863</v>
      </c>
      <c r="C365" s="52" t="s">
        <v>339</v>
      </c>
    </row>
    <row r="366" spans="1:3" hidden="1" x14ac:dyDescent="0.25">
      <c r="A366" s="52" t="s">
        <v>1331</v>
      </c>
      <c r="B366" s="52" t="s">
        <v>4864</v>
      </c>
      <c r="C366" s="52" t="s">
        <v>339</v>
      </c>
    </row>
    <row r="367" spans="1:3" hidden="1" x14ac:dyDescent="0.25">
      <c r="A367" s="52" t="s">
        <v>1332</v>
      </c>
      <c r="B367" s="52" t="s">
        <v>4865</v>
      </c>
      <c r="C367" s="52" t="s">
        <v>339</v>
      </c>
    </row>
    <row r="368" spans="1:3" hidden="1" x14ac:dyDescent="0.25">
      <c r="A368" s="52" t="s">
        <v>1333</v>
      </c>
      <c r="B368" s="52" t="s">
        <v>4866</v>
      </c>
      <c r="C368" s="52" t="s">
        <v>339</v>
      </c>
    </row>
    <row r="369" spans="1:3" hidden="1" x14ac:dyDescent="0.25">
      <c r="A369" s="52" t="s">
        <v>1334</v>
      </c>
      <c r="B369" s="52" t="s">
        <v>4867</v>
      </c>
      <c r="C369" s="52" t="s">
        <v>339</v>
      </c>
    </row>
    <row r="370" spans="1:3" hidden="1" x14ac:dyDescent="0.25">
      <c r="A370" s="52" t="s">
        <v>1335</v>
      </c>
      <c r="B370" s="52" t="s">
        <v>4868</v>
      </c>
      <c r="C370" s="52" t="s">
        <v>339</v>
      </c>
    </row>
    <row r="371" spans="1:3" hidden="1" x14ac:dyDescent="0.25">
      <c r="A371" s="52" t="s">
        <v>1336</v>
      </c>
      <c r="B371" s="52" t="s">
        <v>4869</v>
      </c>
      <c r="C371" s="52" t="s">
        <v>339</v>
      </c>
    </row>
    <row r="372" spans="1:3" hidden="1" x14ac:dyDescent="0.25">
      <c r="A372" s="52" t="s">
        <v>1337</v>
      </c>
      <c r="B372" s="52" t="s">
        <v>4870</v>
      </c>
      <c r="C372" s="52" t="s">
        <v>339</v>
      </c>
    </row>
    <row r="373" spans="1:3" hidden="1" x14ac:dyDescent="0.25">
      <c r="A373" s="52" t="s">
        <v>1338</v>
      </c>
      <c r="B373" s="52" t="s">
        <v>4871</v>
      </c>
      <c r="C373" s="52" t="s">
        <v>339</v>
      </c>
    </row>
    <row r="374" spans="1:3" hidden="1" x14ac:dyDescent="0.25">
      <c r="A374" s="52" t="s">
        <v>1339</v>
      </c>
      <c r="B374" s="52" t="s">
        <v>4872</v>
      </c>
      <c r="C374" s="52" t="s">
        <v>339</v>
      </c>
    </row>
    <row r="375" spans="1:3" hidden="1" x14ac:dyDescent="0.25">
      <c r="A375" s="52" t="s">
        <v>1340</v>
      </c>
      <c r="B375" s="52" t="s">
        <v>4873</v>
      </c>
      <c r="C375" s="52" t="s">
        <v>379</v>
      </c>
    </row>
    <row r="376" spans="1:3" hidden="1" x14ac:dyDescent="0.25">
      <c r="A376" s="52" t="s">
        <v>1341</v>
      </c>
      <c r="B376" s="52" t="s">
        <v>4874</v>
      </c>
      <c r="C376" s="52" t="s">
        <v>379</v>
      </c>
    </row>
    <row r="377" spans="1:3" hidden="1" x14ac:dyDescent="0.25">
      <c r="A377" s="52" t="s">
        <v>1342</v>
      </c>
      <c r="B377" s="52" t="s">
        <v>4875</v>
      </c>
      <c r="C377" s="52" t="s">
        <v>379</v>
      </c>
    </row>
    <row r="378" spans="1:3" hidden="1" x14ac:dyDescent="0.25">
      <c r="A378" s="52" t="s">
        <v>1343</v>
      </c>
      <c r="B378" s="52" t="s">
        <v>4876</v>
      </c>
      <c r="C378" s="52" t="s">
        <v>379</v>
      </c>
    </row>
    <row r="379" spans="1:3" hidden="1" x14ac:dyDescent="0.25">
      <c r="A379" s="52" t="s">
        <v>1344</v>
      </c>
      <c r="B379" s="52" t="s">
        <v>4877</v>
      </c>
      <c r="C379" s="52" t="s">
        <v>379</v>
      </c>
    </row>
    <row r="380" spans="1:3" hidden="1" x14ac:dyDescent="0.25">
      <c r="A380" s="52" t="s">
        <v>1345</v>
      </c>
      <c r="B380" s="52" t="s">
        <v>4878</v>
      </c>
      <c r="C380" s="52" t="s">
        <v>379</v>
      </c>
    </row>
    <row r="381" spans="1:3" hidden="1" x14ac:dyDescent="0.25">
      <c r="A381" s="52" t="s">
        <v>1346</v>
      </c>
      <c r="B381" s="52" t="s">
        <v>4879</v>
      </c>
      <c r="C381" s="52" t="s">
        <v>379</v>
      </c>
    </row>
    <row r="382" spans="1:3" hidden="1" x14ac:dyDescent="0.25">
      <c r="A382" s="52" t="s">
        <v>1347</v>
      </c>
      <c r="B382" s="52" t="s">
        <v>4880</v>
      </c>
      <c r="C382" s="52" t="s">
        <v>379</v>
      </c>
    </row>
    <row r="383" spans="1:3" hidden="1" x14ac:dyDescent="0.25">
      <c r="A383" s="52" t="s">
        <v>1348</v>
      </c>
      <c r="B383" s="52" t="s">
        <v>4881</v>
      </c>
      <c r="C383" s="52" t="s">
        <v>379</v>
      </c>
    </row>
    <row r="384" spans="1:3" hidden="1" x14ac:dyDescent="0.25">
      <c r="A384" s="52" t="s">
        <v>1349</v>
      </c>
      <c r="B384" s="52" t="s">
        <v>4882</v>
      </c>
      <c r="C384" s="52" t="s">
        <v>379</v>
      </c>
    </row>
    <row r="385" spans="1:3" hidden="1" x14ac:dyDescent="0.25">
      <c r="A385" s="52" t="s">
        <v>1350</v>
      </c>
      <c r="B385" s="52" t="s">
        <v>4883</v>
      </c>
      <c r="C385" s="52" t="s">
        <v>379</v>
      </c>
    </row>
    <row r="386" spans="1:3" hidden="1" x14ac:dyDescent="0.25">
      <c r="A386" s="52" t="s">
        <v>1351</v>
      </c>
      <c r="B386" s="52" t="s">
        <v>4884</v>
      </c>
      <c r="C386" s="52" t="s">
        <v>379</v>
      </c>
    </row>
    <row r="387" spans="1:3" hidden="1" x14ac:dyDescent="0.25">
      <c r="A387" s="52" t="s">
        <v>1352</v>
      </c>
      <c r="B387" s="52" t="s">
        <v>4885</v>
      </c>
      <c r="C387" s="52" t="s">
        <v>379</v>
      </c>
    </row>
    <row r="388" spans="1:3" hidden="1" x14ac:dyDescent="0.25">
      <c r="A388" s="52" t="s">
        <v>1353</v>
      </c>
      <c r="B388" s="52" t="s">
        <v>4886</v>
      </c>
      <c r="C388" s="52" t="s">
        <v>379</v>
      </c>
    </row>
    <row r="389" spans="1:3" hidden="1" x14ac:dyDescent="0.25">
      <c r="A389" s="52" t="s">
        <v>1354</v>
      </c>
      <c r="B389" s="52" t="s">
        <v>4887</v>
      </c>
      <c r="C389" s="52" t="s">
        <v>379</v>
      </c>
    </row>
    <row r="390" spans="1:3" hidden="1" x14ac:dyDescent="0.25">
      <c r="A390" s="52" t="s">
        <v>1355</v>
      </c>
      <c r="B390" s="52" t="s">
        <v>895</v>
      </c>
      <c r="C390" s="52" t="s">
        <v>379</v>
      </c>
    </row>
    <row r="391" spans="1:3" hidden="1" x14ac:dyDescent="0.25">
      <c r="A391" s="52" t="s">
        <v>1356</v>
      </c>
      <c r="B391" s="52" t="s">
        <v>4888</v>
      </c>
      <c r="C391" s="52" t="s">
        <v>379</v>
      </c>
    </row>
    <row r="392" spans="1:3" hidden="1" x14ac:dyDescent="0.25">
      <c r="A392" s="52" t="s">
        <v>1357</v>
      </c>
      <c r="B392" s="52" t="s">
        <v>4889</v>
      </c>
      <c r="C392" s="52" t="s">
        <v>379</v>
      </c>
    </row>
    <row r="393" spans="1:3" hidden="1" x14ac:dyDescent="0.25">
      <c r="A393" s="52" t="s">
        <v>1358</v>
      </c>
      <c r="B393" s="52" t="s">
        <v>4890</v>
      </c>
      <c r="C393" s="52" t="s">
        <v>379</v>
      </c>
    </row>
    <row r="394" spans="1:3" hidden="1" x14ac:dyDescent="0.25">
      <c r="A394" s="52" t="s">
        <v>1359</v>
      </c>
      <c r="B394" s="52" t="s">
        <v>4891</v>
      </c>
      <c r="C394" s="52" t="s">
        <v>379</v>
      </c>
    </row>
    <row r="395" spans="1:3" hidden="1" x14ac:dyDescent="0.25">
      <c r="A395" s="52" t="s">
        <v>1360</v>
      </c>
      <c r="B395" s="52" t="s">
        <v>4892</v>
      </c>
      <c r="C395" s="52" t="s">
        <v>379</v>
      </c>
    </row>
    <row r="396" spans="1:3" hidden="1" x14ac:dyDescent="0.25">
      <c r="A396" s="52" t="s">
        <v>1361</v>
      </c>
      <c r="B396" s="52" t="s">
        <v>4893</v>
      </c>
      <c r="C396" s="52" t="s">
        <v>379</v>
      </c>
    </row>
    <row r="397" spans="1:3" hidden="1" x14ac:dyDescent="0.25">
      <c r="A397" s="52" t="s">
        <v>1362</v>
      </c>
      <c r="B397" s="52" t="s">
        <v>4894</v>
      </c>
      <c r="C397" s="52" t="s">
        <v>379</v>
      </c>
    </row>
    <row r="398" spans="1:3" hidden="1" x14ac:dyDescent="0.25">
      <c r="A398" s="52" t="s">
        <v>1363</v>
      </c>
      <c r="B398" s="52" t="s">
        <v>4895</v>
      </c>
      <c r="C398" s="52" t="s">
        <v>379</v>
      </c>
    </row>
    <row r="399" spans="1:3" hidden="1" x14ac:dyDescent="0.25">
      <c r="A399" s="52" t="s">
        <v>1364</v>
      </c>
      <c r="B399" s="52" t="s">
        <v>4896</v>
      </c>
      <c r="C399" s="52" t="s">
        <v>379</v>
      </c>
    </row>
    <row r="400" spans="1:3" hidden="1" x14ac:dyDescent="0.25">
      <c r="A400" s="52" t="s">
        <v>1365</v>
      </c>
      <c r="B400" s="52" t="s">
        <v>4897</v>
      </c>
      <c r="C400" s="52" t="s">
        <v>379</v>
      </c>
    </row>
    <row r="401" spans="1:3" hidden="1" x14ac:dyDescent="0.25">
      <c r="A401" s="52" t="s">
        <v>1366</v>
      </c>
      <c r="B401" s="52" t="s">
        <v>4898</v>
      </c>
      <c r="C401" s="52" t="s">
        <v>379</v>
      </c>
    </row>
    <row r="402" spans="1:3" hidden="1" x14ac:dyDescent="0.25">
      <c r="A402" s="52" t="s">
        <v>1367</v>
      </c>
      <c r="B402" s="52" t="s">
        <v>4899</v>
      </c>
      <c r="C402" s="52" t="s">
        <v>379</v>
      </c>
    </row>
    <row r="403" spans="1:3" hidden="1" x14ac:dyDescent="0.25">
      <c r="A403" s="52" t="s">
        <v>1368</v>
      </c>
      <c r="B403" s="52" t="s">
        <v>4900</v>
      </c>
      <c r="C403" s="52" t="s">
        <v>379</v>
      </c>
    </row>
    <row r="404" spans="1:3" hidden="1" x14ac:dyDescent="0.25">
      <c r="A404" s="52" t="s">
        <v>1369</v>
      </c>
      <c r="B404" s="52" t="s">
        <v>4901</v>
      </c>
      <c r="C404" s="52" t="s">
        <v>379</v>
      </c>
    </row>
    <row r="405" spans="1:3" hidden="1" x14ac:dyDescent="0.25">
      <c r="A405" s="52" t="s">
        <v>1370</v>
      </c>
      <c r="B405" s="52" t="s">
        <v>4902</v>
      </c>
      <c r="C405" s="52" t="s">
        <v>379</v>
      </c>
    </row>
    <row r="406" spans="1:3" hidden="1" x14ac:dyDescent="0.25">
      <c r="A406" s="52" t="s">
        <v>1371</v>
      </c>
      <c r="B406" s="52" t="s">
        <v>4903</v>
      </c>
      <c r="C406" s="52" t="s">
        <v>379</v>
      </c>
    </row>
    <row r="407" spans="1:3" hidden="1" x14ac:dyDescent="0.25">
      <c r="A407" s="52" t="s">
        <v>1372</v>
      </c>
      <c r="B407" s="52" t="s">
        <v>4904</v>
      </c>
      <c r="C407" s="52" t="s">
        <v>379</v>
      </c>
    </row>
    <row r="408" spans="1:3" hidden="1" x14ac:dyDescent="0.25">
      <c r="A408" s="52" t="s">
        <v>1373</v>
      </c>
      <c r="B408" s="52" t="s">
        <v>4905</v>
      </c>
      <c r="C408" s="52" t="s">
        <v>379</v>
      </c>
    </row>
    <row r="409" spans="1:3" hidden="1" x14ac:dyDescent="0.25">
      <c r="A409" s="52" t="s">
        <v>1374</v>
      </c>
      <c r="B409" s="52" t="s">
        <v>4906</v>
      </c>
      <c r="C409" s="52" t="s">
        <v>379</v>
      </c>
    </row>
    <row r="410" spans="1:3" hidden="1" x14ac:dyDescent="0.25">
      <c r="A410" s="52" t="s">
        <v>1375</v>
      </c>
      <c r="B410" s="52" t="s">
        <v>4907</v>
      </c>
      <c r="C410" s="52" t="s">
        <v>379</v>
      </c>
    </row>
    <row r="411" spans="1:3" hidden="1" x14ac:dyDescent="0.25">
      <c r="A411" s="52" t="s">
        <v>1376</v>
      </c>
      <c r="B411" s="52" t="s">
        <v>4908</v>
      </c>
      <c r="C411" s="52" t="s">
        <v>379</v>
      </c>
    </row>
    <row r="412" spans="1:3" hidden="1" x14ac:dyDescent="0.25">
      <c r="A412" s="52" t="s">
        <v>1377</v>
      </c>
      <c r="B412" s="52" t="s">
        <v>4909</v>
      </c>
      <c r="C412" s="52" t="s">
        <v>379</v>
      </c>
    </row>
    <row r="413" spans="1:3" hidden="1" x14ac:dyDescent="0.25">
      <c r="A413" s="52" t="s">
        <v>1378</v>
      </c>
      <c r="B413" s="52" t="s">
        <v>4910</v>
      </c>
      <c r="C413" s="52" t="s">
        <v>379</v>
      </c>
    </row>
    <row r="414" spans="1:3" hidden="1" x14ac:dyDescent="0.25">
      <c r="A414" s="52" t="s">
        <v>1379</v>
      </c>
      <c r="B414" s="52" t="s">
        <v>4911</v>
      </c>
      <c r="C414" s="52" t="s">
        <v>379</v>
      </c>
    </row>
    <row r="415" spans="1:3" hidden="1" x14ac:dyDescent="0.25">
      <c r="A415" s="52" t="s">
        <v>1380</v>
      </c>
      <c r="B415" s="52" t="s">
        <v>4912</v>
      </c>
      <c r="C415" s="52" t="s">
        <v>379</v>
      </c>
    </row>
    <row r="416" spans="1:3" hidden="1" x14ac:dyDescent="0.25">
      <c r="A416" s="52" t="s">
        <v>1381</v>
      </c>
      <c r="B416" s="52" t="s">
        <v>4913</v>
      </c>
      <c r="C416" s="52" t="s">
        <v>379</v>
      </c>
    </row>
    <row r="417" spans="1:3" hidden="1" x14ac:dyDescent="0.25">
      <c r="A417" s="52" t="s">
        <v>1382</v>
      </c>
      <c r="B417" s="52" t="s">
        <v>4914</v>
      </c>
      <c r="C417" s="52" t="s">
        <v>379</v>
      </c>
    </row>
    <row r="418" spans="1:3" hidden="1" x14ac:dyDescent="0.25">
      <c r="A418" s="52" t="s">
        <v>1383</v>
      </c>
      <c r="B418" s="52" t="s">
        <v>4915</v>
      </c>
      <c r="C418" s="52" t="s">
        <v>379</v>
      </c>
    </row>
    <row r="419" spans="1:3" hidden="1" x14ac:dyDescent="0.25">
      <c r="A419" s="52" t="s">
        <v>1384</v>
      </c>
      <c r="B419" s="52" t="s">
        <v>4916</v>
      </c>
      <c r="C419" s="52" t="s">
        <v>379</v>
      </c>
    </row>
    <row r="420" spans="1:3" hidden="1" x14ac:dyDescent="0.25">
      <c r="A420" s="52" t="s">
        <v>1385</v>
      </c>
      <c r="B420" s="52" t="s">
        <v>4917</v>
      </c>
      <c r="C420" s="52" t="s">
        <v>379</v>
      </c>
    </row>
    <row r="421" spans="1:3" hidden="1" x14ac:dyDescent="0.25">
      <c r="A421" s="52" t="s">
        <v>1386</v>
      </c>
      <c r="B421" s="52" t="s">
        <v>4918</v>
      </c>
      <c r="C421" s="52" t="s">
        <v>379</v>
      </c>
    </row>
    <row r="422" spans="1:3" hidden="1" x14ac:dyDescent="0.25">
      <c r="A422" s="52" t="s">
        <v>1387</v>
      </c>
      <c r="B422" s="52" t="s">
        <v>4919</v>
      </c>
      <c r="C422" s="52" t="s">
        <v>379</v>
      </c>
    </row>
    <row r="423" spans="1:3" hidden="1" x14ac:dyDescent="0.25">
      <c r="A423" s="52" t="s">
        <v>1388</v>
      </c>
      <c r="B423" s="52" t="s">
        <v>4920</v>
      </c>
      <c r="C423" s="52" t="s">
        <v>379</v>
      </c>
    </row>
    <row r="424" spans="1:3" hidden="1" x14ac:dyDescent="0.25">
      <c r="A424" s="52" t="s">
        <v>1389</v>
      </c>
      <c r="B424" s="52" t="s">
        <v>4921</v>
      </c>
      <c r="C424" s="52" t="s">
        <v>379</v>
      </c>
    </row>
    <row r="425" spans="1:3" hidden="1" x14ac:dyDescent="0.25">
      <c r="A425" s="52" t="s">
        <v>1390</v>
      </c>
      <c r="B425" s="52" t="s">
        <v>4922</v>
      </c>
      <c r="C425" s="52" t="s">
        <v>379</v>
      </c>
    </row>
    <row r="426" spans="1:3" hidden="1" x14ac:dyDescent="0.25">
      <c r="A426" s="52" t="s">
        <v>1391</v>
      </c>
      <c r="B426" s="52" t="s">
        <v>4923</v>
      </c>
      <c r="C426" s="52" t="s">
        <v>379</v>
      </c>
    </row>
    <row r="427" spans="1:3" hidden="1" x14ac:dyDescent="0.25">
      <c r="A427" s="52" t="s">
        <v>1392</v>
      </c>
      <c r="B427" s="52" t="s">
        <v>4924</v>
      </c>
      <c r="C427" s="52" t="s">
        <v>379</v>
      </c>
    </row>
    <row r="428" spans="1:3" hidden="1" x14ac:dyDescent="0.25">
      <c r="A428" s="52" t="s">
        <v>1393</v>
      </c>
      <c r="B428" s="52" t="s">
        <v>4925</v>
      </c>
      <c r="C428" s="52" t="s">
        <v>379</v>
      </c>
    </row>
    <row r="429" spans="1:3" hidden="1" x14ac:dyDescent="0.25">
      <c r="A429" s="52" t="s">
        <v>1394</v>
      </c>
      <c r="B429" s="52" t="s">
        <v>4926</v>
      </c>
      <c r="C429" s="52" t="s">
        <v>379</v>
      </c>
    </row>
    <row r="430" spans="1:3" hidden="1" x14ac:dyDescent="0.25">
      <c r="A430" s="52" t="s">
        <v>1395</v>
      </c>
      <c r="B430" s="52" t="s">
        <v>4705</v>
      </c>
      <c r="C430" s="52" t="s">
        <v>379</v>
      </c>
    </row>
    <row r="431" spans="1:3" hidden="1" x14ac:dyDescent="0.25">
      <c r="A431" s="52" t="s">
        <v>1396</v>
      </c>
      <c r="B431" s="52" t="s">
        <v>4927</v>
      </c>
      <c r="C431" s="52" t="s">
        <v>379</v>
      </c>
    </row>
    <row r="432" spans="1:3" hidden="1" x14ac:dyDescent="0.25">
      <c r="A432" s="52" t="s">
        <v>1397</v>
      </c>
      <c r="B432" s="52" t="s">
        <v>4928</v>
      </c>
      <c r="C432" s="52" t="s">
        <v>379</v>
      </c>
    </row>
    <row r="433" spans="1:3" hidden="1" x14ac:dyDescent="0.25">
      <c r="A433" s="52" t="s">
        <v>1398</v>
      </c>
      <c r="B433" s="52" t="s">
        <v>961</v>
      </c>
      <c r="C433" s="52" t="s">
        <v>379</v>
      </c>
    </row>
    <row r="434" spans="1:3" hidden="1" x14ac:dyDescent="0.25">
      <c r="A434" s="52" t="s">
        <v>1399</v>
      </c>
      <c r="B434" s="52" t="s">
        <v>963</v>
      </c>
      <c r="C434" s="52" t="s">
        <v>379</v>
      </c>
    </row>
    <row r="435" spans="1:3" hidden="1" x14ac:dyDescent="0.25">
      <c r="A435" s="52" t="s">
        <v>1400</v>
      </c>
      <c r="B435" s="52" t="s">
        <v>4929</v>
      </c>
      <c r="C435" s="52" t="s">
        <v>379</v>
      </c>
    </row>
    <row r="436" spans="1:3" hidden="1" x14ac:dyDescent="0.25">
      <c r="A436" s="52" t="s">
        <v>1401</v>
      </c>
      <c r="B436" s="52" t="s">
        <v>4930</v>
      </c>
      <c r="C436" s="52" t="s">
        <v>379</v>
      </c>
    </row>
    <row r="437" spans="1:3" hidden="1" x14ac:dyDescent="0.25">
      <c r="A437" s="52" t="s">
        <v>1402</v>
      </c>
      <c r="B437" s="52" t="s">
        <v>4931</v>
      </c>
      <c r="C437" s="52" t="s">
        <v>379</v>
      </c>
    </row>
    <row r="438" spans="1:3" hidden="1" x14ac:dyDescent="0.25">
      <c r="A438" s="52" t="s">
        <v>1403</v>
      </c>
      <c r="B438" s="52" t="s">
        <v>4932</v>
      </c>
      <c r="C438" s="52" t="s">
        <v>379</v>
      </c>
    </row>
    <row r="439" spans="1:3" hidden="1" x14ac:dyDescent="0.25">
      <c r="A439" s="52" t="s">
        <v>1404</v>
      </c>
      <c r="B439" s="52" t="s">
        <v>4933</v>
      </c>
      <c r="C439" s="52" t="s">
        <v>379</v>
      </c>
    </row>
    <row r="440" spans="1:3" hidden="1" x14ac:dyDescent="0.25">
      <c r="A440" s="52" t="s">
        <v>1405</v>
      </c>
      <c r="B440" s="52" t="s">
        <v>4934</v>
      </c>
      <c r="C440" s="52" t="s">
        <v>379</v>
      </c>
    </row>
    <row r="441" spans="1:3" hidden="1" x14ac:dyDescent="0.25">
      <c r="A441" s="52" t="s">
        <v>1406</v>
      </c>
      <c r="B441" s="52" t="s">
        <v>4935</v>
      </c>
      <c r="C441" s="52" t="s">
        <v>379</v>
      </c>
    </row>
    <row r="442" spans="1:3" hidden="1" x14ac:dyDescent="0.25">
      <c r="A442" s="52" t="s">
        <v>1407</v>
      </c>
      <c r="B442" s="52" t="s">
        <v>4936</v>
      </c>
      <c r="C442" s="52" t="s">
        <v>379</v>
      </c>
    </row>
    <row r="443" spans="1:3" hidden="1" x14ac:dyDescent="0.25">
      <c r="A443" s="52" t="s">
        <v>1408</v>
      </c>
      <c r="B443" s="52" t="s">
        <v>4851</v>
      </c>
      <c r="C443" s="52" t="s">
        <v>379</v>
      </c>
    </row>
    <row r="444" spans="1:3" hidden="1" x14ac:dyDescent="0.25">
      <c r="A444" s="52" t="s">
        <v>1409</v>
      </c>
      <c r="B444" s="52" t="s">
        <v>4937</v>
      </c>
      <c r="C444" s="52" t="s">
        <v>379</v>
      </c>
    </row>
    <row r="445" spans="1:3" hidden="1" x14ac:dyDescent="0.25">
      <c r="A445" s="52" t="s">
        <v>1410</v>
      </c>
      <c r="B445" s="52" t="s">
        <v>4799</v>
      </c>
      <c r="C445" s="52" t="s">
        <v>379</v>
      </c>
    </row>
    <row r="446" spans="1:3" hidden="1" x14ac:dyDescent="0.25">
      <c r="A446" s="52" t="s">
        <v>1411</v>
      </c>
      <c r="B446" s="52" t="s">
        <v>4938</v>
      </c>
      <c r="C446" s="52" t="s">
        <v>379</v>
      </c>
    </row>
    <row r="447" spans="1:3" hidden="1" x14ac:dyDescent="0.25">
      <c r="A447" s="52" t="s">
        <v>1412</v>
      </c>
      <c r="B447" s="52" t="s">
        <v>4939</v>
      </c>
      <c r="C447" s="52" t="s">
        <v>379</v>
      </c>
    </row>
    <row r="448" spans="1:3" hidden="1" x14ac:dyDescent="0.25">
      <c r="A448" s="52" t="s">
        <v>1413</v>
      </c>
      <c r="B448" s="52" t="s">
        <v>4940</v>
      </c>
      <c r="C448" s="52" t="s">
        <v>379</v>
      </c>
    </row>
    <row r="449" spans="1:3" hidden="1" x14ac:dyDescent="0.25">
      <c r="A449" s="52" t="s">
        <v>1414</v>
      </c>
      <c r="B449" s="52" t="s">
        <v>4941</v>
      </c>
      <c r="C449" s="52" t="s">
        <v>379</v>
      </c>
    </row>
    <row r="450" spans="1:3" hidden="1" x14ac:dyDescent="0.25">
      <c r="A450" s="52" t="s">
        <v>1415</v>
      </c>
      <c r="B450" s="52" t="s">
        <v>4942</v>
      </c>
      <c r="C450" s="52" t="s">
        <v>379</v>
      </c>
    </row>
    <row r="451" spans="1:3" hidden="1" x14ac:dyDescent="0.25">
      <c r="A451" s="52" t="s">
        <v>1416</v>
      </c>
      <c r="B451" s="52" t="s">
        <v>998</v>
      </c>
      <c r="C451" s="52" t="s">
        <v>379</v>
      </c>
    </row>
    <row r="452" spans="1:3" hidden="1" x14ac:dyDescent="0.25">
      <c r="A452" s="52" t="s">
        <v>1417</v>
      </c>
      <c r="B452" s="52" t="s">
        <v>4943</v>
      </c>
      <c r="C452" s="52" t="s">
        <v>379</v>
      </c>
    </row>
    <row r="453" spans="1:3" hidden="1" x14ac:dyDescent="0.25">
      <c r="A453" s="52" t="s">
        <v>1418</v>
      </c>
      <c r="B453" s="52" t="s">
        <v>4944</v>
      </c>
      <c r="C453" s="52" t="s">
        <v>379</v>
      </c>
    </row>
    <row r="454" spans="1:3" hidden="1" x14ac:dyDescent="0.25">
      <c r="A454" s="52" t="s">
        <v>1419</v>
      </c>
      <c r="B454" s="52" t="s">
        <v>4945</v>
      </c>
      <c r="C454" s="52" t="s">
        <v>379</v>
      </c>
    </row>
    <row r="455" spans="1:3" hidden="1" x14ac:dyDescent="0.25">
      <c r="A455" s="52" t="s">
        <v>1420</v>
      </c>
      <c r="B455" s="52" t="s">
        <v>4946</v>
      </c>
      <c r="C455" s="52" t="s">
        <v>379</v>
      </c>
    </row>
    <row r="456" spans="1:3" hidden="1" x14ac:dyDescent="0.25">
      <c r="A456" s="52" t="s">
        <v>1421</v>
      </c>
      <c r="B456" s="52" t="s">
        <v>4947</v>
      </c>
      <c r="C456" s="52" t="s">
        <v>379</v>
      </c>
    </row>
    <row r="457" spans="1:3" hidden="1" x14ac:dyDescent="0.25">
      <c r="A457" s="52" t="s">
        <v>1422</v>
      </c>
      <c r="B457" s="52" t="s">
        <v>4948</v>
      </c>
      <c r="C457" s="52" t="s">
        <v>379</v>
      </c>
    </row>
    <row r="458" spans="1:3" hidden="1" x14ac:dyDescent="0.25">
      <c r="A458" s="52" t="s">
        <v>1423</v>
      </c>
      <c r="B458" s="52" t="s">
        <v>4949</v>
      </c>
      <c r="C458" s="52" t="s">
        <v>379</v>
      </c>
    </row>
    <row r="459" spans="1:3" hidden="1" x14ac:dyDescent="0.25">
      <c r="A459" s="52" t="s">
        <v>1424</v>
      </c>
      <c r="B459" s="52" t="s">
        <v>4950</v>
      </c>
      <c r="C459" s="52" t="s">
        <v>379</v>
      </c>
    </row>
    <row r="460" spans="1:3" hidden="1" x14ac:dyDescent="0.25">
      <c r="A460" s="52" t="s">
        <v>1425</v>
      </c>
      <c r="B460" s="52" t="s">
        <v>4951</v>
      </c>
      <c r="C460" s="52" t="s">
        <v>379</v>
      </c>
    </row>
    <row r="461" spans="1:3" hidden="1" x14ac:dyDescent="0.25">
      <c r="A461" s="52" t="s">
        <v>1426</v>
      </c>
      <c r="B461" s="52" t="s">
        <v>4870</v>
      </c>
      <c r="C461" s="52" t="s">
        <v>379</v>
      </c>
    </row>
    <row r="462" spans="1:3" hidden="1" x14ac:dyDescent="0.25">
      <c r="A462" s="52" t="s">
        <v>1427</v>
      </c>
      <c r="B462" s="52" t="s">
        <v>4871</v>
      </c>
      <c r="C462" s="52" t="s">
        <v>379</v>
      </c>
    </row>
    <row r="463" spans="1:3" hidden="1" x14ac:dyDescent="0.25">
      <c r="A463" s="52" t="s">
        <v>1428</v>
      </c>
      <c r="B463" s="52" t="s">
        <v>4952</v>
      </c>
      <c r="C463" s="52" t="s">
        <v>379</v>
      </c>
    </row>
    <row r="464" spans="1:3" hidden="1" x14ac:dyDescent="0.25">
      <c r="A464" s="52" t="s">
        <v>1429</v>
      </c>
      <c r="B464" s="52" t="s">
        <v>4953</v>
      </c>
      <c r="C464" s="52" t="s">
        <v>379</v>
      </c>
    </row>
    <row r="465" spans="1:3" hidden="1" x14ac:dyDescent="0.25">
      <c r="A465" s="52" t="s">
        <v>1430</v>
      </c>
      <c r="B465" s="52" t="s">
        <v>4954</v>
      </c>
      <c r="C465" s="52" t="s">
        <v>379</v>
      </c>
    </row>
    <row r="466" spans="1:3" hidden="1" x14ac:dyDescent="0.25">
      <c r="A466" s="52" t="s">
        <v>1431</v>
      </c>
      <c r="B466" s="52" t="s">
        <v>4955</v>
      </c>
      <c r="C466" s="52" t="s">
        <v>419</v>
      </c>
    </row>
    <row r="467" spans="1:3" hidden="1" x14ac:dyDescent="0.25">
      <c r="A467" s="52" t="s">
        <v>1432</v>
      </c>
      <c r="B467" s="52" t="s">
        <v>4956</v>
      </c>
      <c r="C467" s="52" t="s">
        <v>419</v>
      </c>
    </row>
    <row r="468" spans="1:3" hidden="1" x14ac:dyDescent="0.25">
      <c r="A468" s="52" t="s">
        <v>1433</v>
      </c>
      <c r="B468" s="52" t="s">
        <v>4957</v>
      </c>
      <c r="C468" s="52" t="s">
        <v>419</v>
      </c>
    </row>
    <row r="469" spans="1:3" hidden="1" x14ac:dyDescent="0.25">
      <c r="A469" s="52" t="s">
        <v>1434</v>
      </c>
      <c r="B469" s="52" t="s">
        <v>4958</v>
      </c>
      <c r="C469" s="52" t="s">
        <v>419</v>
      </c>
    </row>
    <row r="470" spans="1:3" hidden="1" x14ac:dyDescent="0.25">
      <c r="A470" s="52" t="s">
        <v>1435</v>
      </c>
      <c r="B470" s="52" t="s">
        <v>4959</v>
      </c>
      <c r="C470" s="52" t="s">
        <v>419</v>
      </c>
    </row>
    <row r="471" spans="1:3" hidden="1" x14ac:dyDescent="0.25">
      <c r="A471" s="52" t="s">
        <v>1436</v>
      </c>
      <c r="B471" s="52" t="s">
        <v>4960</v>
      </c>
      <c r="C471" s="52" t="s">
        <v>419</v>
      </c>
    </row>
    <row r="472" spans="1:3" hidden="1" x14ac:dyDescent="0.25">
      <c r="A472" s="52" t="s">
        <v>1437</v>
      </c>
      <c r="B472" s="52" t="s">
        <v>4961</v>
      </c>
      <c r="C472" s="52" t="s">
        <v>419</v>
      </c>
    </row>
    <row r="473" spans="1:3" hidden="1" x14ac:dyDescent="0.25">
      <c r="A473" s="52" t="s">
        <v>1438</v>
      </c>
      <c r="B473" s="52" t="s">
        <v>4962</v>
      </c>
      <c r="C473" s="52" t="s">
        <v>419</v>
      </c>
    </row>
    <row r="474" spans="1:3" hidden="1" x14ac:dyDescent="0.25">
      <c r="A474" s="52" t="s">
        <v>1439</v>
      </c>
      <c r="B474" s="52" t="s">
        <v>4963</v>
      </c>
      <c r="C474" s="52" t="s">
        <v>419</v>
      </c>
    </row>
    <row r="475" spans="1:3" hidden="1" x14ac:dyDescent="0.25">
      <c r="A475" s="52" t="s">
        <v>1440</v>
      </c>
      <c r="B475" s="52" t="s">
        <v>4964</v>
      </c>
      <c r="C475" s="52" t="s">
        <v>419</v>
      </c>
    </row>
    <row r="476" spans="1:3" hidden="1" x14ac:dyDescent="0.25">
      <c r="A476" s="52" t="s">
        <v>1441</v>
      </c>
      <c r="B476" s="52" t="s">
        <v>4965</v>
      </c>
      <c r="C476" s="52" t="s">
        <v>419</v>
      </c>
    </row>
    <row r="477" spans="1:3" hidden="1" x14ac:dyDescent="0.25">
      <c r="A477" s="52" t="s">
        <v>1442</v>
      </c>
      <c r="B477" s="52" t="s">
        <v>4966</v>
      </c>
      <c r="C477" s="52" t="s">
        <v>419</v>
      </c>
    </row>
    <row r="478" spans="1:3" hidden="1" x14ac:dyDescent="0.25">
      <c r="A478" s="52" t="s">
        <v>1443</v>
      </c>
      <c r="B478" s="52" t="s">
        <v>4967</v>
      </c>
      <c r="C478" s="52" t="s">
        <v>419</v>
      </c>
    </row>
    <row r="479" spans="1:3" hidden="1" x14ac:dyDescent="0.25">
      <c r="A479" s="52" t="s">
        <v>1444</v>
      </c>
      <c r="B479" s="52" t="s">
        <v>4968</v>
      </c>
      <c r="C479" s="52" t="s">
        <v>419</v>
      </c>
    </row>
    <row r="480" spans="1:3" hidden="1" x14ac:dyDescent="0.25">
      <c r="A480" s="52" t="s">
        <v>1445</v>
      </c>
      <c r="B480" s="52" t="s">
        <v>4969</v>
      </c>
      <c r="C480" s="52" t="s">
        <v>419</v>
      </c>
    </row>
    <row r="481" spans="1:3" hidden="1" x14ac:dyDescent="0.25">
      <c r="A481" s="52" t="s">
        <v>1446</v>
      </c>
      <c r="B481" s="52" t="s">
        <v>4970</v>
      </c>
      <c r="C481" s="52" t="s">
        <v>419</v>
      </c>
    </row>
    <row r="482" spans="1:3" hidden="1" x14ac:dyDescent="0.25">
      <c r="A482" s="52" t="s">
        <v>1447</v>
      </c>
      <c r="B482" s="52" t="s">
        <v>4971</v>
      </c>
      <c r="C482" s="52" t="s">
        <v>419</v>
      </c>
    </row>
    <row r="483" spans="1:3" hidden="1" x14ac:dyDescent="0.25">
      <c r="A483" s="52" t="s">
        <v>1448</v>
      </c>
      <c r="B483" s="52" t="s">
        <v>4972</v>
      </c>
      <c r="C483" s="52" t="s">
        <v>419</v>
      </c>
    </row>
    <row r="484" spans="1:3" hidden="1" x14ac:dyDescent="0.25">
      <c r="A484" s="52" t="s">
        <v>1449</v>
      </c>
      <c r="B484" s="52" t="s">
        <v>4973</v>
      </c>
      <c r="C484" s="52" t="s">
        <v>419</v>
      </c>
    </row>
    <row r="485" spans="1:3" hidden="1" x14ac:dyDescent="0.25">
      <c r="A485" s="52" t="s">
        <v>1450</v>
      </c>
      <c r="B485" s="52" t="s">
        <v>4974</v>
      </c>
      <c r="C485" s="52" t="s">
        <v>419</v>
      </c>
    </row>
    <row r="486" spans="1:3" hidden="1" x14ac:dyDescent="0.25">
      <c r="A486" s="52" t="s">
        <v>1451</v>
      </c>
      <c r="B486" s="52" t="s">
        <v>4975</v>
      </c>
      <c r="C486" s="52" t="s">
        <v>419</v>
      </c>
    </row>
    <row r="487" spans="1:3" hidden="1" x14ac:dyDescent="0.25">
      <c r="A487" s="52" t="s">
        <v>1452</v>
      </c>
      <c r="B487" s="52" t="s">
        <v>4976</v>
      </c>
      <c r="C487" s="52" t="s">
        <v>419</v>
      </c>
    </row>
    <row r="488" spans="1:3" hidden="1" x14ac:dyDescent="0.25">
      <c r="A488" s="52" t="s">
        <v>1453</v>
      </c>
      <c r="B488" s="52" t="s">
        <v>4977</v>
      </c>
      <c r="C488" s="52" t="s">
        <v>419</v>
      </c>
    </row>
    <row r="489" spans="1:3" hidden="1" x14ac:dyDescent="0.25">
      <c r="A489" s="52" t="s">
        <v>1454</v>
      </c>
      <c r="B489" s="52" t="s">
        <v>4978</v>
      </c>
      <c r="C489" s="52" t="s">
        <v>419</v>
      </c>
    </row>
    <row r="490" spans="1:3" hidden="1" x14ac:dyDescent="0.25">
      <c r="A490" s="52" t="s">
        <v>1455</v>
      </c>
      <c r="B490" s="52" t="s">
        <v>4979</v>
      </c>
      <c r="C490" s="52" t="s">
        <v>419</v>
      </c>
    </row>
    <row r="491" spans="1:3" hidden="1" x14ac:dyDescent="0.25">
      <c r="A491" s="52" t="s">
        <v>1456</v>
      </c>
      <c r="B491" s="52" t="s">
        <v>4980</v>
      </c>
      <c r="C491" s="52" t="s">
        <v>419</v>
      </c>
    </row>
    <row r="492" spans="1:3" hidden="1" x14ac:dyDescent="0.25">
      <c r="A492" s="52" t="s">
        <v>1457</v>
      </c>
      <c r="B492" s="52" t="s">
        <v>4981</v>
      </c>
      <c r="C492" s="52" t="s">
        <v>419</v>
      </c>
    </row>
    <row r="493" spans="1:3" hidden="1" x14ac:dyDescent="0.25">
      <c r="A493" s="52" t="s">
        <v>1458</v>
      </c>
      <c r="B493" s="52" t="s">
        <v>4982</v>
      </c>
      <c r="C493" s="52" t="s">
        <v>419</v>
      </c>
    </row>
    <row r="494" spans="1:3" hidden="1" x14ac:dyDescent="0.25">
      <c r="A494" s="52" t="s">
        <v>1459</v>
      </c>
      <c r="B494" s="52" t="s">
        <v>4983</v>
      </c>
      <c r="C494" s="52" t="s">
        <v>419</v>
      </c>
    </row>
    <row r="495" spans="1:3" hidden="1" x14ac:dyDescent="0.25">
      <c r="A495" s="52" t="s">
        <v>1460</v>
      </c>
      <c r="B495" s="52" t="s">
        <v>4984</v>
      </c>
      <c r="C495" s="52" t="s">
        <v>419</v>
      </c>
    </row>
    <row r="496" spans="1:3" hidden="1" x14ac:dyDescent="0.25">
      <c r="A496" s="52" t="s">
        <v>1461</v>
      </c>
      <c r="B496" s="52" t="s">
        <v>4985</v>
      </c>
      <c r="C496" s="52" t="s">
        <v>419</v>
      </c>
    </row>
    <row r="497" spans="1:3" hidden="1" x14ac:dyDescent="0.25">
      <c r="A497" s="52" t="s">
        <v>1462</v>
      </c>
      <c r="B497" s="52" t="s">
        <v>4986</v>
      </c>
      <c r="C497" s="52" t="s">
        <v>419</v>
      </c>
    </row>
    <row r="498" spans="1:3" hidden="1" x14ac:dyDescent="0.25">
      <c r="A498" s="52" t="s">
        <v>1463</v>
      </c>
      <c r="B498" s="52" t="s">
        <v>4987</v>
      </c>
      <c r="C498" s="52" t="s">
        <v>419</v>
      </c>
    </row>
    <row r="499" spans="1:3" hidden="1" x14ac:dyDescent="0.25">
      <c r="A499" s="52" t="s">
        <v>1464</v>
      </c>
      <c r="B499" s="52" t="s">
        <v>4988</v>
      </c>
      <c r="C499" s="52" t="s">
        <v>419</v>
      </c>
    </row>
    <row r="500" spans="1:3" hidden="1" x14ac:dyDescent="0.25">
      <c r="A500" s="52" t="s">
        <v>1465</v>
      </c>
      <c r="B500" s="52" t="s">
        <v>4989</v>
      </c>
      <c r="C500" s="52" t="s">
        <v>419</v>
      </c>
    </row>
    <row r="501" spans="1:3" hidden="1" x14ac:dyDescent="0.25">
      <c r="A501" s="52" t="s">
        <v>1466</v>
      </c>
      <c r="B501" s="52" t="s">
        <v>4990</v>
      </c>
      <c r="C501" s="52" t="s">
        <v>419</v>
      </c>
    </row>
    <row r="502" spans="1:3" hidden="1" x14ac:dyDescent="0.25">
      <c r="A502" s="52" t="s">
        <v>1467</v>
      </c>
      <c r="B502" s="52" t="s">
        <v>4776</v>
      </c>
      <c r="C502" s="52" t="s">
        <v>419</v>
      </c>
    </row>
    <row r="503" spans="1:3" hidden="1" x14ac:dyDescent="0.25">
      <c r="A503" s="52" t="s">
        <v>1468</v>
      </c>
      <c r="B503" s="52" t="s">
        <v>4991</v>
      </c>
      <c r="C503" s="52" t="s">
        <v>419</v>
      </c>
    </row>
    <row r="504" spans="1:3" hidden="1" x14ac:dyDescent="0.25">
      <c r="A504" s="52" t="s">
        <v>1469</v>
      </c>
      <c r="B504" s="52" t="s">
        <v>4992</v>
      </c>
      <c r="C504" s="52" t="s">
        <v>419</v>
      </c>
    </row>
    <row r="505" spans="1:3" hidden="1" x14ac:dyDescent="0.25">
      <c r="A505" s="52" t="s">
        <v>1470</v>
      </c>
      <c r="B505" s="52" t="s">
        <v>4993</v>
      </c>
      <c r="C505" s="52" t="s">
        <v>419</v>
      </c>
    </row>
    <row r="506" spans="1:3" hidden="1" x14ac:dyDescent="0.25">
      <c r="A506" s="52" t="s">
        <v>1471</v>
      </c>
      <c r="B506" s="52" t="s">
        <v>4994</v>
      </c>
      <c r="C506" s="52" t="s">
        <v>419</v>
      </c>
    </row>
    <row r="507" spans="1:3" hidden="1" x14ac:dyDescent="0.25">
      <c r="A507" s="52" t="s">
        <v>1472</v>
      </c>
      <c r="B507" s="52" t="s">
        <v>4995</v>
      </c>
      <c r="C507" s="52" t="s">
        <v>419</v>
      </c>
    </row>
    <row r="508" spans="1:3" hidden="1" x14ac:dyDescent="0.25">
      <c r="A508" s="52" t="s">
        <v>1473</v>
      </c>
      <c r="B508" s="52" t="s">
        <v>4996</v>
      </c>
      <c r="C508" s="52" t="s">
        <v>419</v>
      </c>
    </row>
    <row r="509" spans="1:3" hidden="1" x14ac:dyDescent="0.25">
      <c r="A509" s="52" t="s">
        <v>1474</v>
      </c>
      <c r="B509" s="52" t="s">
        <v>4997</v>
      </c>
      <c r="C509" s="52" t="s">
        <v>419</v>
      </c>
    </row>
    <row r="510" spans="1:3" hidden="1" x14ac:dyDescent="0.25">
      <c r="A510" s="52" t="s">
        <v>1475</v>
      </c>
      <c r="B510" s="52" t="s">
        <v>4680</v>
      </c>
      <c r="C510" s="52" t="s">
        <v>419</v>
      </c>
    </row>
    <row r="511" spans="1:3" hidden="1" x14ac:dyDescent="0.25">
      <c r="A511" s="52" t="s">
        <v>1476</v>
      </c>
      <c r="B511" s="52" t="s">
        <v>4998</v>
      </c>
      <c r="C511" s="52" t="s">
        <v>419</v>
      </c>
    </row>
    <row r="512" spans="1:3" hidden="1" x14ac:dyDescent="0.25">
      <c r="A512" s="52" t="s">
        <v>1477</v>
      </c>
      <c r="B512" s="52" t="s">
        <v>4999</v>
      </c>
      <c r="C512" s="52" t="s">
        <v>419</v>
      </c>
    </row>
    <row r="513" spans="1:3" hidden="1" x14ac:dyDescent="0.25">
      <c r="A513" s="52" t="s">
        <v>1478</v>
      </c>
      <c r="B513" s="52" t="s">
        <v>5000</v>
      </c>
      <c r="C513" s="52" t="s">
        <v>419</v>
      </c>
    </row>
    <row r="514" spans="1:3" hidden="1" x14ac:dyDescent="0.25">
      <c r="A514" s="52" t="s">
        <v>1479</v>
      </c>
      <c r="B514" s="52" t="s">
        <v>5001</v>
      </c>
      <c r="C514" s="52" t="s">
        <v>419</v>
      </c>
    </row>
    <row r="515" spans="1:3" hidden="1" x14ac:dyDescent="0.25">
      <c r="A515" s="52" t="s">
        <v>1480</v>
      </c>
      <c r="B515" s="52" t="s">
        <v>5002</v>
      </c>
      <c r="C515" s="52" t="s">
        <v>419</v>
      </c>
    </row>
    <row r="516" spans="1:3" hidden="1" x14ac:dyDescent="0.25">
      <c r="A516" s="52" t="s">
        <v>1481</v>
      </c>
      <c r="B516" s="52" t="s">
        <v>5003</v>
      </c>
      <c r="C516" s="52" t="s">
        <v>419</v>
      </c>
    </row>
    <row r="517" spans="1:3" hidden="1" x14ac:dyDescent="0.25">
      <c r="A517" s="52" t="s">
        <v>1482</v>
      </c>
      <c r="B517" s="52" t="s">
        <v>5004</v>
      </c>
      <c r="C517" s="52" t="s">
        <v>419</v>
      </c>
    </row>
    <row r="518" spans="1:3" hidden="1" x14ac:dyDescent="0.25">
      <c r="A518" s="52" t="s">
        <v>1483</v>
      </c>
      <c r="B518" s="52" t="s">
        <v>5005</v>
      </c>
      <c r="C518" s="52" t="s">
        <v>419</v>
      </c>
    </row>
    <row r="519" spans="1:3" hidden="1" x14ac:dyDescent="0.25">
      <c r="A519" s="52" t="s">
        <v>1484</v>
      </c>
      <c r="B519" s="52" t="s">
        <v>5006</v>
      </c>
      <c r="C519" s="52" t="s">
        <v>419</v>
      </c>
    </row>
    <row r="520" spans="1:3" hidden="1" x14ac:dyDescent="0.25">
      <c r="A520" s="52" t="s">
        <v>1485</v>
      </c>
      <c r="B520" s="52" t="s">
        <v>5007</v>
      </c>
      <c r="C520" s="52" t="s">
        <v>419</v>
      </c>
    </row>
    <row r="521" spans="1:3" hidden="1" x14ac:dyDescent="0.25">
      <c r="A521" s="52" t="s">
        <v>1486</v>
      </c>
      <c r="B521" s="52" t="s">
        <v>5008</v>
      </c>
      <c r="C521" s="52" t="s">
        <v>419</v>
      </c>
    </row>
    <row r="522" spans="1:3" hidden="1" x14ac:dyDescent="0.25">
      <c r="A522" s="52" t="s">
        <v>1487</v>
      </c>
      <c r="B522" s="52" t="s">
        <v>5009</v>
      </c>
      <c r="C522" s="52" t="s">
        <v>419</v>
      </c>
    </row>
    <row r="523" spans="1:3" hidden="1" x14ac:dyDescent="0.25">
      <c r="A523" s="52" t="s">
        <v>1488</v>
      </c>
      <c r="B523" s="52" t="s">
        <v>5010</v>
      </c>
      <c r="C523" s="52" t="s">
        <v>419</v>
      </c>
    </row>
    <row r="524" spans="1:3" hidden="1" x14ac:dyDescent="0.25">
      <c r="A524" s="52" t="s">
        <v>1489</v>
      </c>
      <c r="B524" s="52" t="s">
        <v>5011</v>
      </c>
      <c r="C524" s="52" t="s">
        <v>419</v>
      </c>
    </row>
    <row r="525" spans="1:3" hidden="1" x14ac:dyDescent="0.25">
      <c r="A525" s="52" t="s">
        <v>1490</v>
      </c>
      <c r="B525" s="52" t="s">
        <v>5012</v>
      </c>
      <c r="C525" s="52" t="s">
        <v>419</v>
      </c>
    </row>
    <row r="526" spans="1:3" hidden="1" x14ac:dyDescent="0.25">
      <c r="A526" s="52" t="s">
        <v>1491</v>
      </c>
      <c r="B526" s="52" t="s">
        <v>5013</v>
      </c>
      <c r="C526" s="52" t="s">
        <v>419</v>
      </c>
    </row>
    <row r="527" spans="1:3" hidden="1" x14ac:dyDescent="0.25">
      <c r="A527" s="52" t="s">
        <v>1492</v>
      </c>
      <c r="B527" s="52" t="s">
        <v>5014</v>
      </c>
      <c r="C527" s="52" t="s">
        <v>419</v>
      </c>
    </row>
    <row r="528" spans="1:3" hidden="1" x14ac:dyDescent="0.25">
      <c r="A528" s="52" t="s">
        <v>1493</v>
      </c>
      <c r="B528" s="52" t="s">
        <v>5015</v>
      </c>
      <c r="C528" s="52" t="s">
        <v>419</v>
      </c>
    </row>
    <row r="529" spans="1:3" hidden="1" x14ac:dyDescent="0.25">
      <c r="A529" s="52" t="s">
        <v>1494</v>
      </c>
      <c r="B529" s="52" t="s">
        <v>5016</v>
      </c>
      <c r="C529" s="52" t="s">
        <v>419</v>
      </c>
    </row>
    <row r="530" spans="1:3" hidden="1" x14ac:dyDescent="0.25">
      <c r="A530" s="52" t="s">
        <v>1495</v>
      </c>
      <c r="B530" s="52" t="s">
        <v>5017</v>
      </c>
      <c r="C530" s="52" t="s">
        <v>419</v>
      </c>
    </row>
    <row r="531" spans="1:3" hidden="1" x14ac:dyDescent="0.25">
      <c r="A531" s="52" t="s">
        <v>1496</v>
      </c>
      <c r="B531" s="52" t="s">
        <v>5018</v>
      </c>
      <c r="C531" s="52" t="s">
        <v>419</v>
      </c>
    </row>
    <row r="532" spans="1:3" hidden="1" x14ac:dyDescent="0.25">
      <c r="A532" s="52" t="s">
        <v>1497</v>
      </c>
      <c r="B532" s="52" t="s">
        <v>5019</v>
      </c>
      <c r="C532" s="52" t="s">
        <v>419</v>
      </c>
    </row>
    <row r="533" spans="1:3" hidden="1" x14ac:dyDescent="0.25">
      <c r="A533" s="52" t="s">
        <v>1498</v>
      </c>
      <c r="B533" s="52" t="s">
        <v>5020</v>
      </c>
      <c r="C533" s="52" t="s">
        <v>419</v>
      </c>
    </row>
    <row r="534" spans="1:3" hidden="1" x14ac:dyDescent="0.25">
      <c r="A534" s="52" t="s">
        <v>1499</v>
      </c>
      <c r="B534" s="52" t="s">
        <v>5021</v>
      </c>
      <c r="C534" s="52" t="s">
        <v>419</v>
      </c>
    </row>
    <row r="535" spans="1:3" hidden="1" x14ac:dyDescent="0.25">
      <c r="A535" s="52" t="s">
        <v>1500</v>
      </c>
      <c r="B535" s="52" t="s">
        <v>5022</v>
      </c>
      <c r="C535" s="52" t="s">
        <v>419</v>
      </c>
    </row>
    <row r="536" spans="1:3" hidden="1" x14ac:dyDescent="0.25">
      <c r="A536" s="52" t="s">
        <v>1501</v>
      </c>
      <c r="B536" s="52" t="s">
        <v>5023</v>
      </c>
      <c r="C536" s="52" t="s">
        <v>419</v>
      </c>
    </row>
    <row r="537" spans="1:3" hidden="1" x14ac:dyDescent="0.25">
      <c r="A537" s="52" t="s">
        <v>1502</v>
      </c>
      <c r="B537" s="52" t="s">
        <v>5024</v>
      </c>
      <c r="C537" s="52" t="s">
        <v>419</v>
      </c>
    </row>
    <row r="538" spans="1:3" hidden="1" x14ac:dyDescent="0.25">
      <c r="A538" s="52" t="s">
        <v>1503</v>
      </c>
      <c r="B538" s="52" t="s">
        <v>5025</v>
      </c>
      <c r="C538" s="52" t="s">
        <v>419</v>
      </c>
    </row>
    <row r="539" spans="1:3" hidden="1" x14ac:dyDescent="0.25">
      <c r="A539" s="52" t="s">
        <v>1504</v>
      </c>
      <c r="B539" s="52" t="s">
        <v>5026</v>
      </c>
      <c r="C539" s="52" t="s">
        <v>419</v>
      </c>
    </row>
    <row r="540" spans="1:3" hidden="1" x14ac:dyDescent="0.25">
      <c r="A540" s="52" t="s">
        <v>1505</v>
      </c>
      <c r="B540" s="52" t="s">
        <v>5027</v>
      </c>
      <c r="C540" s="52" t="s">
        <v>419</v>
      </c>
    </row>
    <row r="541" spans="1:3" hidden="1" x14ac:dyDescent="0.25">
      <c r="A541" s="52" t="s">
        <v>1506</v>
      </c>
      <c r="B541" s="52" t="s">
        <v>5028</v>
      </c>
      <c r="C541" s="52" t="s">
        <v>419</v>
      </c>
    </row>
    <row r="542" spans="1:3" hidden="1" x14ac:dyDescent="0.25">
      <c r="A542" s="52" t="s">
        <v>1507</v>
      </c>
      <c r="B542" s="52" t="s">
        <v>5029</v>
      </c>
      <c r="C542" s="52" t="s">
        <v>419</v>
      </c>
    </row>
    <row r="543" spans="1:3" hidden="1" x14ac:dyDescent="0.25">
      <c r="A543" s="52" t="s">
        <v>1508</v>
      </c>
      <c r="B543" s="52" t="s">
        <v>5030</v>
      </c>
      <c r="C543" s="52" t="s">
        <v>419</v>
      </c>
    </row>
    <row r="544" spans="1:3" hidden="1" x14ac:dyDescent="0.25">
      <c r="A544" s="52" t="s">
        <v>1509</v>
      </c>
      <c r="B544" s="52" t="s">
        <v>5031</v>
      </c>
      <c r="C544" s="52" t="s">
        <v>419</v>
      </c>
    </row>
    <row r="545" spans="1:3" hidden="1" x14ac:dyDescent="0.25">
      <c r="A545" s="52" t="s">
        <v>1510</v>
      </c>
      <c r="B545" s="52" t="s">
        <v>5032</v>
      </c>
      <c r="C545" s="52" t="s">
        <v>419</v>
      </c>
    </row>
    <row r="546" spans="1:3" hidden="1" x14ac:dyDescent="0.25">
      <c r="A546" s="52" t="s">
        <v>1511</v>
      </c>
      <c r="B546" s="52" t="s">
        <v>5033</v>
      </c>
      <c r="C546" s="52" t="s">
        <v>419</v>
      </c>
    </row>
    <row r="547" spans="1:3" hidden="1" x14ac:dyDescent="0.25">
      <c r="A547" s="52" t="s">
        <v>1512</v>
      </c>
      <c r="B547" s="52" t="s">
        <v>5034</v>
      </c>
      <c r="C547" s="52" t="s">
        <v>419</v>
      </c>
    </row>
    <row r="548" spans="1:3" hidden="1" x14ac:dyDescent="0.25">
      <c r="A548" s="52" t="s">
        <v>1513</v>
      </c>
      <c r="B548" s="52" t="s">
        <v>5035</v>
      </c>
      <c r="C548" s="52" t="s">
        <v>419</v>
      </c>
    </row>
    <row r="549" spans="1:3" hidden="1" x14ac:dyDescent="0.25">
      <c r="A549" s="52" t="s">
        <v>1514</v>
      </c>
      <c r="B549" s="52" t="s">
        <v>5036</v>
      </c>
      <c r="C549" s="52" t="s">
        <v>419</v>
      </c>
    </row>
    <row r="550" spans="1:3" hidden="1" x14ac:dyDescent="0.25">
      <c r="A550" s="52" t="s">
        <v>1515</v>
      </c>
      <c r="B550" s="52" t="s">
        <v>5037</v>
      </c>
      <c r="C550" s="52" t="s">
        <v>419</v>
      </c>
    </row>
    <row r="551" spans="1:3" hidden="1" x14ac:dyDescent="0.25">
      <c r="A551" s="52" t="s">
        <v>1516</v>
      </c>
      <c r="B551" s="52" t="s">
        <v>5038</v>
      </c>
      <c r="C551" s="52" t="s">
        <v>419</v>
      </c>
    </row>
    <row r="552" spans="1:3" hidden="1" x14ac:dyDescent="0.25">
      <c r="A552" s="52" t="s">
        <v>1517</v>
      </c>
      <c r="B552" s="52" t="s">
        <v>5039</v>
      </c>
      <c r="C552" s="52" t="s">
        <v>419</v>
      </c>
    </row>
    <row r="553" spans="1:3" hidden="1" x14ac:dyDescent="0.25">
      <c r="A553" s="52" t="s">
        <v>1518</v>
      </c>
      <c r="B553" s="52" t="s">
        <v>5040</v>
      </c>
      <c r="C553" s="52" t="s">
        <v>419</v>
      </c>
    </row>
    <row r="554" spans="1:3" hidden="1" x14ac:dyDescent="0.25">
      <c r="A554" s="52" t="s">
        <v>1519</v>
      </c>
      <c r="B554" s="52" t="s">
        <v>5041</v>
      </c>
      <c r="C554" s="52" t="s">
        <v>419</v>
      </c>
    </row>
    <row r="555" spans="1:3" hidden="1" x14ac:dyDescent="0.25">
      <c r="A555" s="52" t="s">
        <v>1520</v>
      </c>
      <c r="B555" s="52" t="s">
        <v>5042</v>
      </c>
      <c r="C555" s="52" t="s">
        <v>419</v>
      </c>
    </row>
    <row r="556" spans="1:3" hidden="1" x14ac:dyDescent="0.25">
      <c r="A556" s="52" t="s">
        <v>1521</v>
      </c>
      <c r="B556" s="52" t="s">
        <v>5043</v>
      </c>
      <c r="C556" s="52" t="s">
        <v>419</v>
      </c>
    </row>
    <row r="557" spans="1:3" hidden="1" x14ac:dyDescent="0.25">
      <c r="A557" s="52" t="s">
        <v>1522</v>
      </c>
      <c r="B557" s="52" t="s">
        <v>5044</v>
      </c>
      <c r="C557" s="52" t="s">
        <v>419</v>
      </c>
    </row>
    <row r="558" spans="1:3" hidden="1" x14ac:dyDescent="0.25">
      <c r="A558" s="52" t="s">
        <v>1523</v>
      </c>
      <c r="B558" s="52" t="s">
        <v>5045</v>
      </c>
      <c r="C558" s="52" t="s">
        <v>419</v>
      </c>
    </row>
    <row r="559" spans="1:3" hidden="1" x14ac:dyDescent="0.25">
      <c r="A559" s="52" t="s">
        <v>1524</v>
      </c>
      <c r="B559" s="52" t="s">
        <v>5046</v>
      </c>
      <c r="C559" s="52" t="s">
        <v>419</v>
      </c>
    </row>
    <row r="560" spans="1:3" hidden="1" x14ac:dyDescent="0.25">
      <c r="A560" s="52" t="s">
        <v>1525</v>
      </c>
      <c r="B560" s="52" t="s">
        <v>5047</v>
      </c>
      <c r="C560" s="52" t="s">
        <v>419</v>
      </c>
    </row>
    <row r="561" spans="1:3" hidden="1" x14ac:dyDescent="0.25">
      <c r="A561" s="52" t="s">
        <v>1526</v>
      </c>
      <c r="B561" s="52" t="s">
        <v>5048</v>
      </c>
      <c r="C561" s="52" t="s">
        <v>419</v>
      </c>
    </row>
    <row r="562" spans="1:3" hidden="1" x14ac:dyDescent="0.25">
      <c r="A562" s="52" t="s">
        <v>1527</v>
      </c>
      <c r="B562" s="52" t="s">
        <v>5049</v>
      </c>
      <c r="C562" s="52" t="s">
        <v>419</v>
      </c>
    </row>
    <row r="563" spans="1:3" hidden="1" x14ac:dyDescent="0.25">
      <c r="A563" s="52" t="s">
        <v>1528</v>
      </c>
      <c r="B563" s="52" t="s">
        <v>4871</v>
      </c>
      <c r="C563" s="52" t="s">
        <v>419</v>
      </c>
    </row>
    <row r="564" spans="1:3" hidden="1" x14ac:dyDescent="0.25">
      <c r="A564" s="52" t="s">
        <v>1529</v>
      </c>
      <c r="B564" s="52" t="s">
        <v>4755</v>
      </c>
      <c r="C564" s="52" t="s">
        <v>419</v>
      </c>
    </row>
    <row r="565" spans="1:3" hidden="1" x14ac:dyDescent="0.25">
      <c r="A565" s="52" t="s">
        <v>1530</v>
      </c>
      <c r="B565" s="52" t="s">
        <v>5050</v>
      </c>
      <c r="C565" s="52" t="s">
        <v>439</v>
      </c>
    </row>
    <row r="566" spans="1:3" hidden="1" x14ac:dyDescent="0.25">
      <c r="A566" s="52" t="s">
        <v>1531</v>
      </c>
      <c r="B566" s="52" t="s">
        <v>5051</v>
      </c>
      <c r="C566" s="52" t="s">
        <v>439</v>
      </c>
    </row>
    <row r="567" spans="1:3" hidden="1" x14ac:dyDescent="0.25">
      <c r="A567" s="52" t="s">
        <v>1532</v>
      </c>
      <c r="B567" s="52" t="s">
        <v>5052</v>
      </c>
      <c r="C567" s="52" t="s">
        <v>439</v>
      </c>
    </row>
    <row r="568" spans="1:3" hidden="1" x14ac:dyDescent="0.25">
      <c r="A568" s="52" t="s">
        <v>1533</v>
      </c>
      <c r="B568" s="52" t="s">
        <v>5053</v>
      </c>
      <c r="C568" s="52" t="s">
        <v>439</v>
      </c>
    </row>
    <row r="569" spans="1:3" hidden="1" x14ac:dyDescent="0.25">
      <c r="A569" s="52" t="s">
        <v>1534</v>
      </c>
      <c r="B569" s="52" t="s">
        <v>5054</v>
      </c>
      <c r="C569" s="52" t="s">
        <v>439</v>
      </c>
    </row>
    <row r="570" spans="1:3" hidden="1" x14ac:dyDescent="0.25">
      <c r="A570" s="52" t="s">
        <v>1535</v>
      </c>
      <c r="B570" s="52" t="s">
        <v>5055</v>
      </c>
      <c r="C570" s="52" t="s">
        <v>439</v>
      </c>
    </row>
    <row r="571" spans="1:3" hidden="1" x14ac:dyDescent="0.25">
      <c r="A571" s="52" t="s">
        <v>1536</v>
      </c>
      <c r="B571" s="52" t="s">
        <v>5056</v>
      </c>
      <c r="C571" s="52" t="s">
        <v>439</v>
      </c>
    </row>
    <row r="572" spans="1:3" hidden="1" x14ac:dyDescent="0.25">
      <c r="A572" s="52" t="s">
        <v>1537</v>
      </c>
      <c r="B572" s="52" t="s">
        <v>5057</v>
      </c>
      <c r="C572" s="52" t="s">
        <v>439</v>
      </c>
    </row>
    <row r="573" spans="1:3" hidden="1" x14ac:dyDescent="0.25">
      <c r="A573" s="52" t="s">
        <v>1538</v>
      </c>
      <c r="B573" s="52" t="s">
        <v>5058</v>
      </c>
      <c r="C573" s="52" t="s">
        <v>439</v>
      </c>
    </row>
    <row r="574" spans="1:3" hidden="1" x14ac:dyDescent="0.25">
      <c r="A574" s="52" t="s">
        <v>1539</v>
      </c>
      <c r="B574" s="52" t="s">
        <v>5059</v>
      </c>
      <c r="C574" s="52" t="s">
        <v>439</v>
      </c>
    </row>
    <row r="575" spans="1:3" hidden="1" x14ac:dyDescent="0.25">
      <c r="A575" s="52" t="s">
        <v>1540</v>
      </c>
      <c r="B575" s="52" t="s">
        <v>5060</v>
      </c>
      <c r="C575" s="52" t="s">
        <v>439</v>
      </c>
    </row>
    <row r="576" spans="1:3" hidden="1" x14ac:dyDescent="0.25">
      <c r="A576" s="52" t="s">
        <v>1541</v>
      </c>
      <c r="B576" s="52" t="s">
        <v>5061</v>
      </c>
      <c r="C576" s="52" t="s">
        <v>439</v>
      </c>
    </row>
    <row r="577" spans="1:3" hidden="1" x14ac:dyDescent="0.25">
      <c r="A577" s="52" t="s">
        <v>1542</v>
      </c>
      <c r="B577" s="52" t="s">
        <v>5062</v>
      </c>
      <c r="C577" s="52" t="s">
        <v>439</v>
      </c>
    </row>
    <row r="578" spans="1:3" hidden="1" x14ac:dyDescent="0.25">
      <c r="A578" s="52" t="s">
        <v>1543</v>
      </c>
      <c r="B578" s="52" t="s">
        <v>5063</v>
      </c>
      <c r="C578" s="52" t="s">
        <v>439</v>
      </c>
    </row>
    <row r="579" spans="1:3" hidden="1" x14ac:dyDescent="0.25">
      <c r="A579" s="52" t="s">
        <v>1544</v>
      </c>
      <c r="B579" s="52" t="s">
        <v>5064</v>
      </c>
      <c r="C579" s="52" t="s">
        <v>439</v>
      </c>
    </row>
    <row r="580" spans="1:3" hidden="1" x14ac:dyDescent="0.25">
      <c r="A580" s="52" t="s">
        <v>1545</v>
      </c>
      <c r="B580" s="52" t="s">
        <v>5065</v>
      </c>
      <c r="C580" s="52" t="s">
        <v>439</v>
      </c>
    </row>
    <row r="581" spans="1:3" hidden="1" x14ac:dyDescent="0.25">
      <c r="A581" s="52" t="s">
        <v>1546</v>
      </c>
      <c r="B581" s="52" t="s">
        <v>5066</v>
      </c>
      <c r="C581" s="52" t="s">
        <v>439</v>
      </c>
    </row>
    <row r="582" spans="1:3" hidden="1" x14ac:dyDescent="0.25">
      <c r="A582" s="52" t="s">
        <v>1547</v>
      </c>
      <c r="B582" s="52" t="s">
        <v>5067</v>
      </c>
      <c r="C582" s="52" t="s">
        <v>439</v>
      </c>
    </row>
    <row r="583" spans="1:3" hidden="1" x14ac:dyDescent="0.25">
      <c r="A583" s="52" t="s">
        <v>1548</v>
      </c>
      <c r="B583" s="52" t="s">
        <v>5068</v>
      </c>
      <c r="C583" s="52" t="s">
        <v>439</v>
      </c>
    </row>
    <row r="584" spans="1:3" hidden="1" x14ac:dyDescent="0.25">
      <c r="A584" s="52" t="s">
        <v>1549</v>
      </c>
      <c r="B584" s="52" t="s">
        <v>5069</v>
      </c>
      <c r="C584" s="52" t="s">
        <v>439</v>
      </c>
    </row>
    <row r="585" spans="1:3" hidden="1" x14ac:dyDescent="0.25">
      <c r="A585" s="52" t="s">
        <v>1550</v>
      </c>
      <c r="B585" s="52" t="s">
        <v>5070</v>
      </c>
      <c r="C585" s="52" t="s">
        <v>439</v>
      </c>
    </row>
    <row r="586" spans="1:3" hidden="1" x14ac:dyDescent="0.25">
      <c r="A586" s="52" t="s">
        <v>1551</v>
      </c>
      <c r="B586" s="52" t="s">
        <v>5071</v>
      </c>
      <c r="C586" s="52" t="s">
        <v>439</v>
      </c>
    </row>
    <row r="587" spans="1:3" hidden="1" x14ac:dyDescent="0.25">
      <c r="A587" s="52" t="s">
        <v>1552</v>
      </c>
      <c r="B587" s="52" t="s">
        <v>5072</v>
      </c>
      <c r="C587" s="52" t="s">
        <v>439</v>
      </c>
    </row>
    <row r="588" spans="1:3" hidden="1" x14ac:dyDescent="0.25">
      <c r="A588" s="52" t="s">
        <v>1553</v>
      </c>
      <c r="B588" s="52" t="s">
        <v>5073</v>
      </c>
      <c r="C588" s="52" t="s">
        <v>439</v>
      </c>
    </row>
    <row r="589" spans="1:3" hidden="1" x14ac:dyDescent="0.25">
      <c r="A589" s="52" t="s">
        <v>1554</v>
      </c>
      <c r="B589" s="52" t="s">
        <v>5074</v>
      </c>
      <c r="C589" s="52" t="s">
        <v>439</v>
      </c>
    </row>
    <row r="590" spans="1:3" hidden="1" x14ac:dyDescent="0.25">
      <c r="A590" s="52" t="s">
        <v>1555</v>
      </c>
      <c r="B590" s="52" t="s">
        <v>5075</v>
      </c>
      <c r="C590" s="52" t="s">
        <v>439</v>
      </c>
    </row>
    <row r="591" spans="1:3" hidden="1" x14ac:dyDescent="0.25">
      <c r="A591" s="52" t="s">
        <v>1556</v>
      </c>
      <c r="B591" s="52" t="s">
        <v>5076</v>
      </c>
      <c r="C591" s="52" t="s">
        <v>439</v>
      </c>
    </row>
    <row r="592" spans="1:3" hidden="1" x14ac:dyDescent="0.25">
      <c r="A592" s="52" t="s">
        <v>1557</v>
      </c>
      <c r="B592" s="52" t="s">
        <v>5077</v>
      </c>
      <c r="C592" s="52" t="s">
        <v>439</v>
      </c>
    </row>
    <row r="593" spans="1:3" hidden="1" x14ac:dyDescent="0.25">
      <c r="A593" s="52" t="s">
        <v>1558</v>
      </c>
      <c r="B593" s="52" t="s">
        <v>5078</v>
      </c>
      <c r="C593" s="52" t="s">
        <v>439</v>
      </c>
    </row>
    <row r="594" spans="1:3" hidden="1" x14ac:dyDescent="0.25">
      <c r="A594" s="52" t="s">
        <v>1559</v>
      </c>
      <c r="B594" s="52" t="s">
        <v>5079</v>
      </c>
      <c r="C594" s="52" t="s">
        <v>439</v>
      </c>
    </row>
    <row r="595" spans="1:3" hidden="1" x14ac:dyDescent="0.25">
      <c r="A595" s="52" t="s">
        <v>1560</v>
      </c>
      <c r="B595" s="52" t="s">
        <v>4792</v>
      </c>
      <c r="C595" s="52" t="s">
        <v>439</v>
      </c>
    </row>
    <row r="596" spans="1:3" hidden="1" x14ac:dyDescent="0.25">
      <c r="A596" s="52" t="s">
        <v>1561</v>
      </c>
      <c r="B596" s="52" t="s">
        <v>5080</v>
      </c>
      <c r="C596" s="52" t="s">
        <v>439</v>
      </c>
    </row>
    <row r="597" spans="1:3" hidden="1" x14ac:dyDescent="0.25">
      <c r="A597" s="52" t="s">
        <v>1562</v>
      </c>
      <c r="B597" s="52" t="s">
        <v>5081</v>
      </c>
      <c r="C597" s="52" t="s">
        <v>439</v>
      </c>
    </row>
    <row r="598" spans="1:3" hidden="1" x14ac:dyDescent="0.25">
      <c r="A598" s="52" t="s">
        <v>1563</v>
      </c>
      <c r="B598" s="52" t="s">
        <v>5082</v>
      </c>
      <c r="C598" s="52" t="s">
        <v>439</v>
      </c>
    </row>
    <row r="599" spans="1:3" hidden="1" x14ac:dyDescent="0.25">
      <c r="A599" s="52" t="s">
        <v>1564</v>
      </c>
      <c r="B599" s="52" t="s">
        <v>5083</v>
      </c>
      <c r="C599" s="52" t="s">
        <v>439</v>
      </c>
    </row>
    <row r="600" spans="1:3" hidden="1" x14ac:dyDescent="0.25">
      <c r="A600" s="52" t="s">
        <v>1565</v>
      </c>
      <c r="B600" s="52" t="s">
        <v>5084</v>
      </c>
      <c r="C600" s="52" t="s">
        <v>439</v>
      </c>
    </row>
    <row r="601" spans="1:3" hidden="1" x14ac:dyDescent="0.25">
      <c r="A601" s="52" t="s">
        <v>1566</v>
      </c>
      <c r="B601" s="52" t="s">
        <v>5085</v>
      </c>
      <c r="C601" s="52" t="s">
        <v>439</v>
      </c>
    </row>
    <row r="602" spans="1:3" hidden="1" x14ac:dyDescent="0.25">
      <c r="A602" s="52" t="s">
        <v>1567</v>
      </c>
      <c r="B602" s="52" t="s">
        <v>5086</v>
      </c>
      <c r="C602" s="52" t="s">
        <v>439</v>
      </c>
    </row>
    <row r="603" spans="1:3" hidden="1" x14ac:dyDescent="0.25">
      <c r="A603" s="52" t="s">
        <v>1568</v>
      </c>
      <c r="B603" s="52" t="s">
        <v>5087</v>
      </c>
      <c r="C603" s="52" t="s">
        <v>439</v>
      </c>
    </row>
    <row r="604" spans="1:3" hidden="1" x14ac:dyDescent="0.25">
      <c r="A604" s="52" t="s">
        <v>1569</v>
      </c>
      <c r="B604" s="52" t="s">
        <v>5088</v>
      </c>
      <c r="C604" s="52" t="s">
        <v>439</v>
      </c>
    </row>
    <row r="605" spans="1:3" hidden="1" x14ac:dyDescent="0.25">
      <c r="A605" s="52" t="s">
        <v>1570</v>
      </c>
      <c r="B605" s="52" t="s">
        <v>5089</v>
      </c>
      <c r="C605" s="52" t="s">
        <v>439</v>
      </c>
    </row>
    <row r="606" spans="1:3" hidden="1" x14ac:dyDescent="0.25">
      <c r="A606" s="52" t="s">
        <v>1571</v>
      </c>
      <c r="B606" s="52" t="s">
        <v>5090</v>
      </c>
      <c r="C606" s="52" t="s">
        <v>439</v>
      </c>
    </row>
    <row r="607" spans="1:3" hidden="1" x14ac:dyDescent="0.25">
      <c r="A607" s="52" t="s">
        <v>1572</v>
      </c>
      <c r="B607" s="52" t="s">
        <v>5091</v>
      </c>
      <c r="C607" s="52" t="s">
        <v>439</v>
      </c>
    </row>
    <row r="608" spans="1:3" hidden="1" x14ac:dyDescent="0.25">
      <c r="A608" s="52" t="s">
        <v>1573</v>
      </c>
      <c r="B608" s="52" t="s">
        <v>5092</v>
      </c>
      <c r="C608" s="52" t="s">
        <v>439</v>
      </c>
    </row>
    <row r="609" spans="1:3" hidden="1" x14ac:dyDescent="0.25">
      <c r="A609" s="52" t="s">
        <v>1574</v>
      </c>
      <c r="B609" s="52" t="s">
        <v>5093</v>
      </c>
      <c r="C609" s="52" t="s">
        <v>439</v>
      </c>
    </row>
    <row r="610" spans="1:3" hidden="1" x14ac:dyDescent="0.25">
      <c r="A610" s="52" t="s">
        <v>1575</v>
      </c>
      <c r="B610" s="52" t="s">
        <v>5094</v>
      </c>
      <c r="C610" s="52" t="s">
        <v>459</v>
      </c>
    </row>
    <row r="611" spans="1:3" hidden="1" x14ac:dyDescent="0.25">
      <c r="A611" s="52" t="s">
        <v>1576</v>
      </c>
      <c r="B611" s="52" t="s">
        <v>5095</v>
      </c>
      <c r="C611" s="52" t="s">
        <v>459</v>
      </c>
    </row>
    <row r="612" spans="1:3" hidden="1" x14ac:dyDescent="0.25">
      <c r="A612" s="52" t="s">
        <v>1577</v>
      </c>
      <c r="B612" s="52" t="s">
        <v>5096</v>
      </c>
      <c r="C612" s="52" t="s">
        <v>459</v>
      </c>
    </row>
    <row r="613" spans="1:3" hidden="1" x14ac:dyDescent="0.25">
      <c r="A613" s="52" t="s">
        <v>1578</v>
      </c>
      <c r="B613" s="52" t="s">
        <v>5097</v>
      </c>
      <c r="C613" s="52" t="s">
        <v>459</v>
      </c>
    </row>
    <row r="614" spans="1:3" hidden="1" x14ac:dyDescent="0.25">
      <c r="A614" s="52" t="s">
        <v>1579</v>
      </c>
      <c r="B614" s="52" t="s">
        <v>5098</v>
      </c>
      <c r="C614" s="52" t="s">
        <v>459</v>
      </c>
    </row>
    <row r="615" spans="1:3" hidden="1" x14ac:dyDescent="0.25">
      <c r="A615" s="52" t="s">
        <v>1580</v>
      </c>
      <c r="B615" s="52" t="s">
        <v>5099</v>
      </c>
      <c r="C615" s="52" t="s">
        <v>459</v>
      </c>
    </row>
    <row r="616" spans="1:3" hidden="1" x14ac:dyDescent="0.25">
      <c r="A616" s="52" t="s">
        <v>1581</v>
      </c>
      <c r="B616" s="52" t="s">
        <v>5100</v>
      </c>
      <c r="C616" s="52" t="s">
        <v>459</v>
      </c>
    </row>
    <row r="617" spans="1:3" hidden="1" x14ac:dyDescent="0.25">
      <c r="A617" s="52" t="s">
        <v>1582</v>
      </c>
      <c r="B617" s="52" t="s">
        <v>5101</v>
      </c>
      <c r="C617" s="52" t="s">
        <v>459</v>
      </c>
    </row>
    <row r="618" spans="1:3" hidden="1" x14ac:dyDescent="0.25">
      <c r="A618" s="52" t="s">
        <v>1583</v>
      </c>
      <c r="B618" s="52" t="s">
        <v>5102</v>
      </c>
      <c r="C618" s="52" t="s">
        <v>459</v>
      </c>
    </row>
    <row r="619" spans="1:3" hidden="1" x14ac:dyDescent="0.25">
      <c r="A619" s="52" t="s">
        <v>1584</v>
      </c>
      <c r="B619" s="52" t="s">
        <v>5103</v>
      </c>
      <c r="C619" s="52" t="s">
        <v>459</v>
      </c>
    </row>
    <row r="620" spans="1:3" hidden="1" x14ac:dyDescent="0.25">
      <c r="A620" s="52" t="s">
        <v>1585</v>
      </c>
      <c r="B620" s="52" t="s">
        <v>5104</v>
      </c>
      <c r="C620" s="52" t="s">
        <v>459</v>
      </c>
    </row>
    <row r="621" spans="1:3" hidden="1" x14ac:dyDescent="0.25">
      <c r="A621" s="52" t="s">
        <v>1586</v>
      </c>
      <c r="B621" s="52" t="s">
        <v>5105</v>
      </c>
      <c r="C621" s="52" t="s">
        <v>459</v>
      </c>
    </row>
    <row r="622" spans="1:3" hidden="1" x14ac:dyDescent="0.25">
      <c r="A622" s="52" t="s">
        <v>1587</v>
      </c>
      <c r="B622" s="52" t="s">
        <v>5106</v>
      </c>
      <c r="C622" s="52" t="s">
        <v>459</v>
      </c>
    </row>
    <row r="623" spans="1:3" hidden="1" x14ac:dyDescent="0.25">
      <c r="A623" s="52" t="s">
        <v>1588</v>
      </c>
      <c r="B623" s="52" t="s">
        <v>5107</v>
      </c>
      <c r="C623" s="52" t="s">
        <v>459</v>
      </c>
    </row>
    <row r="624" spans="1:3" hidden="1" x14ac:dyDescent="0.25">
      <c r="A624" s="52" t="s">
        <v>1589</v>
      </c>
      <c r="B624" s="52" t="s">
        <v>5108</v>
      </c>
      <c r="C624" s="52" t="s">
        <v>459</v>
      </c>
    </row>
    <row r="625" spans="1:3" hidden="1" x14ac:dyDescent="0.25">
      <c r="A625" s="52" t="s">
        <v>1590</v>
      </c>
      <c r="B625" s="52" t="s">
        <v>5109</v>
      </c>
      <c r="C625" s="52" t="s">
        <v>459</v>
      </c>
    </row>
    <row r="626" spans="1:3" hidden="1" x14ac:dyDescent="0.25">
      <c r="A626" s="52" t="s">
        <v>1591</v>
      </c>
      <c r="B626" s="52" t="s">
        <v>5110</v>
      </c>
      <c r="C626" s="52" t="s">
        <v>459</v>
      </c>
    </row>
    <row r="627" spans="1:3" hidden="1" x14ac:dyDescent="0.25">
      <c r="A627" s="52" t="s">
        <v>1592</v>
      </c>
      <c r="B627" s="52" t="s">
        <v>5111</v>
      </c>
      <c r="C627" s="52" t="s">
        <v>459</v>
      </c>
    </row>
    <row r="628" spans="1:3" hidden="1" x14ac:dyDescent="0.25">
      <c r="A628" s="52" t="s">
        <v>1593</v>
      </c>
      <c r="B628" s="52" t="s">
        <v>5112</v>
      </c>
      <c r="C628" s="52" t="s">
        <v>459</v>
      </c>
    </row>
    <row r="629" spans="1:3" hidden="1" x14ac:dyDescent="0.25">
      <c r="A629" s="52" t="s">
        <v>1594</v>
      </c>
      <c r="B629" s="52" t="s">
        <v>5113</v>
      </c>
      <c r="C629" s="52" t="s">
        <v>459</v>
      </c>
    </row>
    <row r="630" spans="1:3" hidden="1" x14ac:dyDescent="0.25">
      <c r="A630" s="52" t="s">
        <v>1595</v>
      </c>
      <c r="B630" s="52" t="s">
        <v>5114</v>
      </c>
      <c r="C630" s="52" t="s">
        <v>459</v>
      </c>
    </row>
    <row r="631" spans="1:3" hidden="1" x14ac:dyDescent="0.25">
      <c r="A631" s="52" t="s">
        <v>1596</v>
      </c>
      <c r="B631" s="52" t="s">
        <v>5115</v>
      </c>
      <c r="C631" s="52" t="s">
        <v>459</v>
      </c>
    </row>
    <row r="632" spans="1:3" hidden="1" x14ac:dyDescent="0.25">
      <c r="A632" s="52" t="s">
        <v>1597</v>
      </c>
      <c r="B632" s="52" t="s">
        <v>5116</v>
      </c>
      <c r="C632" s="52" t="s">
        <v>459</v>
      </c>
    </row>
    <row r="633" spans="1:3" hidden="1" x14ac:dyDescent="0.25">
      <c r="A633" s="52" t="s">
        <v>1598</v>
      </c>
      <c r="B633" s="52" t="s">
        <v>5117</v>
      </c>
      <c r="C633" s="52" t="s">
        <v>459</v>
      </c>
    </row>
    <row r="634" spans="1:3" hidden="1" x14ac:dyDescent="0.25">
      <c r="A634" s="52" t="s">
        <v>1599</v>
      </c>
      <c r="B634" s="52" t="s">
        <v>4826</v>
      </c>
      <c r="C634" s="52" t="s">
        <v>459</v>
      </c>
    </row>
    <row r="635" spans="1:3" hidden="1" x14ac:dyDescent="0.25">
      <c r="A635" s="52" t="s">
        <v>1600</v>
      </c>
      <c r="B635" s="52" t="s">
        <v>5118</v>
      </c>
      <c r="C635" s="52" t="s">
        <v>459</v>
      </c>
    </row>
    <row r="636" spans="1:3" hidden="1" x14ac:dyDescent="0.25">
      <c r="A636" s="52" t="s">
        <v>1601</v>
      </c>
      <c r="B636" s="52" t="s">
        <v>5119</v>
      </c>
      <c r="C636" s="52" t="s">
        <v>459</v>
      </c>
    </row>
    <row r="637" spans="1:3" hidden="1" x14ac:dyDescent="0.25">
      <c r="A637" s="52" t="s">
        <v>1602</v>
      </c>
      <c r="B637" s="52" t="s">
        <v>5120</v>
      </c>
      <c r="C637" s="52" t="s">
        <v>459</v>
      </c>
    </row>
    <row r="638" spans="1:3" hidden="1" x14ac:dyDescent="0.25">
      <c r="A638" s="52" t="s">
        <v>1603</v>
      </c>
      <c r="B638" s="52" t="s">
        <v>5121</v>
      </c>
      <c r="C638" s="52" t="s">
        <v>459</v>
      </c>
    </row>
    <row r="639" spans="1:3" hidden="1" x14ac:dyDescent="0.25">
      <c r="A639" s="52" t="s">
        <v>1604</v>
      </c>
      <c r="B639" s="52" t="s">
        <v>5122</v>
      </c>
      <c r="C639" s="52" t="s">
        <v>459</v>
      </c>
    </row>
    <row r="640" spans="1:3" hidden="1" x14ac:dyDescent="0.25">
      <c r="A640" s="52" t="s">
        <v>1605</v>
      </c>
      <c r="B640" s="52" t="s">
        <v>5123</v>
      </c>
      <c r="C640" s="52" t="s">
        <v>459</v>
      </c>
    </row>
    <row r="641" spans="1:3" hidden="1" x14ac:dyDescent="0.25">
      <c r="A641" s="52" t="s">
        <v>1606</v>
      </c>
      <c r="B641" s="52" t="s">
        <v>5124</v>
      </c>
      <c r="C641" s="52" t="s">
        <v>459</v>
      </c>
    </row>
    <row r="642" spans="1:3" hidden="1" x14ac:dyDescent="0.25">
      <c r="A642" s="52" t="s">
        <v>1607</v>
      </c>
      <c r="B642" s="52" t="s">
        <v>5125</v>
      </c>
      <c r="C642" s="52" t="s">
        <v>459</v>
      </c>
    </row>
    <row r="643" spans="1:3" hidden="1" x14ac:dyDescent="0.25">
      <c r="A643" s="52" t="s">
        <v>1608</v>
      </c>
      <c r="B643" s="52" t="s">
        <v>5126</v>
      </c>
      <c r="C643" s="52" t="s">
        <v>459</v>
      </c>
    </row>
    <row r="644" spans="1:3" hidden="1" x14ac:dyDescent="0.25">
      <c r="A644" s="52" t="s">
        <v>1609</v>
      </c>
      <c r="B644" s="52" t="s">
        <v>5127</v>
      </c>
      <c r="C644" s="52" t="s">
        <v>459</v>
      </c>
    </row>
    <row r="645" spans="1:3" hidden="1" x14ac:dyDescent="0.25">
      <c r="A645" s="52" t="s">
        <v>1610</v>
      </c>
      <c r="B645" s="52" t="s">
        <v>5128</v>
      </c>
      <c r="C645" s="52" t="s">
        <v>459</v>
      </c>
    </row>
    <row r="646" spans="1:3" hidden="1" x14ac:dyDescent="0.25">
      <c r="A646" s="52" t="s">
        <v>1611</v>
      </c>
      <c r="B646" s="52" t="s">
        <v>5129</v>
      </c>
      <c r="C646" s="52" t="s">
        <v>459</v>
      </c>
    </row>
    <row r="647" spans="1:3" hidden="1" x14ac:dyDescent="0.25">
      <c r="A647" s="52" t="s">
        <v>1612</v>
      </c>
      <c r="B647" s="52" t="s">
        <v>5130</v>
      </c>
      <c r="C647" s="52" t="s">
        <v>459</v>
      </c>
    </row>
    <row r="648" spans="1:3" hidden="1" x14ac:dyDescent="0.25">
      <c r="A648" s="52" t="s">
        <v>1613</v>
      </c>
      <c r="B648" s="52" t="s">
        <v>5131</v>
      </c>
      <c r="C648" s="52" t="s">
        <v>459</v>
      </c>
    </row>
    <row r="649" spans="1:3" hidden="1" x14ac:dyDescent="0.25">
      <c r="A649" s="52" t="s">
        <v>1614</v>
      </c>
      <c r="B649" s="52" t="s">
        <v>5132</v>
      </c>
      <c r="C649" s="52" t="s">
        <v>459</v>
      </c>
    </row>
    <row r="650" spans="1:3" hidden="1" x14ac:dyDescent="0.25">
      <c r="A650" s="52" t="s">
        <v>1615</v>
      </c>
      <c r="B650" s="52" t="s">
        <v>5133</v>
      </c>
      <c r="C650" s="52" t="s">
        <v>459</v>
      </c>
    </row>
    <row r="651" spans="1:3" hidden="1" x14ac:dyDescent="0.25">
      <c r="A651" s="52" t="s">
        <v>1616</v>
      </c>
      <c r="B651" s="52" t="s">
        <v>5134</v>
      </c>
      <c r="C651" s="52" t="s">
        <v>459</v>
      </c>
    </row>
    <row r="652" spans="1:3" hidden="1" x14ac:dyDescent="0.25">
      <c r="A652" s="52" t="s">
        <v>1617</v>
      </c>
      <c r="B652" s="52" t="s">
        <v>5135</v>
      </c>
      <c r="C652" s="52" t="s">
        <v>459</v>
      </c>
    </row>
    <row r="653" spans="1:3" hidden="1" x14ac:dyDescent="0.25">
      <c r="A653" s="52" t="s">
        <v>1618</v>
      </c>
      <c r="B653" s="52" t="s">
        <v>5136</v>
      </c>
      <c r="C653" s="52" t="s">
        <v>459</v>
      </c>
    </row>
    <row r="654" spans="1:3" hidden="1" x14ac:dyDescent="0.25">
      <c r="A654" s="52" t="s">
        <v>1619</v>
      </c>
      <c r="B654" s="52" t="s">
        <v>5137</v>
      </c>
      <c r="C654" s="52" t="s">
        <v>459</v>
      </c>
    </row>
    <row r="655" spans="1:3" hidden="1" x14ac:dyDescent="0.25">
      <c r="A655" s="52" t="s">
        <v>1620</v>
      </c>
      <c r="B655" s="52" t="s">
        <v>5058</v>
      </c>
      <c r="C655" s="52" t="s">
        <v>459</v>
      </c>
    </row>
    <row r="656" spans="1:3" hidden="1" x14ac:dyDescent="0.25">
      <c r="A656" s="52" t="s">
        <v>1621</v>
      </c>
      <c r="B656" s="52" t="s">
        <v>5138</v>
      </c>
      <c r="C656" s="52" t="s">
        <v>459</v>
      </c>
    </row>
    <row r="657" spans="1:3" hidden="1" x14ac:dyDescent="0.25">
      <c r="A657" s="52" t="s">
        <v>1622</v>
      </c>
      <c r="B657" s="52" t="s">
        <v>5139</v>
      </c>
      <c r="C657" s="52" t="s">
        <v>459</v>
      </c>
    </row>
    <row r="658" spans="1:3" hidden="1" x14ac:dyDescent="0.25">
      <c r="A658" s="52" t="s">
        <v>1623</v>
      </c>
      <c r="B658" s="52" t="s">
        <v>5140</v>
      </c>
      <c r="C658" s="52" t="s">
        <v>459</v>
      </c>
    </row>
    <row r="659" spans="1:3" hidden="1" x14ac:dyDescent="0.25">
      <c r="A659" s="52" t="s">
        <v>4541</v>
      </c>
      <c r="B659" s="52" t="s">
        <v>5141</v>
      </c>
      <c r="C659" s="52" t="s">
        <v>459</v>
      </c>
    </row>
    <row r="660" spans="1:3" hidden="1" x14ac:dyDescent="0.25">
      <c r="A660" s="52" t="s">
        <v>4542</v>
      </c>
      <c r="B660" s="52" t="s">
        <v>5142</v>
      </c>
      <c r="C660" s="52" t="s">
        <v>459</v>
      </c>
    </row>
    <row r="661" spans="1:3" hidden="1" x14ac:dyDescent="0.25">
      <c r="A661" s="52" t="s">
        <v>4543</v>
      </c>
      <c r="B661" s="52" t="s">
        <v>5143</v>
      </c>
      <c r="C661" s="52" t="s">
        <v>459</v>
      </c>
    </row>
    <row r="662" spans="1:3" hidden="1" x14ac:dyDescent="0.25">
      <c r="A662" s="52" t="s">
        <v>4544</v>
      </c>
      <c r="B662" s="52" t="s">
        <v>5144</v>
      </c>
      <c r="C662" s="52" t="s">
        <v>459</v>
      </c>
    </row>
    <row r="663" spans="1:3" hidden="1" x14ac:dyDescent="0.25">
      <c r="A663" s="52" t="s">
        <v>4545</v>
      </c>
      <c r="B663" s="52" t="s">
        <v>5145</v>
      </c>
      <c r="C663" s="52" t="s">
        <v>459</v>
      </c>
    </row>
    <row r="664" spans="1:3" hidden="1" x14ac:dyDescent="0.25">
      <c r="A664" s="52" t="s">
        <v>4546</v>
      </c>
      <c r="B664" s="52" t="s">
        <v>5146</v>
      </c>
      <c r="C664" s="52" t="s">
        <v>459</v>
      </c>
    </row>
    <row r="665" spans="1:3" hidden="1" x14ac:dyDescent="0.25">
      <c r="A665" s="52" t="s">
        <v>4547</v>
      </c>
      <c r="B665" s="52" t="s">
        <v>5147</v>
      </c>
      <c r="C665" s="52" t="s">
        <v>459</v>
      </c>
    </row>
    <row r="666" spans="1:3" hidden="1" x14ac:dyDescent="0.25">
      <c r="A666" s="52" t="s">
        <v>4548</v>
      </c>
      <c r="B666" s="52" t="s">
        <v>5148</v>
      </c>
      <c r="C666" s="52" t="s">
        <v>459</v>
      </c>
    </row>
    <row r="667" spans="1:3" hidden="1" x14ac:dyDescent="0.25">
      <c r="A667" s="52" t="s">
        <v>4549</v>
      </c>
      <c r="B667" s="52" t="s">
        <v>5149</v>
      </c>
      <c r="C667" s="52" t="s">
        <v>459</v>
      </c>
    </row>
    <row r="668" spans="1:3" hidden="1" x14ac:dyDescent="0.25">
      <c r="A668" s="52" t="s">
        <v>4550</v>
      </c>
      <c r="B668" s="52" t="s">
        <v>5150</v>
      </c>
      <c r="C668" s="52" t="s">
        <v>459</v>
      </c>
    </row>
    <row r="669" spans="1:3" hidden="1" x14ac:dyDescent="0.25">
      <c r="A669" s="52" t="s">
        <v>4551</v>
      </c>
      <c r="B669" s="52" t="s">
        <v>5151</v>
      </c>
      <c r="C669" s="52" t="s">
        <v>459</v>
      </c>
    </row>
    <row r="670" spans="1:3" hidden="1" x14ac:dyDescent="0.25">
      <c r="A670" s="52" t="s">
        <v>1624</v>
      </c>
      <c r="B670" s="52" t="s">
        <v>5152</v>
      </c>
      <c r="C670" s="52" t="s">
        <v>459</v>
      </c>
    </row>
    <row r="671" spans="1:3" hidden="1" x14ac:dyDescent="0.25">
      <c r="A671" s="52" t="s">
        <v>1625</v>
      </c>
      <c r="B671" s="52" t="s">
        <v>5153</v>
      </c>
      <c r="C671" s="52" t="s">
        <v>459</v>
      </c>
    </row>
    <row r="672" spans="1:3" hidden="1" x14ac:dyDescent="0.25">
      <c r="A672" s="52" t="s">
        <v>1626</v>
      </c>
      <c r="B672" s="52" t="s">
        <v>5154</v>
      </c>
      <c r="C672" s="52" t="s">
        <v>459</v>
      </c>
    </row>
    <row r="673" spans="1:3" hidden="1" x14ac:dyDescent="0.25">
      <c r="A673" s="52" t="s">
        <v>1627</v>
      </c>
      <c r="B673" s="52" t="s">
        <v>5155</v>
      </c>
      <c r="C673" s="52" t="s">
        <v>459</v>
      </c>
    </row>
    <row r="674" spans="1:3" hidden="1" x14ac:dyDescent="0.25">
      <c r="A674" s="52" t="s">
        <v>1628</v>
      </c>
      <c r="B674" s="52" t="s">
        <v>5156</v>
      </c>
      <c r="C674" s="52" t="s">
        <v>459</v>
      </c>
    </row>
    <row r="675" spans="1:3" hidden="1" x14ac:dyDescent="0.25">
      <c r="A675" s="52" t="s">
        <v>1629</v>
      </c>
      <c r="B675" s="52" t="s">
        <v>5157</v>
      </c>
      <c r="C675" s="52" t="s">
        <v>459</v>
      </c>
    </row>
    <row r="676" spans="1:3" hidden="1" x14ac:dyDescent="0.25">
      <c r="A676" s="52" t="s">
        <v>1630</v>
      </c>
      <c r="B676" s="52" t="s">
        <v>5158</v>
      </c>
      <c r="C676" s="52" t="s">
        <v>459</v>
      </c>
    </row>
    <row r="677" spans="1:3" hidden="1" x14ac:dyDescent="0.25">
      <c r="A677" s="52" t="s">
        <v>1631</v>
      </c>
      <c r="B677" s="52" t="s">
        <v>5159</v>
      </c>
      <c r="C677" s="52" t="s">
        <v>459</v>
      </c>
    </row>
    <row r="678" spans="1:3" hidden="1" x14ac:dyDescent="0.25">
      <c r="A678" s="52" t="s">
        <v>1632</v>
      </c>
      <c r="B678" s="52" t="s">
        <v>5160</v>
      </c>
      <c r="C678" s="52" t="s">
        <v>459</v>
      </c>
    </row>
    <row r="679" spans="1:3" hidden="1" x14ac:dyDescent="0.25">
      <c r="A679" s="52" t="s">
        <v>1633</v>
      </c>
      <c r="B679" s="52" t="s">
        <v>5161</v>
      </c>
      <c r="C679" s="52" t="s">
        <v>459</v>
      </c>
    </row>
    <row r="680" spans="1:3" hidden="1" x14ac:dyDescent="0.25">
      <c r="A680" s="52" t="s">
        <v>1634</v>
      </c>
      <c r="B680" s="52" t="s">
        <v>5162</v>
      </c>
      <c r="C680" s="52" t="s">
        <v>459</v>
      </c>
    </row>
    <row r="681" spans="1:3" hidden="1" x14ac:dyDescent="0.25">
      <c r="A681" s="52" t="s">
        <v>1635</v>
      </c>
      <c r="B681" s="52" t="s">
        <v>5163</v>
      </c>
      <c r="C681" s="52" t="s">
        <v>459</v>
      </c>
    </row>
    <row r="682" spans="1:3" hidden="1" x14ac:dyDescent="0.25">
      <c r="A682" s="52" t="s">
        <v>1636</v>
      </c>
      <c r="B682" s="52" t="s">
        <v>5164</v>
      </c>
      <c r="C682" s="52" t="s">
        <v>459</v>
      </c>
    </row>
    <row r="683" spans="1:3" hidden="1" x14ac:dyDescent="0.25">
      <c r="A683" s="52" t="s">
        <v>1637</v>
      </c>
      <c r="B683" s="52" t="s">
        <v>5165</v>
      </c>
      <c r="C683" s="52" t="s">
        <v>459</v>
      </c>
    </row>
    <row r="684" spans="1:3" hidden="1" x14ac:dyDescent="0.25">
      <c r="A684" s="52" t="s">
        <v>1638</v>
      </c>
      <c r="B684" s="52" t="s">
        <v>4754</v>
      </c>
      <c r="C684" s="52" t="s">
        <v>459</v>
      </c>
    </row>
    <row r="685" spans="1:3" hidden="1" x14ac:dyDescent="0.25">
      <c r="A685" s="52" t="s">
        <v>1639</v>
      </c>
      <c r="B685" s="52" t="s">
        <v>5166</v>
      </c>
      <c r="C685" s="52" t="s">
        <v>478</v>
      </c>
    </row>
    <row r="686" spans="1:3" hidden="1" x14ac:dyDescent="0.25">
      <c r="A686" s="52" t="s">
        <v>1640</v>
      </c>
      <c r="B686" s="52" t="s">
        <v>5167</v>
      </c>
      <c r="C686" s="52" t="s">
        <v>478</v>
      </c>
    </row>
    <row r="687" spans="1:3" hidden="1" x14ac:dyDescent="0.25">
      <c r="A687" s="52" t="s">
        <v>1641</v>
      </c>
      <c r="B687" s="52" t="s">
        <v>5168</v>
      </c>
      <c r="C687" s="52" t="s">
        <v>478</v>
      </c>
    </row>
    <row r="688" spans="1:3" hidden="1" x14ac:dyDescent="0.25">
      <c r="A688" s="52" t="s">
        <v>1642</v>
      </c>
      <c r="B688" s="52" t="s">
        <v>5169</v>
      </c>
      <c r="C688" s="52" t="s">
        <v>478</v>
      </c>
    </row>
    <row r="689" spans="1:3" hidden="1" x14ac:dyDescent="0.25">
      <c r="A689" s="52" t="s">
        <v>1643</v>
      </c>
      <c r="B689" s="52" t="s">
        <v>5170</v>
      </c>
      <c r="C689" s="52" t="s">
        <v>478</v>
      </c>
    </row>
    <row r="690" spans="1:3" hidden="1" x14ac:dyDescent="0.25">
      <c r="A690" s="52" t="s">
        <v>1644</v>
      </c>
      <c r="B690" s="52" t="s">
        <v>5171</v>
      </c>
      <c r="C690" s="52" t="s">
        <v>478</v>
      </c>
    </row>
    <row r="691" spans="1:3" hidden="1" x14ac:dyDescent="0.25">
      <c r="A691" s="52" t="s">
        <v>1645</v>
      </c>
      <c r="B691" s="52" t="s">
        <v>5172</v>
      </c>
      <c r="C691" s="52" t="s">
        <v>478</v>
      </c>
    </row>
    <row r="692" spans="1:3" hidden="1" x14ac:dyDescent="0.25">
      <c r="A692" s="52" t="s">
        <v>1646</v>
      </c>
      <c r="B692" s="52" t="s">
        <v>5173</v>
      </c>
      <c r="C692" s="52" t="s">
        <v>478</v>
      </c>
    </row>
    <row r="693" spans="1:3" hidden="1" x14ac:dyDescent="0.25">
      <c r="A693" s="52" t="s">
        <v>1647</v>
      </c>
      <c r="B693" s="52" t="s">
        <v>5174</v>
      </c>
      <c r="C693" s="52" t="s">
        <v>478</v>
      </c>
    </row>
    <row r="694" spans="1:3" hidden="1" x14ac:dyDescent="0.25">
      <c r="A694" s="52" t="s">
        <v>1648</v>
      </c>
      <c r="B694" s="52" t="s">
        <v>5175</v>
      </c>
      <c r="C694" s="52" t="s">
        <v>478</v>
      </c>
    </row>
    <row r="695" spans="1:3" hidden="1" x14ac:dyDescent="0.25">
      <c r="A695" s="52" t="s">
        <v>1649</v>
      </c>
      <c r="B695" s="52" t="s">
        <v>5176</v>
      </c>
      <c r="C695" s="52" t="s">
        <v>478</v>
      </c>
    </row>
    <row r="696" spans="1:3" hidden="1" x14ac:dyDescent="0.25">
      <c r="A696" s="52" t="s">
        <v>1650</v>
      </c>
      <c r="B696" s="52" t="s">
        <v>5177</v>
      </c>
      <c r="C696" s="52" t="s">
        <v>478</v>
      </c>
    </row>
    <row r="697" spans="1:3" hidden="1" x14ac:dyDescent="0.25">
      <c r="A697" s="52" t="s">
        <v>1651</v>
      </c>
      <c r="B697" s="52" t="s">
        <v>5178</v>
      </c>
      <c r="C697" s="52" t="s">
        <v>478</v>
      </c>
    </row>
    <row r="698" spans="1:3" hidden="1" x14ac:dyDescent="0.25">
      <c r="A698" s="52" t="s">
        <v>1652</v>
      </c>
      <c r="B698" s="52" t="s">
        <v>5179</v>
      </c>
      <c r="C698" s="52" t="s">
        <v>478</v>
      </c>
    </row>
    <row r="699" spans="1:3" hidden="1" x14ac:dyDescent="0.25">
      <c r="A699" s="52" t="s">
        <v>1653</v>
      </c>
      <c r="B699" s="52" t="s">
        <v>5180</v>
      </c>
      <c r="C699" s="52" t="s">
        <v>478</v>
      </c>
    </row>
    <row r="700" spans="1:3" hidden="1" x14ac:dyDescent="0.25">
      <c r="A700" s="52" t="s">
        <v>1654</v>
      </c>
      <c r="B700" s="52" t="s">
        <v>5181</v>
      </c>
      <c r="C700" s="52" t="s">
        <v>478</v>
      </c>
    </row>
    <row r="701" spans="1:3" hidden="1" x14ac:dyDescent="0.25">
      <c r="A701" s="52" t="s">
        <v>1655</v>
      </c>
      <c r="B701" s="52" t="s">
        <v>5182</v>
      </c>
      <c r="C701" s="52" t="s">
        <v>478</v>
      </c>
    </row>
    <row r="702" spans="1:3" hidden="1" x14ac:dyDescent="0.25">
      <c r="A702" s="52" t="s">
        <v>1656</v>
      </c>
      <c r="B702" s="52" t="s">
        <v>5183</v>
      </c>
      <c r="C702" s="52" t="s">
        <v>478</v>
      </c>
    </row>
    <row r="703" spans="1:3" hidden="1" x14ac:dyDescent="0.25">
      <c r="A703" s="52" t="s">
        <v>1657</v>
      </c>
      <c r="B703" s="52" t="s">
        <v>5184</v>
      </c>
      <c r="C703" s="52" t="s">
        <v>478</v>
      </c>
    </row>
    <row r="704" spans="1:3" hidden="1" x14ac:dyDescent="0.25">
      <c r="A704" s="52" t="s">
        <v>1658</v>
      </c>
      <c r="B704" s="52" t="s">
        <v>5185</v>
      </c>
      <c r="C704" s="52" t="s">
        <v>478</v>
      </c>
    </row>
    <row r="705" spans="1:3" hidden="1" x14ac:dyDescent="0.25">
      <c r="A705" s="52" t="s">
        <v>1659</v>
      </c>
      <c r="B705" s="52" t="s">
        <v>5186</v>
      </c>
      <c r="C705" s="52" t="s">
        <v>478</v>
      </c>
    </row>
    <row r="706" spans="1:3" hidden="1" x14ac:dyDescent="0.25">
      <c r="A706" s="52" t="s">
        <v>1660</v>
      </c>
      <c r="B706" s="52" t="s">
        <v>5187</v>
      </c>
      <c r="C706" s="52" t="s">
        <v>478</v>
      </c>
    </row>
    <row r="707" spans="1:3" hidden="1" x14ac:dyDescent="0.25">
      <c r="A707" s="52" t="s">
        <v>1661</v>
      </c>
      <c r="B707" s="52" t="s">
        <v>5188</v>
      </c>
      <c r="C707" s="52" t="s">
        <v>478</v>
      </c>
    </row>
    <row r="708" spans="1:3" hidden="1" x14ac:dyDescent="0.25">
      <c r="A708" s="52" t="s">
        <v>1662</v>
      </c>
      <c r="B708" s="52" t="s">
        <v>5189</v>
      </c>
      <c r="C708" s="52" t="s">
        <v>478</v>
      </c>
    </row>
    <row r="709" spans="1:3" hidden="1" x14ac:dyDescent="0.25">
      <c r="A709" s="52" t="s">
        <v>1663</v>
      </c>
      <c r="B709" s="52" t="s">
        <v>5190</v>
      </c>
      <c r="C709" s="52" t="s">
        <v>478</v>
      </c>
    </row>
    <row r="710" spans="1:3" hidden="1" x14ac:dyDescent="0.25">
      <c r="A710" s="52" t="s">
        <v>1664</v>
      </c>
      <c r="B710" s="52" t="s">
        <v>5191</v>
      </c>
      <c r="C710" s="52" t="s">
        <v>478</v>
      </c>
    </row>
    <row r="711" spans="1:3" hidden="1" x14ac:dyDescent="0.25">
      <c r="A711" s="52" t="s">
        <v>1665</v>
      </c>
      <c r="B711" s="52" t="s">
        <v>5192</v>
      </c>
      <c r="C711" s="52" t="s">
        <v>478</v>
      </c>
    </row>
    <row r="712" spans="1:3" hidden="1" x14ac:dyDescent="0.25">
      <c r="A712" s="52" t="s">
        <v>1666</v>
      </c>
      <c r="B712" s="52" t="s">
        <v>5193</v>
      </c>
      <c r="C712" s="52" t="s">
        <v>478</v>
      </c>
    </row>
    <row r="713" spans="1:3" hidden="1" x14ac:dyDescent="0.25">
      <c r="A713" s="52" t="s">
        <v>1667</v>
      </c>
      <c r="B713" s="52" t="s">
        <v>5194</v>
      </c>
      <c r="C713" s="52" t="s">
        <v>478</v>
      </c>
    </row>
    <row r="714" spans="1:3" hidden="1" x14ac:dyDescent="0.25">
      <c r="A714" s="52" t="s">
        <v>1668</v>
      </c>
      <c r="B714" s="52" t="s">
        <v>5195</v>
      </c>
      <c r="C714" s="52" t="s">
        <v>478</v>
      </c>
    </row>
    <row r="715" spans="1:3" hidden="1" x14ac:dyDescent="0.25">
      <c r="A715" s="52" t="s">
        <v>1669</v>
      </c>
      <c r="B715" s="52" t="s">
        <v>5196</v>
      </c>
      <c r="C715" s="52" t="s">
        <v>478</v>
      </c>
    </row>
    <row r="716" spans="1:3" hidden="1" x14ac:dyDescent="0.25">
      <c r="A716" s="52" t="s">
        <v>1670</v>
      </c>
      <c r="B716" s="52" t="s">
        <v>5197</v>
      </c>
      <c r="C716" s="52" t="s">
        <v>478</v>
      </c>
    </row>
    <row r="717" spans="1:3" hidden="1" x14ac:dyDescent="0.25">
      <c r="A717" s="52" t="s">
        <v>1671</v>
      </c>
      <c r="B717" s="52" t="s">
        <v>5198</v>
      </c>
      <c r="C717" s="52" t="s">
        <v>478</v>
      </c>
    </row>
    <row r="718" spans="1:3" hidden="1" x14ac:dyDescent="0.25">
      <c r="A718" s="52" t="s">
        <v>1672</v>
      </c>
      <c r="B718" s="52" t="s">
        <v>5199</v>
      </c>
      <c r="C718" s="52" t="s">
        <v>478</v>
      </c>
    </row>
    <row r="719" spans="1:3" hidden="1" x14ac:dyDescent="0.25">
      <c r="A719" s="52" t="s">
        <v>1673</v>
      </c>
      <c r="B719" s="52" t="s">
        <v>5200</v>
      </c>
      <c r="C719" s="52" t="s">
        <v>478</v>
      </c>
    </row>
    <row r="720" spans="1:3" hidden="1" x14ac:dyDescent="0.25">
      <c r="A720" s="52" t="s">
        <v>1674</v>
      </c>
      <c r="B720" s="52" t="s">
        <v>5201</v>
      </c>
      <c r="C720" s="52" t="s">
        <v>478</v>
      </c>
    </row>
    <row r="721" spans="1:3" hidden="1" x14ac:dyDescent="0.25">
      <c r="A721" s="52" t="s">
        <v>1675</v>
      </c>
      <c r="B721" s="52" t="s">
        <v>5202</v>
      </c>
      <c r="C721" s="52" t="s">
        <v>478</v>
      </c>
    </row>
    <row r="722" spans="1:3" hidden="1" x14ac:dyDescent="0.25">
      <c r="A722" s="52" t="s">
        <v>1676</v>
      </c>
      <c r="B722" s="52" t="s">
        <v>5203</v>
      </c>
      <c r="C722" s="52" t="s">
        <v>478</v>
      </c>
    </row>
    <row r="723" spans="1:3" hidden="1" x14ac:dyDescent="0.25">
      <c r="A723" s="52" t="s">
        <v>1677</v>
      </c>
      <c r="B723" s="52" t="s">
        <v>5204</v>
      </c>
      <c r="C723" s="52" t="s">
        <v>498</v>
      </c>
    </row>
    <row r="724" spans="1:3" hidden="1" x14ac:dyDescent="0.25">
      <c r="A724" s="52" t="s">
        <v>1678</v>
      </c>
      <c r="B724" s="52" t="s">
        <v>5205</v>
      </c>
      <c r="C724" s="52" t="s">
        <v>498</v>
      </c>
    </row>
    <row r="725" spans="1:3" hidden="1" x14ac:dyDescent="0.25">
      <c r="A725" s="52" t="s">
        <v>1679</v>
      </c>
      <c r="B725" s="52" t="s">
        <v>5206</v>
      </c>
      <c r="C725" s="52" t="s">
        <v>498</v>
      </c>
    </row>
    <row r="726" spans="1:3" hidden="1" x14ac:dyDescent="0.25">
      <c r="A726" s="52" t="s">
        <v>1680</v>
      </c>
      <c r="B726" s="52" t="s">
        <v>5207</v>
      </c>
      <c r="C726" s="52" t="s">
        <v>498</v>
      </c>
    </row>
    <row r="727" spans="1:3" hidden="1" x14ac:dyDescent="0.25">
      <c r="A727" s="52" t="s">
        <v>1681</v>
      </c>
      <c r="B727" s="52" t="s">
        <v>5208</v>
      </c>
      <c r="C727" s="52" t="s">
        <v>498</v>
      </c>
    </row>
    <row r="728" spans="1:3" hidden="1" x14ac:dyDescent="0.25">
      <c r="A728" s="52" t="s">
        <v>1682</v>
      </c>
      <c r="B728" s="52" t="s">
        <v>5209</v>
      </c>
      <c r="C728" s="52" t="s">
        <v>498</v>
      </c>
    </row>
    <row r="729" spans="1:3" hidden="1" x14ac:dyDescent="0.25">
      <c r="A729" s="52" t="s">
        <v>1683</v>
      </c>
      <c r="B729" s="52" t="s">
        <v>5210</v>
      </c>
      <c r="C729" s="52" t="s">
        <v>498</v>
      </c>
    </row>
    <row r="730" spans="1:3" hidden="1" x14ac:dyDescent="0.25">
      <c r="A730" s="52" t="s">
        <v>1684</v>
      </c>
      <c r="B730" s="52" t="s">
        <v>5211</v>
      </c>
      <c r="C730" s="52" t="s">
        <v>498</v>
      </c>
    </row>
    <row r="731" spans="1:3" hidden="1" x14ac:dyDescent="0.25">
      <c r="A731" s="52" t="s">
        <v>1685</v>
      </c>
      <c r="B731" s="52" t="s">
        <v>5212</v>
      </c>
      <c r="C731" s="52" t="s">
        <v>498</v>
      </c>
    </row>
    <row r="732" spans="1:3" hidden="1" x14ac:dyDescent="0.25">
      <c r="A732" s="52" t="s">
        <v>1686</v>
      </c>
      <c r="B732" s="52" t="s">
        <v>5213</v>
      </c>
      <c r="C732" s="52" t="s">
        <v>498</v>
      </c>
    </row>
    <row r="733" spans="1:3" hidden="1" x14ac:dyDescent="0.25">
      <c r="A733" s="52" t="s">
        <v>1687</v>
      </c>
      <c r="B733" s="52" t="s">
        <v>5214</v>
      </c>
      <c r="C733" s="52" t="s">
        <v>498</v>
      </c>
    </row>
    <row r="734" spans="1:3" hidden="1" x14ac:dyDescent="0.25">
      <c r="A734" s="52" t="s">
        <v>1688</v>
      </c>
      <c r="B734" s="52" t="s">
        <v>5215</v>
      </c>
      <c r="C734" s="52" t="s">
        <v>498</v>
      </c>
    </row>
    <row r="735" spans="1:3" hidden="1" x14ac:dyDescent="0.25">
      <c r="A735" s="52" t="s">
        <v>1689</v>
      </c>
      <c r="B735" s="52" t="s">
        <v>5216</v>
      </c>
      <c r="C735" s="52" t="s">
        <v>498</v>
      </c>
    </row>
    <row r="736" spans="1:3" hidden="1" x14ac:dyDescent="0.25">
      <c r="A736" s="52" t="s">
        <v>1690</v>
      </c>
      <c r="B736" s="52" t="s">
        <v>5217</v>
      </c>
      <c r="C736" s="52" t="s">
        <v>498</v>
      </c>
    </row>
    <row r="737" spans="1:3" hidden="1" x14ac:dyDescent="0.25">
      <c r="A737" s="52" t="s">
        <v>1691</v>
      </c>
      <c r="B737" s="52" t="s">
        <v>5218</v>
      </c>
      <c r="C737" s="52" t="s">
        <v>498</v>
      </c>
    </row>
    <row r="738" spans="1:3" hidden="1" x14ac:dyDescent="0.25">
      <c r="A738" s="52" t="s">
        <v>1692</v>
      </c>
      <c r="B738" s="52" t="s">
        <v>5219</v>
      </c>
      <c r="C738" s="52" t="s">
        <v>498</v>
      </c>
    </row>
    <row r="739" spans="1:3" hidden="1" x14ac:dyDescent="0.25">
      <c r="A739" s="52" t="s">
        <v>1693</v>
      </c>
      <c r="B739" s="52" t="s">
        <v>5220</v>
      </c>
      <c r="C739" s="52" t="s">
        <v>498</v>
      </c>
    </row>
    <row r="740" spans="1:3" hidden="1" x14ac:dyDescent="0.25">
      <c r="A740" s="52" t="s">
        <v>1694</v>
      </c>
      <c r="B740" s="52" t="s">
        <v>5221</v>
      </c>
      <c r="C740" s="52" t="s">
        <v>498</v>
      </c>
    </row>
    <row r="741" spans="1:3" hidden="1" x14ac:dyDescent="0.25">
      <c r="A741" s="52" t="s">
        <v>1695</v>
      </c>
      <c r="B741" s="52" t="s">
        <v>5222</v>
      </c>
      <c r="C741" s="52" t="s">
        <v>498</v>
      </c>
    </row>
    <row r="742" spans="1:3" hidden="1" x14ac:dyDescent="0.25">
      <c r="A742" s="52" t="s">
        <v>1696</v>
      </c>
      <c r="B742" s="52" t="s">
        <v>5223</v>
      </c>
      <c r="C742" s="52" t="s">
        <v>498</v>
      </c>
    </row>
    <row r="743" spans="1:3" hidden="1" x14ac:dyDescent="0.25">
      <c r="A743" s="52" t="s">
        <v>1697</v>
      </c>
      <c r="B743" s="52" t="s">
        <v>5224</v>
      </c>
      <c r="C743" s="52" t="s">
        <v>498</v>
      </c>
    </row>
    <row r="744" spans="1:3" hidden="1" x14ac:dyDescent="0.25">
      <c r="A744" s="52" t="s">
        <v>1698</v>
      </c>
      <c r="B744" s="52" t="s">
        <v>5225</v>
      </c>
      <c r="C744" s="52" t="s">
        <v>498</v>
      </c>
    </row>
    <row r="745" spans="1:3" hidden="1" x14ac:dyDescent="0.25">
      <c r="A745" s="52" t="s">
        <v>1699</v>
      </c>
      <c r="B745" s="52" t="s">
        <v>5226</v>
      </c>
      <c r="C745" s="52" t="s">
        <v>498</v>
      </c>
    </row>
    <row r="746" spans="1:3" hidden="1" x14ac:dyDescent="0.25">
      <c r="A746" s="52" t="s">
        <v>1700</v>
      </c>
      <c r="B746" s="52" t="s">
        <v>5227</v>
      </c>
      <c r="C746" s="52" t="s">
        <v>498</v>
      </c>
    </row>
    <row r="747" spans="1:3" hidden="1" x14ac:dyDescent="0.25">
      <c r="A747" s="52" t="s">
        <v>1701</v>
      </c>
      <c r="B747" s="52" t="s">
        <v>5228</v>
      </c>
      <c r="C747" s="52" t="s">
        <v>498</v>
      </c>
    </row>
    <row r="748" spans="1:3" hidden="1" x14ac:dyDescent="0.25">
      <c r="A748" s="52" t="s">
        <v>1702</v>
      </c>
      <c r="B748" s="52" t="s">
        <v>5229</v>
      </c>
      <c r="C748" s="52" t="s">
        <v>498</v>
      </c>
    </row>
    <row r="749" spans="1:3" hidden="1" x14ac:dyDescent="0.25">
      <c r="A749" s="52" t="s">
        <v>1703</v>
      </c>
      <c r="B749" s="52" t="s">
        <v>5230</v>
      </c>
      <c r="C749" s="52" t="s">
        <v>498</v>
      </c>
    </row>
    <row r="750" spans="1:3" hidden="1" x14ac:dyDescent="0.25">
      <c r="A750" s="52" t="s">
        <v>1704</v>
      </c>
      <c r="B750" s="52" t="s">
        <v>5231</v>
      </c>
      <c r="C750" s="52" t="s">
        <v>498</v>
      </c>
    </row>
    <row r="751" spans="1:3" hidden="1" x14ac:dyDescent="0.25">
      <c r="A751" s="52" t="s">
        <v>1705</v>
      </c>
      <c r="B751" s="52" t="s">
        <v>5232</v>
      </c>
      <c r="C751" s="52" t="s">
        <v>498</v>
      </c>
    </row>
    <row r="752" spans="1:3" hidden="1" x14ac:dyDescent="0.25">
      <c r="A752" s="52" t="s">
        <v>1706</v>
      </c>
      <c r="B752" s="52" t="s">
        <v>5233</v>
      </c>
      <c r="C752" s="52" t="s">
        <v>498</v>
      </c>
    </row>
    <row r="753" spans="1:3" hidden="1" x14ac:dyDescent="0.25">
      <c r="A753" s="52" t="s">
        <v>1707</v>
      </c>
      <c r="B753" s="52" t="s">
        <v>4605</v>
      </c>
      <c r="C753" s="52" t="s">
        <v>498</v>
      </c>
    </row>
    <row r="754" spans="1:3" hidden="1" x14ac:dyDescent="0.25">
      <c r="A754" s="52" t="s">
        <v>1708</v>
      </c>
      <c r="B754" s="52" t="s">
        <v>5234</v>
      </c>
      <c r="C754" s="52" t="s">
        <v>498</v>
      </c>
    </row>
    <row r="755" spans="1:3" hidden="1" x14ac:dyDescent="0.25">
      <c r="A755" s="52" t="s">
        <v>1709</v>
      </c>
      <c r="B755" s="52" t="s">
        <v>5235</v>
      </c>
      <c r="C755" s="52" t="s">
        <v>498</v>
      </c>
    </row>
    <row r="756" spans="1:3" hidden="1" x14ac:dyDescent="0.25">
      <c r="A756" s="52" t="s">
        <v>1710</v>
      </c>
      <c r="B756" s="52" t="s">
        <v>5236</v>
      </c>
      <c r="C756" s="52" t="s">
        <v>498</v>
      </c>
    </row>
    <row r="757" spans="1:3" hidden="1" x14ac:dyDescent="0.25">
      <c r="A757" s="52" t="s">
        <v>1711</v>
      </c>
      <c r="B757" s="52" t="s">
        <v>5237</v>
      </c>
      <c r="C757" s="52" t="s">
        <v>498</v>
      </c>
    </row>
    <row r="758" spans="1:3" hidden="1" x14ac:dyDescent="0.25">
      <c r="A758" s="52" t="s">
        <v>1712</v>
      </c>
      <c r="B758" s="52" t="s">
        <v>5238</v>
      </c>
      <c r="C758" s="52" t="s">
        <v>498</v>
      </c>
    </row>
    <row r="759" spans="1:3" hidden="1" x14ac:dyDescent="0.25">
      <c r="A759" s="52" t="s">
        <v>1713</v>
      </c>
      <c r="B759" s="52" t="s">
        <v>5239</v>
      </c>
      <c r="C759" s="52" t="s">
        <v>498</v>
      </c>
    </row>
    <row r="760" spans="1:3" hidden="1" x14ac:dyDescent="0.25">
      <c r="A760" s="52" t="s">
        <v>1714</v>
      </c>
      <c r="B760" s="52" t="s">
        <v>5240</v>
      </c>
      <c r="C760" s="52" t="s">
        <v>498</v>
      </c>
    </row>
    <row r="761" spans="1:3" hidden="1" x14ac:dyDescent="0.25">
      <c r="A761" s="52" t="s">
        <v>1715</v>
      </c>
      <c r="B761" s="52" t="s">
        <v>5241</v>
      </c>
      <c r="C761" s="52" t="s">
        <v>498</v>
      </c>
    </row>
    <row r="762" spans="1:3" hidden="1" x14ac:dyDescent="0.25">
      <c r="A762" s="52" t="s">
        <v>1716</v>
      </c>
      <c r="B762" s="52" t="s">
        <v>5242</v>
      </c>
      <c r="C762" s="52" t="s">
        <v>498</v>
      </c>
    </row>
    <row r="763" spans="1:3" hidden="1" x14ac:dyDescent="0.25">
      <c r="A763" s="52" t="s">
        <v>1717</v>
      </c>
      <c r="B763" s="52" t="s">
        <v>5243</v>
      </c>
      <c r="C763" s="52" t="s">
        <v>498</v>
      </c>
    </row>
    <row r="764" spans="1:3" hidden="1" x14ac:dyDescent="0.25">
      <c r="A764" s="52" t="s">
        <v>1718</v>
      </c>
      <c r="B764" s="52" t="s">
        <v>5244</v>
      </c>
      <c r="C764" s="52" t="s">
        <v>498</v>
      </c>
    </row>
    <row r="765" spans="1:3" hidden="1" x14ac:dyDescent="0.25">
      <c r="A765" s="52" t="s">
        <v>1719</v>
      </c>
      <c r="B765" s="52" t="s">
        <v>5245</v>
      </c>
      <c r="C765" s="52" t="s">
        <v>498</v>
      </c>
    </row>
    <row r="766" spans="1:3" hidden="1" x14ac:dyDescent="0.25">
      <c r="A766" s="52" t="s">
        <v>1720</v>
      </c>
      <c r="B766" s="52" t="s">
        <v>5246</v>
      </c>
      <c r="C766" s="52" t="s">
        <v>498</v>
      </c>
    </row>
    <row r="767" spans="1:3" hidden="1" x14ac:dyDescent="0.25">
      <c r="A767" s="52" t="s">
        <v>1721</v>
      </c>
      <c r="B767" s="52" t="s">
        <v>5247</v>
      </c>
      <c r="C767" s="52" t="s">
        <v>498</v>
      </c>
    </row>
    <row r="768" spans="1:3" hidden="1" x14ac:dyDescent="0.25">
      <c r="A768" s="52" t="s">
        <v>1722</v>
      </c>
      <c r="B768" s="52" t="s">
        <v>5248</v>
      </c>
      <c r="C768" s="52" t="s">
        <v>498</v>
      </c>
    </row>
    <row r="769" spans="1:3" hidden="1" x14ac:dyDescent="0.25">
      <c r="A769" s="52" t="s">
        <v>1723</v>
      </c>
      <c r="B769" s="52" t="s">
        <v>5249</v>
      </c>
      <c r="C769" s="52" t="s">
        <v>498</v>
      </c>
    </row>
    <row r="770" spans="1:3" hidden="1" x14ac:dyDescent="0.25">
      <c r="A770" s="52" t="s">
        <v>1724</v>
      </c>
      <c r="B770" s="52" t="s">
        <v>5250</v>
      </c>
      <c r="C770" s="52" t="s">
        <v>498</v>
      </c>
    </row>
    <row r="771" spans="1:3" hidden="1" x14ac:dyDescent="0.25">
      <c r="A771" s="52" t="s">
        <v>1725</v>
      </c>
      <c r="B771" s="52" t="s">
        <v>5251</v>
      </c>
      <c r="C771" s="52" t="s">
        <v>498</v>
      </c>
    </row>
    <row r="772" spans="1:3" hidden="1" x14ac:dyDescent="0.25">
      <c r="A772" s="52" t="s">
        <v>1726</v>
      </c>
      <c r="B772" s="52" t="s">
        <v>5252</v>
      </c>
      <c r="C772" s="52" t="s">
        <v>498</v>
      </c>
    </row>
    <row r="773" spans="1:3" hidden="1" x14ac:dyDescent="0.25">
      <c r="A773" s="52" t="s">
        <v>1727</v>
      </c>
      <c r="B773" s="52" t="s">
        <v>5253</v>
      </c>
      <c r="C773" s="52" t="s">
        <v>498</v>
      </c>
    </row>
    <row r="774" spans="1:3" hidden="1" x14ac:dyDescent="0.25">
      <c r="A774" s="52" t="s">
        <v>1728</v>
      </c>
      <c r="B774" s="52" t="s">
        <v>4859</v>
      </c>
      <c r="C774" s="52" t="s">
        <v>498</v>
      </c>
    </row>
    <row r="775" spans="1:3" hidden="1" x14ac:dyDescent="0.25">
      <c r="A775" s="52" t="s">
        <v>1729</v>
      </c>
      <c r="B775" s="52" t="s">
        <v>4735</v>
      </c>
      <c r="C775" s="52" t="s">
        <v>498</v>
      </c>
    </row>
    <row r="776" spans="1:3" hidden="1" x14ac:dyDescent="0.25">
      <c r="A776" s="52" t="s">
        <v>1730</v>
      </c>
      <c r="B776" s="52" t="s">
        <v>5254</v>
      </c>
      <c r="C776" s="52" t="s">
        <v>498</v>
      </c>
    </row>
    <row r="777" spans="1:3" hidden="1" x14ac:dyDescent="0.25">
      <c r="A777" s="52" t="s">
        <v>1731</v>
      </c>
      <c r="B777" s="52" t="s">
        <v>5255</v>
      </c>
      <c r="C777" s="52" t="s">
        <v>518</v>
      </c>
    </row>
    <row r="778" spans="1:3" hidden="1" x14ac:dyDescent="0.25">
      <c r="A778" s="52" t="s">
        <v>1732</v>
      </c>
      <c r="B778" s="52" t="s">
        <v>5256</v>
      </c>
      <c r="C778" s="52" t="s">
        <v>518</v>
      </c>
    </row>
    <row r="779" spans="1:3" hidden="1" x14ac:dyDescent="0.25">
      <c r="A779" s="52" t="s">
        <v>1733</v>
      </c>
      <c r="B779" s="52" t="s">
        <v>5257</v>
      </c>
      <c r="C779" s="52" t="s">
        <v>518</v>
      </c>
    </row>
    <row r="780" spans="1:3" hidden="1" x14ac:dyDescent="0.25">
      <c r="A780" s="52" t="s">
        <v>1734</v>
      </c>
      <c r="B780" s="52" t="s">
        <v>5258</v>
      </c>
      <c r="C780" s="52" t="s">
        <v>518</v>
      </c>
    </row>
    <row r="781" spans="1:3" hidden="1" x14ac:dyDescent="0.25">
      <c r="A781" s="52" t="s">
        <v>1735</v>
      </c>
      <c r="B781" s="52" t="s">
        <v>5259</v>
      </c>
      <c r="C781" s="52" t="s">
        <v>518</v>
      </c>
    </row>
    <row r="782" spans="1:3" hidden="1" x14ac:dyDescent="0.25">
      <c r="A782" s="52" t="s">
        <v>1736</v>
      </c>
      <c r="B782" s="52" t="s">
        <v>5260</v>
      </c>
      <c r="C782" s="52" t="s">
        <v>518</v>
      </c>
    </row>
    <row r="783" spans="1:3" hidden="1" x14ac:dyDescent="0.25">
      <c r="A783" s="52" t="s">
        <v>1737</v>
      </c>
      <c r="B783" s="52" t="s">
        <v>5261</v>
      </c>
      <c r="C783" s="52" t="s">
        <v>518</v>
      </c>
    </row>
    <row r="784" spans="1:3" hidden="1" x14ac:dyDescent="0.25">
      <c r="A784" s="52" t="s">
        <v>1738</v>
      </c>
      <c r="B784" s="52" t="s">
        <v>5262</v>
      </c>
      <c r="C784" s="52" t="s">
        <v>518</v>
      </c>
    </row>
    <row r="785" spans="1:3" hidden="1" x14ac:dyDescent="0.25">
      <c r="A785" s="52" t="s">
        <v>1739</v>
      </c>
      <c r="B785" s="52" t="s">
        <v>5263</v>
      </c>
      <c r="C785" s="52" t="s">
        <v>518</v>
      </c>
    </row>
    <row r="786" spans="1:3" hidden="1" x14ac:dyDescent="0.25">
      <c r="A786" s="52" t="s">
        <v>1740</v>
      </c>
      <c r="B786" s="52" t="s">
        <v>5264</v>
      </c>
      <c r="C786" s="52" t="s">
        <v>518</v>
      </c>
    </row>
    <row r="787" spans="1:3" hidden="1" x14ac:dyDescent="0.25">
      <c r="A787" s="52" t="s">
        <v>1741</v>
      </c>
      <c r="B787" s="52" t="s">
        <v>5265</v>
      </c>
      <c r="C787" s="52" t="s">
        <v>518</v>
      </c>
    </row>
    <row r="788" spans="1:3" hidden="1" x14ac:dyDescent="0.25">
      <c r="A788" s="52" t="s">
        <v>1742</v>
      </c>
      <c r="B788" s="52" t="s">
        <v>5266</v>
      </c>
      <c r="C788" s="52" t="s">
        <v>518</v>
      </c>
    </row>
    <row r="789" spans="1:3" hidden="1" x14ac:dyDescent="0.25">
      <c r="A789" s="52" t="s">
        <v>1743</v>
      </c>
      <c r="B789" s="52" t="s">
        <v>5267</v>
      </c>
      <c r="C789" s="52" t="s">
        <v>518</v>
      </c>
    </row>
    <row r="790" spans="1:3" hidden="1" x14ac:dyDescent="0.25">
      <c r="A790" s="52" t="s">
        <v>1744</v>
      </c>
      <c r="B790" s="52" t="s">
        <v>5268</v>
      </c>
      <c r="C790" s="52" t="s">
        <v>518</v>
      </c>
    </row>
    <row r="791" spans="1:3" hidden="1" x14ac:dyDescent="0.25">
      <c r="A791" s="52" t="s">
        <v>1745</v>
      </c>
      <c r="B791" s="52" t="s">
        <v>5269</v>
      </c>
      <c r="C791" s="52" t="s">
        <v>518</v>
      </c>
    </row>
    <row r="792" spans="1:3" hidden="1" x14ac:dyDescent="0.25">
      <c r="A792" s="52" t="s">
        <v>1746</v>
      </c>
      <c r="B792" s="52" t="s">
        <v>5270</v>
      </c>
      <c r="C792" s="52" t="s">
        <v>518</v>
      </c>
    </row>
    <row r="793" spans="1:3" hidden="1" x14ac:dyDescent="0.25">
      <c r="A793" s="52" t="s">
        <v>1747</v>
      </c>
      <c r="B793" s="52" t="s">
        <v>5271</v>
      </c>
      <c r="C793" s="52" t="s">
        <v>518</v>
      </c>
    </row>
    <row r="794" spans="1:3" hidden="1" x14ac:dyDescent="0.25">
      <c r="A794" s="52" t="s">
        <v>1748</v>
      </c>
      <c r="B794" s="52" t="s">
        <v>5272</v>
      </c>
      <c r="C794" s="52" t="s">
        <v>518</v>
      </c>
    </row>
    <row r="795" spans="1:3" hidden="1" x14ac:dyDescent="0.25">
      <c r="A795" s="52" t="s">
        <v>1749</v>
      </c>
      <c r="B795" s="52" t="s">
        <v>5273</v>
      </c>
      <c r="C795" s="52" t="s">
        <v>518</v>
      </c>
    </row>
    <row r="796" spans="1:3" hidden="1" x14ac:dyDescent="0.25">
      <c r="A796" s="52" t="s">
        <v>1750</v>
      </c>
      <c r="B796" s="52" t="s">
        <v>5274</v>
      </c>
      <c r="C796" s="52" t="s">
        <v>518</v>
      </c>
    </row>
    <row r="797" spans="1:3" hidden="1" x14ac:dyDescent="0.25">
      <c r="A797" s="52" t="s">
        <v>1751</v>
      </c>
      <c r="B797" s="52" t="s">
        <v>5275</v>
      </c>
      <c r="C797" s="52" t="s">
        <v>518</v>
      </c>
    </row>
    <row r="798" spans="1:3" hidden="1" x14ac:dyDescent="0.25">
      <c r="A798" s="52" t="s">
        <v>1752</v>
      </c>
      <c r="B798" s="52" t="s">
        <v>5276</v>
      </c>
      <c r="C798" s="52" t="s">
        <v>518</v>
      </c>
    </row>
    <row r="799" spans="1:3" hidden="1" x14ac:dyDescent="0.25">
      <c r="A799" s="52" t="s">
        <v>1753</v>
      </c>
      <c r="B799" s="52" t="s">
        <v>5277</v>
      </c>
      <c r="C799" s="52" t="s">
        <v>518</v>
      </c>
    </row>
    <row r="800" spans="1:3" hidden="1" x14ac:dyDescent="0.25">
      <c r="A800" s="52" t="s">
        <v>1754</v>
      </c>
      <c r="B800" s="52" t="s">
        <v>5278</v>
      </c>
      <c r="C800" s="52" t="s">
        <v>518</v>
      </c>
    </row>
    <row r="801" spans="1:3" hidden="1" x14ac:dyDescent="0.25">
      <c r="A801" s="52" t="s">
        <v>1755</v>
      </c>
      <c r="B801" s="52" t="s">
        <v>5279</v>
      </c>
      <c r="C801" s="52" t="s">
        <v>518</v>
      </c>
    </row>
    <row r="802" spans="1:3" hidden="1" x14ac:dyDescent="0.25">
      <c r="A802" s="52" t="s">
        <v>1756</v>
      </c>
      <c r="B802" s="52" t="s">
        <v>5280</v>
      </c>
      <c r="C802" s="52" t="s">
        <v>518</v>
      </c>
    </row>
    <row r="803" spans="1:3" hidden="1" x14ac:dyDescent="0.25">
      <c r="A803" s="52" t="s">
        <v>1757</v>
      </c>
      <c r="B803" s="52" t="s">
        <v>5281</v>
      </c>
      <c r="C803" s="52" t="s">
        <v>518</v>
      </c>
    </row>
    <row r="804" spans="1:3" hidden="1" x14ac:dyDescent="0.25">
      <c r="A804" s="52" t="s">
        <v>1758</v>
      </c>
      <c r="B804" s="52" t="s">
        <v>5282</v>
      </c>
      <c r="C804" s="52" t="s">
        <v>518</v>
      </c>
    </row>
    <row r="805" spans="1:3" hidden="1" x14ac:dyDescent="0.25">
      <c r="A805" s="52" t="s">
        <v>1759</v>
      </c>
      <c r="B805" s="52" t="s">
        <v>5283</v>
      </c>
      <c r="C805" s="52" t="s">
        <v>518</v>
      </c>
    </row>
    <row r="806" spans="1:3" hidden="1" x14ac:dyDescent="0.25">
      <c r="A806" s="52" t="s">
        <v>1760</v>
      </c>
      <c r="B806" s="52" t="s">
        <v>5284</v>
      </c>
      <c r="C806" s="52" t="s">
        <v>518</v>
      </c>
    </row>
    <row r="807" spans="1:3" hidden="1" x14ac:dyDescent="0.25">
      <c r="A807" s="52" t="s">
        <v>1761</v>
      </c>
      <c r="B807" s="52" t="s">
        <v>5285</v>
      </c>
      <c r="C807" s="52" t="s">
        <v>518</v>
      </c>
    </row>
    <row r="808" spans="1:3" hidden="1" x14ac:dyDescent="0.25">
      <c r="A808" s="52" t="s">
        <v>1762</v>
      </c>
      <c r="B808" s="52" t="s">
        <v>5286</v>
      </c>
      <c r="C808" s="52" t="s">
        <v>518</v>
      </c>
    </row>
    <row r="809" spans="1:3" hidden="1" x14ac:dyDescent="0.25">
      <c r="A809" s="52" t="s">
        <v>1763</v>
      </c>
      <c r="B809" s="52" t="s">
        <v>5287</v>
      </c>
      <c r="C809" s="52" t="s">
        <v>518</v>
      </c>
    </row>
    <row r="810" spans="1:3" hidden="1" x14ac:dyDescent="0.25">
      <c r="A810" s="52" t="s">
        <v>1764</v>
      </c>
      <c r="B810" s="52" t="s">
        <v>5288</v>
      </c>
      <c r="C810" s="52" t="s">
        <v>518</v>
      </c>
    </row>
    <row r="811" spans="1:3" hidden="1" x14ac:dyDescent="0.25">
      <c r="A811" s="52" t="s">
        <v>1765</v>
      </c>
      <c r="B811" s="52" t="s">
        <v>5289</v>
      </c>
      <c r="C811" s="52" t="s">
        <v>518</v>
      </c>
    </row>
    <row r="812" spans="1:3" hidden="1" x14ac:dyDescent="0.25">
      <c r="A812" s="52" t="s">
        <v>1766</v>
      </c>
      <c r="B812" s="52" t="s">
        <v>5290</v>
      </c>
      <c r="C812" s="52" t="s">
        <v>518</v>
      </c>
    </row>
    <row r="813" spans="1:3" hidden="1" x14ac:dyDescent="0.25">
      <c r="A813" s="52" t="s">
        <v>1767</v>
      </c>
      <c r="B813" s="52" t="s">
        <v>5291</v>
      </c>
      <c r="C813" s="52" t="s">
        <v>518</v>
      </c>
    </row>
    <row r="814" spans="1:3" hidden="1" x14ac:dyDescent="0.25">
      <c r="A814" s="52" t="s">
        <v>1768</v>
      </c>
      <c r="B814" s="52" t="s">
        <v>5292</v>
      </c>
      <c r="C814" s="52" t="s">
        <v>518</v>
      </c>
    </row>
    <row r="815" spans="1:3" hidden="1" x14ac:dyDescent="0.25">
      <c r="A815" s="52" t="s">
        <v>1769</v>
      </c>
      <c r="B815" s="52" t="s">
        <v>5293</v>
      </c>
      <c r="C815" s="52" t="s">
        <v>518</v>
      </c>
    </row>
    <row r="816" spans="1:3" hidden="1" x14ac:dyDescent="0.25">
      <c r="A816" s="52" t="s">
        <v>1770</v>
      </c>
      <c r="B816" s="52" t="s">
        <v>5294</v>
      </c>
      <c r="C816" s="52" t="s">
        <v>518</v>
      </c>
    </row>
    <row r="817" spans="1:3" hidden="1" x14ac:dyDescent="0.25">
      <c r="A817" s="52" t="s">
        <v>1771</v>
      </c>
      <c r="B817" s="52" t="s">
        <v>5295</v>
      </c>
      <c r="C817" s="52" t="s">
        <v>518</v>
      </c>
    </row>
    <row r="818" spans="1:3" hidden="1" x14ac:dyDescent="0.25">
      <c r="A818" s="52" t="s">
        <v>1772</v>
      </c>
      <c r="B818" s="52" t="s">
        <v>5296</v>
      </c>
      <c r="C818" s="52" t="s">
        <v>518</v>
      </c>
    </row>
    <row r="819" spans="1:3" hidden="1" x14ac:dyDescent="0.25">
      <c r="A819" s="52" t="s">
        <v>1773</v>
      </c>
      <c r="B819" s="52" t="s">
        <v>5297</v>
      </c>
      <c r="C819" s="52" t="s">
        <v>518</v>
      </c>
    </row>
    <row r="820" spans="1:3" hidden="1" x14ac:dyDescent="0.25">
      <c r="A820" s="52" t="s">
        <v>1774</v>
      </c>
      <c r="B820" s="52" t="s">
        <v>5298</v>
      </c>
      <c r="C820" s="52" t="s">
        <v>518</v>
      </c>
    </row>
    <row r="821" spans="1:3" hidden="1" x14ac:dyDescent="0.25">
      <c r="A821" s="52" t="s">
        <v>1775</v>
      </c>
      <c r="B821" s="52" t="s">
        <v>5299</v>
      </c>
      <c r="C821" s="52" t="s">
        <v>518</v>
      </c>
    </row>
    <row r="822" spans="1:3" hidden="1" x14ac:dyDescent="0.25">
      <c r="A822" s="52" t="s">
        <v>1776</v>
      </c>
      <c r="B822" s="52" t="s">
        <v>5300</v>
      </c>
      <c r="C822" s="52" t="s">
        <v>518</v>
      </c>
    </row>
    <row r="823" spans="1:3" hidden="1" x14ac:dyDescent="0.25">
      <c r="A823" s="52" t="s">
        <v>1777</v>
      </c>
      <c r="B823" s="52" t="s">
        <v>5301</v>
      </c>
      <c r="C823" s="52" t="s">
        <v>518</v>
      </c>
    </row>
    <row r="824" spans="1:3" hidden="1" x14ac:dyDescent="0.25">
      <c r="A824" s="52" t="s">
        <v>1778</v>
      </c>
      <c r="B824" s="52" t="s">
        <v>5302</v>
      </c>
      <c r="C824" s="52" t="s">
        <v>518</v>
      </c>
    </row>
    <row r="825" spans="1:3" hidden="1" x14ac:dyDescent="0.25">
      <c r="A825" s="52" t="s">
        <v>1779</v>
      </c>
      <c r="B825" s="52" t="s">
        <v>895</v>
      </c>
      <c r="C825" s="52" t="s">
        <v>518</v>
      </c>
    </row>
    <row r="826" spans="1:3" hidden="1" x14ac:dyDescent="0.25">
      <c r="A826" s="52" t="s">
        <v>1780</v>
      </c>
      <c r="B826" s="52" t="s">
        <v>5303</v>
      </c>
      <c r="C826" s="52" t="s">
        <v>518</v>
      </c>
    </row>
    <row r="827" spans="1:3" hidden="1" x14ac:dyDescent="0.25">
      <c r="A827" s="52" t="s">
        <v>1781</v>
      </c>
      <c r="B827" s="52" t="s">
        <v>5304</v>
      </c>
      <c r="C827" s="52" t="s">
        <v>518</v>
      </c>
    </row>
    <row r="828" spans="1:3" hidden="1" x14ac:dyDescent="0.25">
      <c r="A828" s="52" t="s">
        <v>1782</v>
      </c>
      <c r="B828" s="52" t="s">
        <v>5305</v>
      </c>
      <c r="C828" s="52" t="s">
        <v>518</v>
      </c>
    </row>
    <row r="829" spans="1:3" hidden="1" x14ac:dyDescent="0.25">
      <c r="A829" s="52" t="s">
        <v>1783</v>
      </c>
      <c r="B829" s="52" t="s">
        <v>5306</v>
      </c>
      <c r="C829" s="52" t="s">
        <v>518</v>
      </c>
    </row>
    <row r="830" spans="1:3" hidden="1" x14ac:dyDescent="0.25">
      <c r="A830" s="52" t="s">
        <v>1784</v>
      </c>
      <c r="B830" s="52" t="s">
        <v>5307</v>
      </c>
      <c r="C830" s="52" t="s">
        <v>518</v>
      </c>
    </row>
    <row r="831" spans="1:3" hidden="1" x14ac:dyDescent="0.25">
      <c r="A831" s="52" t="s">
        <v>1785</v>
      </c>
      <c r="B831" s="52" t="s">
        <v>5308</v>
      </c>
      <c r="C831" s="52" t="s">
        <v>518</v>
      </c>
    </row>
    <row r="832" spans="1:3" hidden="1" x14ac:dyDescent="0.25">
      <c r="A832" s="52" t="s">
        <v>1786</v>
      </c>
      <c r="B832" s="52" t="s">
        <v>5309</v>
      </c>
      <c r="C832" s="52" t="s">
        <v>518</v>
      </c>
    </row>
    <row r="833" spans="1:3" hidden="1" x14ac:dyDescent="0.25">
      <c r="A833" s="52" t="s">
        <v>1787</v>
      </c>
      <c r="B833" s="52" t="s">
        <v>5310</v>
      </c>
      <c r="C833" s="52" t="s">
        <v>518</v>
      </c>
    </row>
    <row r="834" spans="1:3" hidden="1" x14ac:dyDescent="0.25">
      <c r="A834" s="52" t="s">
        <v>1788</v>
      </c>
      <c r="B834" s="52" t="s">
        <v>4894</v>
      </c>
      <c r="C834" s="52" t="s">
        <v>518</v>
      </c>
    </row>
    <row r="835" spans="1:3" hidden="1" x14ac:dyDescent="0.25">
      <c r="A835" s="52" t="s">
        <v>1789</v>
      </c>
      <c r="B835" s="52" t="s">
        <v>5311</v>
      </c>
      <c r="C835" s="52" t="s">
        <v>518</v>
      </c>
    </row>
    <row r="836" spans="1:3" hidden="1" x14ac:dyDescent="0.25">
      <c r="A836" s="52" t="s">
        <v>1790</v>
      </c>
      <c r="B836" s="52" t="s">
        <v>5312</v>
      </c>
      <c r="C836" s="52" t="s">
        <v>518</v>
      </c>
    </row>
    <row r="837" spans="1:3" hidden="1" x14ac:dyDescent="0.25">
      <c r="A837" s="52" t="s">
        <v>1791</v>
      </c>
      <c r="B837" s="52" t="s">
        <v>5313</v>
      </c>
      <c r="C837" s="52" t="s">
        <v>518</v>
      </c>
    </row>
    <row r="838" spans="1:3" hidden="1" x14ac:dyDescent="0.25">
      <c r="A838" s="52" t="s">
        <v>1792</v>
      </c>
      <c r="B838" s="52" t="s">
        <v>5314</v>
      </c>
      <c r="C838" s="52" t="s">
        <v>518</v>
      </c>
    </row>
    <row r="839" spans="1:3" hidden="1" x14ac:dyDescent="0.25">
      <c r="A839" s="52" t="s">
        <v>1793</v>
      </c>
      <c r="B839" s="52" t="s">
        <v>5315</v>
      </c>
      <c r="C839" s="52" t="s">
        <v>518</v>
      </c>
    </row>
    <row r="840" spans="1:3" hidden="1" x14ac:dyDescent="0.25">
      <c r="A840" s="52" t="s">
        <v>1794</v>
      </c>
      <c r="B840" s="52" t="s">
        <v>1160</v>
      </c>
      <c r="C840" s="52" t="s">
        <v>518</v>
      </c>
    </row>
    <row r="841" spans="1:3" hidden="1" x14ac:dyDescent="0.25">
      <c r="A841" s="52" t="s">
        <v>1795</v>
      </c>
      <c r="B841" s="52" t="s">
        <v>1162</v>
      </c>
      <c r="C841" s="52" t="s">
        <v>518</v>
      </c>
    </row>
    <row r="842" spans="1:3" hidden="1" x14ac:dyDescent="0.25">
      <c r="A842" s="52" t="s">
        <v>1796</v>
      </c>
      <c r="B842" s="52" t="s">
        <v>5316</v>
      </c>
      <c r="C842" s="52" t="s">
        <v>518</v>
      </c>
    </row>
    <row r="843" spans="1:3" hidden="1" x14ac:dyDescent="0.25">
      <c r="A843" s="52" t="s">
        <v>1797</v>
      </c>
      <c r="B843" s="52" t="s">
        <v>1165</v>
      </c>
      <c r="C843" s="52" t="s">
        <v>518</v>
      </c>
    </row>
    <row r="844" spans="1:3" hidden="1" x14ac:dyDescent="0.25">
      <c r="A844" s="52" t="s">
        <v>1798</v>
      </c>
      <c r="B844" s="52" t="s">
        <v>1167</v>
      </c>
      <c r="C844" s="52" t="s">
        <v>518</v>
      </c>
    </row>
    <row r="845" spans="1:3" hidden="1" x14ac:dyDescent="0.25">
      <c r="A845" s="52" t="s">
        <v>1799</v>
      </c>
      <c r="B845" s="52" t="s">
        <v>5317</v>
      </c>
      <c r="C845" s="52" t="s">
        <v>518</v>
      </c>
    </row>
    <row r="846" spans="1:3" hidden="1" x14ac:dyDescent="0.25">
      <c r="A846" s="52" t="s">
        <v>1800</v>
      </c>
      <c r="B846" s="52" t="s">
        <v>1202</v>
      </c>
      <c r="C846" s="52" t="s">
        <v>518</v>
      </c>
    </row>
    <row r="847" spans="1:3" hidden="1" x14ac:dyDescent="0.25">
      <c r="A847" s="52" t="s">
        <v>1801</v>
      </c>
      <c r="B847" s="52" t="s">
        <v>1204</v>
      </c>
      <c r="C847" s="52" t="s">
        <v>518</v>
      </c>
    </row>
    <row r="848" spans="1:3" hidden="1" x14ac:dyDescent="0.25">
      <c r="A848" s="52" t="s">
        <v>1802</v>
      </c>
      <c r="B848" s="52" t="s">
        <v>1206</v>
      </c>
      <c r="C848" s="52" t="s">
        <v>518</v>
      </c>
    </row>
    <row r="849" spans="1:3" hidden="1" x14ac:dyDescent="0.25">
      <c r="A849" s="52" t="s">
        <v>1803</v>
      </c>
      <c r="B849" s="52" t="s">
        <v>1208</v>
      </c>
      <c r="C849" s="52" t="s">
        <v>518</v>
      </c>
    </row>
    <row r="850" spans="1:3" hidden="1" x14ac:dyDescent="0.25">
      <c r="A850" s="52" t="s">
        <v>1804</v>
      </c>
      <c r="B850" s="52" t="s">
        <v>1180</v>
      </c>
      <c r="C850" s="52" t="s">
        <v>518</v>
      </c>
    </row>
    <row r="851" spans="1:3" hidden="1" x14ac:dyDescent="0.25">
      <c r="A851" s="52" t="s">
        <v>1805</v>
      </c>
      <c r="B851" s="52" t="s">
        <v>5318</v>
      </c>
      <c r="C851" s="52" t="s">
        <v>518</v>
      </c>
    </row>
    <row r="852" spans="1:3" hidden="1" x14ac:dyDescent="0.25">
      <c r="A852" s="52" t="s">
        <v>1806</v>
      </c>
      <c r="B852" s="52" t="s">
        <v>5319</v>
      </c>
      <c r="C852" s="52" t="s">
        <v>518</v>
      </c>
    </row>
    <row r="853" spans="1:3" hidden="1" x14ac:dyDescent="0.25">
      <c r="A853" s="52" t="s">
        <v>1807</v>
      </c>
      <c r="B853" s="52" t="s">
        <v>1184</v>
      </c>
      <c r="C853" s="52" t="s">
        <v>518</v>
      </c>
    </row>
    <row r="854" spans="1:3" hidden="1" x14ac:dyDescent="0.25">
      <c r="A854" s="52" t="s">
        <v>1808</v>
      </c>
      <c r="B854" s="52" t="s">
        <v>1186</v>
      </c>
      <c r="C854" s="52" t="s">
        <v>518</v>
      </c>
    </row>
    <row r="855" spans="1:3" hidden="1" x14ac:dyDescent="0.25">
      <c r="A855" s="52" t="s">
        <v>1809</v>
      </c>
      <c r="B855" s="52" t="s">
        <v>1188</v>
      </c>
      <c r="C855" s="52" t="s">
        <v>518</v>
      </c>
    </row>
    <row r="856" spans="1:3" hidden="1" x14ac:dyDescent="0.25">
      <c r="A856" s="52" t="s">
        <v>1810</v>
      </c>
      <c r="B856" s="52" t="s">
        <v>5320</v>
      </c>
      <c r="C856" s="52" t="s">
        <v>518</v>
      </c>
    </row>
    <row r="857" spans="1:3" hidden="1" x14ac:dyDescent="0.25">
      <c r="A857" s="52" t="s">
        <v>1811</v>
      </c>
      <c r="B857" s="52" t="s">
        <v>1191</v>
      </c>
      <c r="C857" s="52" t="s">
        <v>518</v>
      </c>
    </row>
    <row r="858" spans="1:3" hidden="1" x14ac:dyDescent="0.25">
      <c r="A858" s="52" t="s">
        <v>1812</v>
      </c>
      <c r="B858" s="52" t="s">
        <v>1193</v>
      </c>
      <c r="C858" s="52" t="s">
        <v>518</v>
      </c>
    </row>
    <row r="859" spans="1:3" hidden="1" x14ac:dyDescent="0.25">
      <c r="A859" s="52" t="s">
        <v>1813</v>
      </c>
      <c r="B859" s="52" t="s">
        <v>1195</v>
      </c>
      <c r="C859" s="52" t="s">
        <v>518</v>
      </c>
    </row>
    <row r="860" spans="1:3" hidden="1" x14ac:dyDescent="0.25">
      <c r="A860" s="52" t="s">
        <v>1814</v>
      </c>
      <c r="B860" s="52" t="s">
        <v>1197</v>
      </c>
      <c r="C860" s="52" t="s">
        <v>518</v>
      </c>
    </row>
    <row r="861" spans="1:3" hidden="1" x14ac:dyDescent="0.25">
      <c r="A861" s="52" t="s">
        <v>1815</v>
      </c>
      <c r="B861" s="52" t="s">
        <v>1199</v>
      </c>
      <c r="C861" s="52" t="s">
        <v>518</v>
      </c>
    </row>
    <row r="862" spans="1:3" hidden="1" x14ac:dyDescent="0.25">
      <c r="A862" s="52" t="s">
        <v>1816</v>
      </c>
      <c r="B862" s="52" t="s">
        <v>5321</v>
      </c>
      <c r="C862" s="52" t="s">
        <v>518</v>
      </c>
    </row>
    <row r="863" spans="1:3" hidden="1" x14ac:dyDescent="0.25">
      <c r="A863" s="52" t="s">
        <v>1817</v>
      </c>
      <c r="B863" s="52" t="s">
        <v>5322</v>
      </c>
      <c r="C863" s="52" t="s">
        <v>518</v>
      </c>
    </row>
    <row r="864" spans="1:3" hidden="1" x14ac:dyDescent="0.25">
      <c r="A864" s="52" t="s">
        <v>1818</v>
      </c>
      <c r="B864" s="52" t="s">
        <v>5323</v>
      </c>
      <c r="C864" s="52" t="s">
        <v>518</v>
      </c>
    </row>
    <row r="865" spans="1:3" hidden="1" x14ac:dyDescent="0.25">
      <c r="A865" s="52" t="s">
        <v>1819</v>
      </c>
      <c r="B865" s="52" t="s">
        <v>5324</v>
      </c>
      <c r="C865" s="52" t="s">
        <v>518</v>
      </c>
    </row>
    <row r="866" spans="1:3" hidden="1" x14ac:dyDescent="0.25">
      <c r="A866" s="52" t="s">
        <v>1820</v>
      </c>
      <c r="B866" s="52" t="s">
        <v>5325</v>
      </c>
      <c r="C866" s="52" t="s">
        <v>518</v>
      </c>
    </row>
    <row r="867" spans="1:3" hidden="1" x14ac:dyDescent="0.25">
      <c r="A867" s="52" t="s">
        <v>1821</v>
      </c>
      <c r="B867" s="52" t="s">
        <v>5326</v>
      </c>
      <c r="C867" s="52" t="s">
        <v>518</v>
      </c>
    </row>
    <row r="868" spans="1:3" hidden="1" x14ac:dyDescent="0.25">
      <c r="A868" s="52" t="s">
        <v>1822</v>
      </c>
      <c r="B868" s="52" t="s">
        <v>1022</v>
      </c>
      <c r="C868" s="52" t="s">
        <v>518</v>
      </c>
    </row>
    <row r="869" spans="1:3" hidden="1" x14ac:dyDescent="0.25">
      <c r="A869" s="52" t="s">
        <v>1823</v>
      </c>
      <c r="B869" s="52" t="s">
        <v>4716</v>
      </c>
      <c r="C869" s="52" t="s">
        <v>518</v>
      </c>
    </row>
    <row r="870" spans="1:3" hidden="1" x14ac:dyDescent="0.25">
      <c r="A870" s="52" t="s">
        <v>1824</v>
      </c>
      <c r="B870" s="52" t="s">
        <v>4936</v>
      </c>
      <c r="C870" s="52" t="s">
        <v>518</v>
      </c>
    </row>
    <row r="871" spans="1:3" hidden="1" x14ac:dyDescent="0.25">
      <c r="A871" s="52" t="s">
        <v>1825</v>
      </c>
      <c r="B871" s="52" t="s">
        <v>5327</v>
      </c>
      <c r="C871" s="52" t="s">
        <v>518</v>
      </c>
    </row>
    <row r="872" spans="1:3" hidden="1" x14ac:dyDescent="0.25">
      <c r="A872" s="52" t="s">
        <v>1826</v>
      </c>
      <c r="B872" s="52" t="s">
        <v>5328</v>
      </c>
      <c r="C872" s="52" t="s">
        <v>518</v>
      </c>
    </row>
    <row r="873" spans="1:3" hidden="1" x14ac:dyDescent="0.25">
      <c r="A873" s="52" t="s">
        <v>1827</v>
      </c>
      <c r="B873" s="52" t="s">
        <v>5329</v>
      </c>
      <c r="C873" s="52" t="s">
        <v>518</v>
      </c>
    </row>
    <row r="874" spans="1:3" hidden="1" x14ac:dyDescent="0.25">
      <c r="A874" s="52" t="s">
        <v>1828</v>
      </c>
      <c r="B874" s="52" t="s">
        <v>5330</v>
      </c>
      <c r="C874" s="52" t="s">
        <v>518</v>
      </c>
    </row>
    <row r="875" spans="1:3" hidden="1" x14ac:dyDescent="0.25">
      <c r="A875" s="52" t="s">
        <v>1829</v>
      </c>
      <c r="B875" s="52" t="s">
        <v>5331</v>
      </c>
      <c r="C875" s="52" t="s">
        <v>518</v>
      </c>
    </row>
    <row r="876" spans="1:3" hidden="1" x14ac:dyDescent="0.25">
      <c r="A876" s="52" t="s">
        <v>1830</v>
      </c>
      <c r="B876" s="52" t="s">
        <v>5332</v>
      </c>
      <c r="C876" s="52" t="s">
        <v>518</v>
      </c>
    </row>
    <row r="877" spans="1:3" hidden="1" x14ac:dyDescent="0.25">
      <c r="A877" s="52" t="s">
        <v>1831</v>
      </c>
      <c r="B877" s="52" t="s">
        <v>5333</v>
      </c>
      <c r="C877" s="52" t="s">
        <v>518</v>
      </c>
    </row>
    <row r="878" spans="1:3" hidden="1" x14ac:dyDescent="0.25">
      <c r="A878" s="52" t="s">
        <v>1832</v>
      </c>
      <c r="B878" s="52" t="s">
        <v>998</v>
      </c>
      <c r="C878" s="52" t="s">
        <v>518</v>
      </c>
    </row>
    <row r="879" spans="1:3" hidden="1" x14ac:dyDescent="0.25">
      <c r="A879" s="52" t="s">
        <v>1833</v>
      </c>
      <c r="B879" s="52" t="s">
        <v>5334</v>
      </c>
      <c r="C879" s="52" t="s">
        <v>518</v>
      </c>
    </row>
    <row r="880" spans="1:3" hidden="1" x14ac:dyDescent="0.25">
      <c r="A880" s="52" t="s">
        <v>1834</v>
      </c>
      <c r="B880" s="52" t="s">
        <v>5335</v>
      </c>
      <c r="C880" s="52" t="s">
        <v>518</v>
      </c>
    </row>
    <row r="881" spans="1:3" hidden="1" x14ac:dyDescent="0.25">
      <c r="A881" s="52" t="s">
        <v>1835</v>
      </c>
      <c r="B881" s="52" t="s">
        <v>5336</v>
      </c>
      <c r="C881" s="52" t="s">
        <v>518</v>
      </c>
    </row>
    <row r="882" spans="1:3" hidden="1" x14ac:dyDescent="0.25">
      <c r="A882" s="52" t="s">
        <v>1836</v>
      </c>
      <c r="B882" s="52" t="s">
        <v>5337</v>
      </c>
      <c r="C882" s="52" t="s">
        <v>518</v>
      </c>
    </row>
    <row r="883" spans="1:3" hidden="1" x14ac:dyDescent="0.25">
      <c r="A883" s="52" t="s">
        <v>1837</v>
      </c>
      <c r="B883" s="52" t="s">
        <v>5338</v>
      </c>
      <c r="C883" s="52" t="s">
        <v>518</v>
      </c>
    </row>
    <row r="884" spans="1:3" hidden="1" x14ac:dyDescent="0.25">
      <c r="A884" s="52" t="s">
        <v>1838</v>
      </c>
      <c r="B884" s="52" t="s">
        <v>5339</v>
      </c>
      <c r="C884" s="52" t="s">
        <v>518</v>
      </c>
    </row>
    <row r="885" spans="1:3" hidden="1" x14ac:dyDescent="0.25">
      <c r="A885" s="52" t="s">
        <v>1839</v>
      </c>
      <c r="B885" s="52" t="s">
        <v>5340</v>
      </c>
      <c r="C885" s="52" t="s">
        <v>518</v>
      </c>
    </row>
    <row r="886" spans="1:3" hidden="1" x14ac:dyDescent="0.25">
      <c r="A886" s="52" t="s">
        <v>1840</v>
      </c>
      <c r="B886" s="52" t="s">
        <v>5341</v>
      </c>
      <c r="C886" s="52" t="s">
        <v>518</v>
      </c>
    </row>
    <row r="887" spans="1:3" hidden="1" x14ac:dyDescent="0.25">
      <c r="A887" s="52" t="s">
        <v>1841</v>
      </c>
      <c r="B887" s="52" t="s">
        <v>5342</v>
      </c>
      <c r="C887" s="52" t="s">
        <v>518</v>
      </c>
    </row>
    <row r="888" spans="1:3" hidden="1" x14ac:dyDescent="0.25">
      <c r="A888" s="52" t="s">
        <v>1842</v>
      </c>
      <c r="B888" s="52" t="s">
        <v>5343</v>
      </c>
      <c r="C888" s="52" t="s">
        <v>518</v>
      </c>
    </row>
    <row r="889" spans="1:3" hidden="1" x14ac:dyDescent="0.25">
      <c r="A889" s="52" t="s">
        <v>1843</v>
      </c>
      <c r="B889" s="52" t="s">
        <v>5344</v>
      </c>
      <c r="C889" s="52" t="s">
        <v>518</v>
      </c>
    </row>
    <row r="890" spans="1:3" hidden="1" x14ac:dyDescent="0.25">
      <c r="A890" s="52" t="s">
        <v>1844</v>
      </c>
      <c r="B890" s="52" t="s">
        <v>5345</v>
      </c>
      <c r="C890" s="52" t="s">
        <v>518</v>
      </c>
    </row>
    <row r="891" spans="1:3" hidden="1" x14ac:dyDescent="0.25">
      <c r="A891" s="52" t="s">
        <v>1845</v>
      </c>
      <c r="B891" s="52" t="s">
        <v>5346</v>
      </c>
      <c r="C891" s="52" t="s">
        <v>558</v>
      </c>
    </row>
    <row r="892" spans="1:3" hidden="1" x14ac:dyDescent="0.25">
      <c r="A892" s="52" t="s">
        <v>1846</v>
      </c>
      <c r="B892" s="52" t="s">
        <v>5347</v>
      </c>
      <c r="C892" s="52" t="s">
        <v>558</v>
      </c>
    </row>
    <row r="893" spans="1:3" hidden="1" x14ac:dyDescent="0.25">
      <c r="A893" s="52" t="s">
        <v>1847</v>
      </c>
      <c r="B893" s="52" t="s">
        <v>5348</v>
      </c>
      <c r="C893" s="52" t="s">
        <v>558</v>
      </c>
    </row>
    <row r="894" spans="1:3" hidden="1" x14ac:dyDescent="0.25">
      <c r="A894" s="52" t="s">
        <v>1848</v>
      </c>
      <c r="B894" s="52" t="s">
        <v>5349</v>
      </c>
      <c r="C894" s="52" t="s">
        <v>558</v>
      </c>
    </row>
    <row r="895" spans="1:3" hidden="1" x14ac:dyDescent="0.25">
      <c r="A895" s="52" t="s">
        <v>1849</v>
      </c>
      <c r="B895" s="52" t="s">
        <v>5350</v>
      </c>
      <c r="C895" s="52" t="s">
        <v>558</v>
      </c>
    </row>
    <row r="896" spans="1:3" hidden="1" x14ac:dyDescent="0.25">
      <c r="A896" s="52" t="s">
        <v>1850</v>
      </c>
      <c r="B896" s="52" t="s">
        <v>5351</v>
      </c>
      <c r="C896" s="52" t="s">
        <v>558</v>
      </c>
    </row>
    <row r="897" spans="1:3" hidden="1" x14ac:dyDescent="0.25">
      <c r="A897" s="52" t="s">
        <v>1851</v>
      </c>
      <c r="B897" s="52" t="s">
        <v>5352</v>
      </c>
      <c r="C897" s="52" t="s">
        <v>558</v>
      </c>
    </row>
    <row r="898" spans="1:3" hidden="1" x14ac:dyDescent="0.25">
      <c r="A898" s="52" t="s">
        <v>1852</v>
      </c>
      <c r="B898" s="52" t="s">
        <v>5353</v>
      </c>
      <c r="C898" s="52" t="s">
        <v>558</v>
      </c>
    </row>
    <row r="899" spans="1:3" hidden="1" x14ac:dyDescent="0.25">
      <c r="A899" s="52" t="s">
        <v>1853</v>
      </c>
      <c r="B899" s="52" t="s">
        <v>5297</v>
      </c>
      <c r="C899" s="52" t="s">
        <v>558</v>
      </c>
    </row>
    <row r="900" spans="1:3" hidden="1" x14ac:dyDescent="0.25">
      <c r="A900" s="52" t="s">
        <v>1854</v>
      </c>
      <c r="B900" s="52" t="s">
        <v>5354</v>
      </c>
      <c r="C900" s="52" t="s">
        <v>558</v>
      </c>
    </row>
    <row r="901" spans="1:3" hidden="1" x14ac:dyDescent="0.25">
      <c r="A901" s="52" t="s">
        <v>1855</v>
      </c>
      <c r="B901" s="52" t="s">
        <v>5355</v>
      </c>
      <c r="C901" s="52" t="s">
        <v>558</v>
      </c>
    </row>
    <row r="902" spans="1:3" hidden="1" x14ac:dyDescent="0.25">
      <c r="A902" s="52" t="s">
        <v>1856</v>
      </c>
      <c r="B902" s="52" t="s">
        <v>5356</v>
      </c>
      <c r="C902" s="52" t="s">
        <v>558</v>
      </c>
    </row>
    <row r="903" spans="1:3" hidden="1" x14ac:dyDescent="0.25">
      <c r="A903" s="52" t="s">
        <v>1857</v>
      </c>
      <c r="B903" s="52" t="s">
        <v>5357</v>
      </c>
      <c r="C903" s="52" t="s">
        <v>558</v>
      </c>
    </row>
    <row r="904" spans="1:3" hidden="1" x14ac:dyDescent="0.25">
      <c r="A904" s="52" t="s">
        <v>1858</v>
      </c>
      <c r="B904" s="52" t="s">
        <v>5358</v>
      </c>
      <c r="C904" s="52" t="s">
        <v>558</v>
      </c>
    </row>
    <row r="905" spans="1:3" hidden="1" x14ac:dyDescent="0.25">
      <c r="A905" s="52" t="s">
        <v>1859</v>
      </c>
      <c r="B905" s="52" t="s">
        <v>5359</v>
      </c>
      <c r="C905" s="52" t="s">
        <v>558</v>
      </c>
    </row>
    <row r="906" spans="1:3" hidden="1" x14ac:dyDescent="0.25">
      <c r="A906" s="52" t="s">
        <v>1860</v>
      </c>
      <c r="B906" s="52" t="s">
        <v>5360</v>
      </c>
      <c r="C906" s="52" t="s">
        <v>558</v>
      </c>
    </row>
    <row r="907" spans="1:3" hidden="1" x14ac:dyDescent="0.25">
      <c r="A907" s="52" t="s">
        <v>1861</v>
      </c>
      <c r="B907" s="52" t="s">
        <v>5361</v>
      </c>
      <c r="C907" s="52" t="s">
        <v>558</v>
      </c>
    </row>
    <row r="908" spans="1:3" hidden="1" x14ac:dyDescent="0.25">
      <c r="A908" s="52" t="s">
        <v>1862</v>
      </c>
      <c r="B908" s="52" t="s">
        <v>5362</v>
      </c>
      <c r="C908" s="52" t="s">
        <v>558</v>
      </c>
    </row>
    <row r="909" spans="1:3" hidden="1" x14ac:dyDescent="0.25">
      <c r="A909" s="52" t="s">
        <v>1863</v>
      </c>
      <c r="B909" s="52" t="s">
        <v>5363</v>
      </c>
      <c r="C909" s="52" t="s">
        <v>558</v>
      </c>
    </row>
    <row r="910" spans="1:3" hidden="1" x14ac:dyDescent="0.25">
      <c r="A910" s="52" t="s">
        <v>1864</v>
      </c>
      <c r="B910" s="52" t="s">
        <v>5364</v>
      </c>
      <c r="C910" s="52" t="s">
        <v>558</v>
      </c>
    </row>
    <row r="911" spans="1:3" hidden="1" x14ac:dyDescent="0.25">
      <c r="A911" s="52" t="s">
        <v>1865</v>
      </c>
      <c r="B911" s="52" t="s">
        <v>5365</v>
      </c>
      <c r="C911" s="52" t="s">
        <v>558</v>
      </c>
    </row>
    <row r="912" spans="1:3" hidden="1" x14ac:dyDescent="0.25">
      <c r="A912" s="52" t="s">
        <v>1866</v>
      </c>
      <c r="B912" s="52" t="s">
        <v>5366</v>
      </c>
      <c r="C912" s="52" t="s">
        <v>558</v>
      </c>
    </row>
    <row r="913" spans="1:3" hidden="1" x14ac:dyDescent="0.25">
      <c r="A913" s="52" t="s">
        <v>1867</v>
      </c>
      <c r="B913" s="52" t="s">
        <v>5367</v>
      </c>
      <c r="C913" s="52" t="s">
        <v>558</v>
      </c>
    </row>
    <row r="914" spans="1:3" hidden="1" x14ac:dyDescent="0.25">
      <c r="A914" s="52" t="s">
        <v>1868</v>
      </c>
      <c r="B914" s="52" t="s">
        <v>5312</v>
      </c>
      <c r="C914" s="52" t="s">
        <v>558</v>
      </c>
    </row>
    <row r="915" spans="1:3" hidden="1" x14ac:dyDescent="0.25">
      <c r="A915" s="52" t="s">
        <v>1869</v>
      </c>
      <c r="B915" s="52" t="s">
        <v>5368</v>
      </c>
      <c r="C915" s="52" t="s">
        <v>558</v>
      </c>
    </row>
    <row r="916" spans="1:3" hidden="1" x14ac:dyDescent="0.25">
      <c r="A916" s="52" t="s">
        <v>1870</v>
      </c>
      <c r="B916" s="52" t="s">
        <v>5369</v>
      </c>
      <c r="C916" s="52" t="s">
        <v>558</v>
      </c>
    </row>
    <row r="917" spans="1:3" hidden="1" x14ac:dyDescent="0.25">
      <c r="A917" s="52" t="s">
        <v>1871</v>
      </c>
      <c r="B917" s="52" t="s">
        <v>5370</v>
      </c>
      <c r="C917" s="52" t="s">
        <v>558</v>
      </c>
    </row>
    <row r="918" spans="1:3" hidden="1" x14ac:dyDescent="0.25">
      <c r="A918" s="52" t="s">
        <v>1872</v>
      </c>
      <c r="B918" s="52" t="s">
        <v>5371</v>
      </c>
      <c r="C918" s="52" t="s">
        <v>558</v>
      </c>
    </row>
    <row r="919" spans="1:3" hidden="1" x14ac:dyDescent="0.25">
      <c r="A919" s="52" t="s">
        <v>1873</v>
      </c>
      <c r="B919" s="52" t="s">
        <v>5372</v>
      </c>
      <c r="C919" s="52" t="s">
        <v>558</v>
      </c>
    </row>
    <row r="920" spans="1:3" hidden="1" x14ac:dyDescent="0.25">
      <c r="A920" s="52" t="s">
        <v>1874</v>
      </c>
      <c r="B920" s="52" t="s">
        <v>5373</v>
      </c>
      <c r="C920" s="52" t="s">
        <v>558</v>
      </c>
    </row>
    <row r="921" spans="1:3" hidden="1" x14ac:dyDescent="0.25">
      <c r="A921" s="52" t="s">
        <v>1875</v>
      </c>
      <c r="B921" s="52" t="s">
        <v>5374</v>
      </c>
      <c r="C921" s="52" t="s">
        <v>558</v>
      </c>
    </row>
    <row r="922" spans="1:3" hidden="1" x14ac:dyDescent="0.25">
      <c r="A922" s="52" t="s">
        <v>1876</v>
      </c>
      <c r="B922" s="52" t="s">
        <v>5375</v>
      </c>
      <c r="C922" s="52" t="s">
        <v>558</v>
      </c>
    </row>
    <row r="923" spans="1:3" hidden="1" x14ac:dyDescent="0.25">
      <c r="A923" s="52" t="s">
        <v>1877</v>
      </c>
      <c r="B923" s="52" t="s">
        <v>5376</v>
      </c>
      <c r="C923" s="52" t="s">
        <v>558</v>
      </c>
    </row>
    <row r="924" spans="1:3" hidden="1" x14ac:dyDescent="0.25">
      <c r="A924" s="52" t="s">
        <v>1878</v>
      </c>
      <c r="B924" s="52" t="s">
        <v>5377</v>
      </c>
      <c r="C924" s="52" t="s">
        <v>558</v>
      </c>
    </row>
    <row r="925" spans="1:3" hidden="1" x14ac:dyDescent="0.25">
      <c r="A925" s="52" t="s">
        <v>1879</v>
      </c>
      <c r="B925" s="52" t="s">
        <v>5378</v>
      </c>
      <c r="C925" s="52" t="s">
        <v>558</v>
      </c>
    </row>
    <row r="926" spans="1:3" hidden="1" x14ac:dyDescent="0.25">
      <c r="A926" s="52" t="s">
        <v>1880</v>
      </c>
      <c r="B926" s="52" t="s">
        <v>5379</v>
      </c>
      <c r="C926" s="52" t="s">
        <v>558</v>
      </c>
    </row>
    <row r="927" spans="1:3" hidden="1" x14ac:dyDescent="0.25">
      <c r="A927" s="52" t="s">
        <v>1881</v>
      </c>
      <c r="B927" s="52" t="s">
        <v>5380</v>
      </c>
      <c r="C927" s="52" t="s">
        <v>558</v>
      </c>
    </row>
    <row r="928" spans="1:3" hidden="1" x14ac:dyDescent="0.25">
      <c r="A928" s="52" t="s">
        <v>1882</v>
      </c>
      <c r="B928" s="52" t="s">
        <v>5381</v>
      </c>
      <c r="C928" s="52" t="s">
        <v>558</v>
      </c>
    </row>
    <row r="929" spans="1:3" hidden="1" x14ac:dyDescent="0.25">
      <c r="A929" s="52" t="s">
        <v>1883</v>
      </c>
      <c r="B929" s="52" t="s">
        <v>5382</v>
      </c>
      <c r="C929" s="52" t="s">
        <v>558</v>
      </c>
    </row>
    <row r="930" spans="1:3" hidden="1" x14ac:dyDescent="0.25">
      <c r="A930" s="52" t="s">
        <v>1884</v>
      </c>
      <c r="B930" s="52" t="s">
        <v>5383</v>
      </c>
      <c r="C930" s="52" t="s">
        <v>558</v>
      </c>
    </row>
    <row r="931" spans="1:3" hidden="1" x14ac:dyDescent="0.25">
      <c r="A931" s="52" t="s">
        <v>1885</v>
      </c>
      <c r="B931" s="52" t="s">
        <v>5384</v>
      </c>
      <c r="C931" s="52" t="s">
        <v>558</v>
      </c>
    </row>
    <row r="932" spans="1:3" hidden="1" x14ac:dyDescent="0.25">
      <c r="A932" s="52" t="s">
        <v>1886</v>
      </c>
      <c r="B932" s="52" t="s">
        <v>5385</v>
      </c>
      <c r="C932" s="52" t="s">
        <v>558</v>
      </c>
    </row>
    <row r="933" spans="1:3" hidden="1" x14ac:dyDescent="0.25">
      <c r="A933" s="52" t="s">
        <v>1887</v>
      </c>
      <c r="B933" s="52" t="s">
        <v>5386</v>
      </c>
      <c r="C933" s="52" t="s">
        <v>558</v>
      </c>
    </row>
    <row r="934" spans="1:3" hidden="1" x14ac:dyDescent="0.25">
      <c r="A934" s="52" t="s">
        <v>1888</v>
      </c>
      <c r="B934" s="52" t="s">
        <v>5387</v>
      </c>
      <c r="C934" s="52" t="s">
        <v>558</v>
      </c>
    </row>
    <row r="935" spans="1:3" hidden="1" x14ac:dyDescent="0.25">
      <c r="A935" s="52" t="s">
        <v>1889</v>
      </c>
      <c r="B935" s="52" t="s">
        <v>5388</v>
      </c>
      <c r="C935" s="52" t="s">
        <v>558</v>
      </c>
    </row>
    <row r="936" spans="1:3" hidden="1" x14ac:dyDescent="0.25">
      <c r="A936" s="52" t="s">
        <v>1890</v>
      </c>
      <c r="B936" s="52" t="s">
        <v>5389</v>
      </c>
      <c r="C936" s="52" t="s">
        <v>558</v>
      </c>
    </row>
    <row r="937" spans="1:3" hidden="1" x14ac:dyDescent="0.25">
      <c r="A937" s="52" t="s">
        <v>1891</v>
      </c>
      <c r="B937" s="52" t="s">
        <v>5390</v>
      </c>
      <c r="C937" s="52" t="s">
        <v>558</v>
      </c>
    </row>
    <row r="938" spans="1:3" hidden="1" x14ac:dyDescent="0.25">
      <c r="A938" s="52" t="s">
        <v>1892</v>
      </c>
      <c r="B938" s="52" t="s">
        <v>5178</v>
      </c>
      <c r="C938" s="52" t="s">
        <v>558</v>
      </c>
    </row>
    <row r="939" spans="1:3" hidden="1" x14ac:dyDescent="0.25">
      <c r="A939" s="52" t="s">
        <v>1893</v>
      </c>
      <c r="B939" s="52" t="s">
        <v>5391</v>
      </c>
      <c r="C939" s="52" t="s">
        <v>558</v>
      </c>
    </row>
    <row r="940" spans="1:3" hidden="1" x14ac:dyDescent="0.25">
      <c r="A940" s="52" t="s">
        <v>1894</v>
      </c>
      <c r="B940" s="52" t="s">
        <v>5392</v>
      </c>
      <c r="C940" s="52" t="s">
        <v>558</v>
      </c>
    </row>
    <row r="941" spans="1:3" hidden="1" x14ac:dyDescent="0.25">
      <c r="A941" s="52" t="s">
        <v>1895</v>
      </c>
      <c r="B941" s="52" t="s">
        <v>5393</v>
      </c>
      <c r="C941" s="52" t="s">
        <v>558</v>
      </c>
    </row>
    <row r="942" spans="1:3" hidden="1" x14ac:dyDescent="0.25">
      <c r="A942" s="52" t="s">
        <v>1896</v>
      </c>
      <c r="B942" s="52" t="s">
        <v>5394</v>
      </c>
      <c r="C942" s="52" t="s">
        <v>558</v>
      </c>
    </row>
    <row r="943" spans="1:3" hidden="1" x14ac:dyDescent="0.25">
      <c r="A943" s="52" t="s">
        <v>1897</v>
      </c>
      <c r="B943" s="52" t="s">
        <v>5395</v>
      </c>
      <c r="C943" s="52" t="s">
        <v>558</v>
      </c>
    </row>
    <row r="944" spans="1:3" hidden="1" x14ac:dyDescent="0.25">
      <c r="A944" s="52" t="s">
        <v>1898</v>
      </c>
      <c r="B944" s="52" t="s">
        <v>4917</v>
      </c>
      <c r="C944" s="52" t="s">
        <v>558</v>
      </c>
    </row>
    <row r="945" spans="1:3" hidden="1" x14ac:dyDescent="0.25">
      <c r="A945" s="52" t="s">
        <v>1899</v>
      </c>
      <c r="B945" s="52" t="s">
        <v>5396</v>
      </c>
      <c r="C945" s="52" t="s">
        <v>558</v>
      </c>
    </row>
    <row r="946" spans="1:3" hidden="1" x14ac:dyDescent="0.25">
      <c r="A946" s="52" t="s">
        <v>1900</v>
      </c>
      <c r="B946" s="52" t="s">
        <v>5397</v>
      </c>
      <c r="C946" s="52" t="s">
        <v>558</v>
      </c>
    </row>
    <row r="947" spans="1:3" hidden="1" x14ac:dyDescent="0.25">
      <c r="A947" s="52" t="s">
        <v>1901</v>
      </c>
      <c r="B947" s="52" t="s">
        <v>5398</v>
      </c>
      <c r="C947" s="52" t="s">
        <v>558</v>
      </c>
    </row>
    <row r="948" spans="1:3" hidden="1" x14ac:dyDescent="0.25">
      <c r="A948" s="52" t="s">
        <v>1902</v>
      </c>
      <c r="B948" s="52" t="s">
        <v>5399</v>
      </c>
      <c r="C948" s="52" t="s">
        <v>558</v>
      </c>
    </row>
    <row r="949" spans="1:3" hidden="1" x14ac:dyDescent="0.25">
      <c r="A949" s="52" t="s">
        <v>1903</v>
      </c>
      <c r="B949" s="52" t="s">
        <v>5400</v>
      </c>
      <c r="C949" s="52" t="s">
        <v>558</v>
      </c>
    </row>
    <row r="950" spans="1:3" hidden="1" x14ac:dyDescent="0.25">
      <c r="A950" s="52" t="s">
        <v>1904</v>
      </c>
      <c r="B950" s="52" t="s">
        <v>5401</v>
      </c>
      <c r="C950" s="52" t="s">
        <v>558</v>
      </c>
    </row>
    <row r="951" spans="1:3" hidden="1" x14ac:dyDescent="0.25">
      <c r="A951" s="52" t="s">
        <v>1905</v>
      </c>
      <c r="B951" s="52" t="s">
        <v>5402</v>
      </c>
      <c r="C951" s="52" t="s">
        <v>558</v>
      </c>
    </row>
    <row r="952" spans="1:3" hidden="1" x14ac:dyDescent="0.25">
      <c r="A952" s="52" t="s">
        <v>1906</v>
      </c>
      <c r="B952" s="52" t="s">
        <v>5403</v>
      </c>
      <c r="C952" s="52" t="s">
        <v>558</v>
      </c>
    </row>
    <row r="953" spans="1:3" hidden="1" x14ac:dyDescent="0.25">
      <c r="A953" s="52" t="s">
        <v>1907</v>
      </c>
      <c r="B953" s="52" t="s">
        <v>5404</v>
      </c>
      <c r="C953" s="52" t="s">
        <v>558</v>
      </c>
    </row>
    <row r="954" spans="1:3" hidden="1" x14ac:dyDescent="0.25">
      <c r="A954" s="52" t="s">
        <v>1908</v>
      </c>
      <c r="B954" s="52" t="s">
        <v>5405</v>
      </c>
      <c r="C954" s="52" t="s">
        <v>558</v>
      </c>
    </row>
    <row r="955" spans="1:3" hidden="1" x14ac:dyDescent="0.25">
      <c r="A955" s="52" t="s">
        <v>1909</v>
      </c>
      <c r="B955" s="52" t="s">
        <v>5406</v>
      </c>
      <c r="C955" s="52" t="s">
        <v>558</v>
      </c>
    </row>
    <row r="956" spans="1:3" hidden="1" x14ac:dyDescent="0.25">
      <c r="A956" s="52" t="s">
        <v>1910</v>
      </c>
      <c r="B956" s="52" t="s">
        <v>5407</v>
      </c>
      <c r="C956" s="52" t="s">
        <v>558</v>
      </c>
    </row>
    <row r="957" spans="1:3" hidden="1" x14ac:dyDescent="0.25">
      <c r="A957" s="52" t="s">
        <v>1911</v>
      </c>
      <c r="B957" s="52" t="s">
        <v>5408</v>
      </c>
      <c r="C957" s="52" t="s">
        <v>558</v>
      </c>
    </row>
    <row r="958" spans="1:3" hidden="1" x14ac:dyDescent="0.25">
      <c r="A958" s="52" t="s">
        <v>1912</v>
      </c>
      <c r="B958" s="52" t="s">
        <v>5409</v>
      </c>
      <c r="C958" s="52" t="s">
        <v>558</v>
      </c>
    </row>
    <row r="959" spans="1:3" hidden="1" x14ac:dyDescent="0.25">
      <c r="A959" s="52" t="s">
        <v>1913</v>
      </c>
      <c r="B959" s="52" t="s">
        <v>5410</v>
      </c>
      <c r="C959" s="52" t="s">
        <v>558</v>
      </c>
    </row>
    <row r="960" spans="1:3" hidden="1" x14ac:dyDescent="0.25">
      <c r="A960" s="52" t="s">
        <v>1914</v>
      </c>
      <c r="B960" s="52" t="s">
        <v>5411</v>
      </c>
      <c r="C960" s="52" t="s">
        <v>558</v>
      </c>
    </row>
    <row r="961" spans="1:3" hidden="1" x14ac:dyDescent="0.25">
      <c r="A961" s="52" t="s">
        <v>1915</v>
      </c>
      <c r="B961" s="52" t="s">
        <v>5412</v>
      </c>
      <c r="C961" s="52" t="s">
        <v>558</v>
      </c>
    </row>
    <row r="962" spans="1:3" hidden="1" x14ac:dyDescent="0.25">
      <c r="A962" s="52" t="s">
        <v>1916</v>
      </c>
      <c r="B962" s="52" t="s">
        <v>5413</v>
      </c>
      <c r="C962" s="52" t="s">
        <v>558</v>
      </c>
    </row>
    <row r="963" spans="1:3" hidden="1" x14ac:dyDescent="0.25">
      <c r="A963" s="52" t="s">
        <v>1917</v>
      </c>
      <c r="B963" s="52" t="s">
        <v>5414</v>
      </c>
      <c r="C963" s="52" t="s">
        <v>558</v>
      </c>
    </row>
    <row r="964" spans="1:3" hidden="1" x14ac:dyDescent="0.25">
      <c r="A964" s="52" t="s">
        <v>1918</v>
      </c>
      <c r="B964" s="52" t="s">
        <v>5415</v>
      </c>
      <c r="C964" s="52" t="s">
        <v>558</v>
      </c>
    </row>
    <row r="965" spans="1:3" hidden="1" x14ac:dyDescent="0.25">
      <c r="A965" s="52" t="s">
        <v>1919</v>
      </c>
      <c r="B965" s="52" t="s">
        <v>5416</v>
      </c>
      <c r="C965" s="52" t="s">
        <v>558</v>
      </c>
    </row>
    <row r="966" spans="1:3" hidden="1" x14ac:dyDescent="0.25">
      <c r="A966" s="52" t="s">
        <v>1920</v>
      </c>
      <c r="B966" s="52" t="s">
        <v>5417</v>
      </c>
      <c r="C966" s="52" t="s">
        <v>558</v>
      </c>
    </row>
    <row r="967" spans="1:3" hidden="1" x14ac:dyDescent="0.25">
      <c r="A967" s="52" t="s">
        <v>1921</v>
      </c>
      <c r="B967" s="52" t="s">
        <v>4721</v>
      </c>
      <c r="C967" s="52" t="s">
        <v>558</v>
      </c>
    </row>
    <row r="968" spans="1:3" hidden="1" x14ac:dyDescent="0.25">
      <c r="A968" s="52" t="s">
        <v>1922</v>
      </c>
      <c r="B968" s="52" t="s">
        <v>5418</v>
      </c>
      <c r="C968" s="52" t="s">
        <v>558</v>
      </c>
    </row>
    <row r="969" spans="1:3" hidden="1" x14ac:dyDescent="0.25">
      <c r="A969" s="52" t="s">
        <v>1923</v>
      </c>
      <c r="B969" s="52" t="s">
        <v>5419</v>
      </c>
      <c r="C969" s="52" t="s">
        <v>558</v>
      </c>
    </row>
    <row r="970" spans="1:3" hidden="1" x14ac:dyDescent="0.25">
      <c r="A970" s="52" t="s">
        <v>1924</v>
      </c>
      <c r="B970" s="52" t="s">
        <v>5420</v>
      </c>
      <c r="C970" s="52" t="s">
        <v>558</v>
      </c>
    </row>
    <row r="971" spans="1:3" hidden="1" x14ac:dyDescent="0.25">
      <c r="A971" s="52" t="s">
        <v>1925</v>
      </c>
      <c r="B971" s="52" t="s">
        <v>5421</v>
      </c>
      <c r="C971" s="52" t="s">
        <v>558</v>
      </c>
    </row>
    <row r="972" spans="1:3" hidden="1" x14ac:dyDescent="0.25">
      <c r="A972" s="52" t="s">
        <v>1926</v>
      </c>
      <c r="B972" s="52" t="s">
        <v>5422</v>
      </c>
      <c r="C972" s="52" t="s">
        <v>558</v>
      </c>
    </row>
    <row r="973" spans="1:3" hidden="1" x14ac:dyDescent="0.25">
      <c r="A973" s="52" t="s">
        <v>1927</v>
      </c>
      <c r="B973" s="52" t="s">
        <v>5423</v>
      </c>
      <c r="C973" s="52" t="s">
        <v>558</v>
      </c>
    </row>
    <row r="974" spans="1:3" hidden="1" x14ac:dyDescent="0.25">
      <c r="A974" s="52" t="s">
        <v>1928</v>
      </c>
      <c r="B974" s="52" t="s">
        <v>5424</v>
      </c>
      <c r="C974" s="52" t="s">
        <v>558</v>
      </c>
    </row>
    <row r="975" spans="1:3" hidden="1" x14ac:dyDescent="0.25">
      <c r="A975" s="52" t="s">
        <v>1929</v>
      </c>
      <c r="B975" s="52" t="s">
        <v>5425</v>
      </c>
      <c r="C975" s="52" t="s">
        <v>558</v>
      </c>
    </row>
    <row r="976" spans="1:3" hidden="1" x14ac:dyDescent="0.25">
      <c r="A976" s="52" t="s">
        <v>1930</v>
      </c>
      <c r="B976" s="52" t="s">
        <v>5426</v>
      </c>
      <c r="C976" s="52" t="s">
        <v>558</v>
      </c>
    </row>
    <row r="977" spans="1:3" hidden="1" x14ac:dyDescent="0.25">
      <c r="A977" s="52" t="s">
        <v>1931</v>
      </c>
      <c r="B977" s="52" t="s">
        <v>5427</v>
      </c>
      <c r="C977" s="52" t="s">
        <v>558</v>
      </c>
    </row>
    <row r="978" spans="1:3" hidden="1" x14ac:dyDescent="0.25">
      <c r="A978" s="52" t="s">
        <v>1932</v>
      </c>
      <c r="B978" s="52" t="s">
        <v>5428</v>
      </c>
      <c r="C978" s="52" t="s">
        <v>558</v>
      </c>
    </row>
    <row r="979" spans="1:3" hidden="1" x14ac:dyDescent="0.25">
      <c r="A979" s="52" t="s">
        <v>1933</v>
      </c>
      <c r="B979" s="52" t="s">
        <v>5429</v>
      </c>
      <c r="C979" s="52" t="s">
        <v>558</v>
      </c>
    </row>
    <row r="980" spans="1:3" hidden="1" x14ac:dyDescent="0.25">
      <c r="A980" s="52" t="s">
        <v>1934</v>
      </c>
      <c r="B980" s="52" t="s">
        <v>5430</v>
      </c>
      <c r="C980" s="52" t="s">
        <v>558</v>
      </c>
    </row>
    <row r="981" spans="1:3" hidden="1" x14ac:dyDescent="0.25">
      <c r="A981" s="52" t="s">
        <v>1935</v>
      </c>
      <c r="B981" s="52" t="s">
        <v>1101</v>
      </c>
      <c r="C981" s="52" t="s">
        <v>558</v>
      </c>
    </row>
    <row r="982" spans="1:3" hidden="1" x14ac:dyDescent="0.25">
      <c r="A982" s="52" t="s">
        <v>1936</v>
      </c>
      <c r="B982" s="52" t="s">
        <v>5431</v>
      </c>
      <c r="C982" s="52" t="s">
        <v>558</v>
      </c>
    </row>
    <row r="983" spans="1:3" hidden="1" x14ac:dyDescent="0.25">
      <c r="A983" s="52" t="s">
        <v>1937</v>
      </c>
      <c r="B983" s="52" t="s">
        <v>5432</v>
      </c>
      <c r="C983" s="52" t="s">
        <v>558</v>
      </c>
    </row>
    <row r="984" spans="1:3" hidden="1" x14ac:dyDescent="0.25">
      <c r="A984" s="52" t="s">
        <v>1938</v>
      </c>
      <c r="B984" s="52" t="s">
        <v>5433</v>
      </c>
      <c r="C984" s="52" t="s">
        <v>558</v>
      </c>
    </row>
    <row r="985" spans="1:3" hidden="1" x14ac:dyDescent="0.25">
      <c r="A985" s="52" t="s">
        <v>1939</v>
      </c>
      <c r="B985" s="52" t="s">
        <v>5434</v>
      </c>
      <c r="C985" s="52" t="s">
        <v>558</v>
      </c>
    </row>
    <row r="986" spans="1:3" hidden="1" x14ac:dyDescent="0.25">
      <c r="A986" s="52" t="s">
        <v>1940</v>
      </c>
      <c r="B986" s="52" t="s">
        <v>5435</v>
      </c>
      <c r="C986" s="52" t="s">
        <v>558</v>
      </c>
    </row>
    <row r="987" spans="1:3" hidden="1" x14ac:dyDescent="0.25">
      <c r="A987" s="52" t="s">
        <v>1941</v>
      </c>
      <c r="B987" s="52" t="s">
        <v>5436</v>
      </c>
      <c r="C987" s="52" t="s">
        <v>558</v>
      </c>
    </row>
    <row r="988" spans="1:3" hidden="1" x14ac:dyDescent="0.25">
      <c r="A988" s="52" t="s">
        <v>1942</v>
      </c>
      <c r="B988" s="52" t="s">
        <v>5437</v>
      </c>
      <c r="C988" s="52" t="s">
        <v>558</v>
      </c>
    </row>
    <row r="989" spans="1:3" hidden="1" x14ac:dyDescent="0.25">
      <c r="A989" s="52" t="s">
        <v>1943</v>
      </c>
      <c r="B989" s="52" t="s">
        <v>5438</v>
      </c>
      <c r="C989" s="52" t="s">
        <v>558</v>
      </c>
    </row>
    <row r="990" spans="1:3" hidden="1" x14ac:dyDescent="0.25">
      <c r="A990" s="52" t="s">
        <v>1944</v>
      </c>
      <c r="B990" s="52" t="s">
        <v>5439</v>
      </c>
      <c r="C990" s="52" t="s">
        <v>558</v>
      </c>
    </row>
    <row r="991" spans="1:3" hidden="1" x14ac:dyDescent="0.25">
      <c r="A991" s="52" t="s">
        <v>1945</v>
      </c>
      <c r="B991" s="52" t="s">
        <v>5440</v>
      </c>
      <c r="C991" s="52" t="s">
        <v>558</v>
      </c>
    </row>
    <row r="992" spans="1:3" hidden="1" x14ac:dyDescent="0.25">
      <c r="A992" s="52" t="s">
        <v>1946</v>
      </c>
      <c r="B992" s="52" t="s">
        <v>5441</v>
      </c>
      <c r="C992" s="52" t="s">
        <v>558</v>
      </c>
    </row>
    <row r="993" spans="1:3" hidden="1" x14ac:dyDescent="0.25">
      <c r="A993" s="52" t="s">
        <v>1947</v>
      </c>
      <c r="B993" s="52" t="s">
        <v>5442</v>
      </c>
      <c r="C993" s="52" t="s">
        <v>558</v>
      </c>
    </row>
    <row r="994" spans="1:3" hidden="1" x14ac:dyDescent="0.25">
      <c r="A994" s="52" t="s">
        <v>1948</v>
      </c>
      <c r="B994" s="52" t="s">
        <v>5443</v>
      </c>
      <c r="C994" s="52" t="s">
        <v>558</v>
      </c>
    </row>
    <row r="995" spans="1:3" hidden="1" x14ac:dyDescent="0.25">
      <c r="A995" s="52" t="s">
        <v>1949</v>
      </c>
      <c r="B995" s="52" t="s">
        <v>5444</v>
      </c>
      <c r="C995" s="52" t="s">
        <v>598</v>
      </c>
    </row>
    <row r="996" spans="1:3" hidden="1" x14ac:dyDescent="0.25">
      <c r="A996" s="52" t="s">
        <v>1950</v>
      </c>
      <c r="B996" s="52" t="s">
        <v>5445</v>
      </c>
      <c r="C996" s="52" t="s">
        <v>598</v>
      </c>
    </row>
    <row r="997" spans="1:3" hidden="1" x14ac:dyDescent="0.25">
      <c r="A997" s="52" t="s">
        <v>1951</v>
      </c>
      <c r="B997" s="52" t="s">
        <v>5446</v>
      </c>
      <c r="C997" s="52" t="s">
        <v>598</v>
      </c>
    </row>
    <row r="998" spans="1:3" hidden="1" x14ac:dyDescent="0.25">
      <c r="A998" s="52" t="s">
        <v>1952</v>
      </c>
      <c r="B998" s="52" t="s">
        <v>5447</v>
      </c>
      <c r="C998" s="52" t="s">
        <v>598</v>
      </c>
    </row>
    <row r="999" spans="1:3" hidden="1" x14ac:dyDescent="0.25">
      <c r="A999" s="52" t="s">
        <v>1953</v>
      </c>
      <c r="B999" s="52" t="s">
        <v>5448</v>
      </c>
      <c r="C999" s="52" t="s">
        <v>598</v>
      </c>
    </row>
    <row r="1000" spans="1:3" hidden="1" x14ac:dyDescent="0.25">
      <c r="A1000" s="52" t="s">
        <v>1954</v>
      </c>
      <c r="B1000" s="52" t="s">
        <v>5449</v>
      </c>
      <c r="C1000" s="52" t="s">
        <v>598</v>
      </c>
    </row>
    <row r="1001" spans="1:3" hidden="1" x14ac:dyDescent="0.25">
      <c r="A1001" s="52" t="s">
        <v>1955</v>
      </c>
      <c r="B1001" s="52" t="s">
        <v>5450</v>
      </c>
      <c r="C1001" s="52" t="s">
        <v>598</v>
      </c>
    </row>
    <row r="1002" spans="1:3" hidden="1" x14ac:dyDescent="0.25">
      <c r="A1002" s="52" t="s">
        <v>1956</v>
      </c>
      <c r="B1002" s="52" t="s">
        <v>5451</v>
      </c>
      <c r="C1002" s="52" t="s">
        <v>598</v>
      </c>
    </row>
    <row r="1003" spans="1:3" hidden="1" x14ac:dyDescent="0.25">
      <c r="A1003" s="52" t="s">
        <v>1957</v>
      </c>
      <c r="B1003" s="52" t="s">
        <v>5452</v>
      </c>
      <c r="C1003" s="52" t="s">
        <v>598</v>
      </c>
    </row>
    <row r="1004" spans="1:3" hidden="1" x14ac:dyDescent="0.25">
      <c r="A1004" s="52" t="s">
        <v>1958</v>
      </c>
      <c r="B1004" s="52" t="s">
        <v>5453</v>
      </c>
      <c r="C1004" s="52" t="s">
        <v>598</v>
      </c>
    </row>
    <row r="1005" spans="1:3" hidden="1" x14ac:dyDescent="0.25">
      <c r="A1005" s="52" t="s">
        <v>1959</v>
      </c>
      <c r="B1005" s="52" t="s">
        <v>5454</v>
      </c>
      <c r="C1005" s="52" t="s">
        <v>598</v>
      </c>
    </row>
    <row r="1006" spans="1:3" hidden="1" x14ac:dyDescent="0.25">
      <c r="A1006" s="52" t="s">
        <v>1960</v>
      </c>
      <c r="B1006" s="52" t="s">
        <v>5455</v>
      </c>
      <c r="C1006" s="52" t="s">
        <v>598</v>
      </c>
    </row>
    <row r="1007" spans="1:3" hidden="1" x14ac:dyDescent="0.25">
      <c r="A1007" s="52" t="s">
        <v>1961</v>
      </c>
      <c r="B1007" s="52" t="s">
        <v>5456</v>
      </c>
      <c r="C1007" s="52" t="s">
        <v>598</v>
      </c>
    </row>
    <row r="1008" spans="1:3" hidden="1" x14ac:dyDescent="0.25">
      <c r="A1008" s="52" t="s">
        <v>1962</v>
      </c>
      <c r="B1008" s="52" t="s">
        <v>5457</v>
      </c>
      <c r="C1008" s="52" t="s">
        <v>598</v>
      </c>
    </row>
    <row r="1009" spans="1:3" hidden="1" x14ac:dyDescent="0.25">
      <c r="A1009" s="52" t="s">
        <v>1963</v>
      </c>
      <c r="B1009" s="52" t="s">
        <v>5458</v>
      </c>
      <c r="C1009" s="52" t="s">
        <v>598</v>
      </c>
    </row>
    <row r="1010" spans="1:3" hidden="1" x14ac:dyDescent="0.25">
      <c r="A1010" s="52" t="s">
        <v>1964</v>
      </c>
      <c r="B1010" s="52" t="s">
        <v>5459</v>
      </c>
      <c r="C1010" s="52" t="s">
        <v>598</v>
      </c>
    </row>
    <row r="1011" spans="1:3" hidden="1" x14ac:dyDescent="0.25">
      <c r="A1011" s="52" t="s">
        <v>1965</v>
      </c>
      <c r="B1011" s="52" t="s">
        <v>5460</v>
      </c>
      <c r="C1011" s="52" t="s">
        <v>598</v>
      </c>
    </row>
    <row r="1012" spans="1:3" hidden="1" x14ac:dyDescent="0.25">
      <c r="A1012" s="52" t="s">
        <v>1966</v>
      </c>
      <c r="B1012" s="52" t="s">
        <v>5461</v>
      </c>
      <c r="C1012" s="52" t="s">
        <v>598</v>
      </c>
    </row>
    <row r="1013" spans="1:3" hidden="1" x14ac:dyDescent="0.25">
      <c r="A1013" s="52" t="s">
        <v>1967</v>
      </c>
      <c r="B1013" s="52" t="s">
        <v>5462</v>
      </c>
      <c r="C1013" s="52" t="s">
        <v>598</v>
      </c>
    </row>
    <row r="1014" spans="1:3" hidden="1" x14ac:dyDescent="0.25">
      <c r="A1014" s="52" t="s">
        <v>1968</v>
      </c>
      <c r="B1014" s="52" t="s">
        <v>5463</v>
      </c>
      <c r="C1014" s="52" t="s">
        <v>598</v>
      </c>
    </row>
    <row r="1015" spans="1:3" hidden="1" x14ac:dyDescent="0.25">
      <c r="A1015" s="52" t="s">
        <v>1969</v>
      </c>
      <c r="B1015" s="52" t="s">
        <v>5464</v>
      </c>
      <c r="C1015" s="52" t="s">
        <v>598</v>
      </c>
    </row>
    <row r="1016" spans="1:3" hidden="1" x14ac:dyDescent="0.25">
      <c r="A1016" s="52" t="s">
        <v>1970</v>
      </c>
      <c r="B1016" s="52" t="s">
        <v>5465</v>
      </c>
      <c r="C1016" s="52" t="s">
        <v>598</v>
      </c>
    </row>
    <row r="1017" spans="1:3" hidden="1" x14ac:dyDescent="0.25">
      <c r="A1017" s="52" t="s">
        <v>1971</v>
      </c>
      <c r="B1017" s="52" t="s">
        <v>5466</v>
      </c>
      <c r="C1017" s="52" t="s">
        <v>598</v>
      </c>
    </row>
    <row r="1018" spans="1:3" hidden="1" x14ac:dyDescent="0.25">
      <c r="A1018" s="52" t="s">
        <v>1972</v>
      </c>
      <c r="B1018" s="52" t="s">
        <v>5467</v>
      </c>
      <c r="C1018" s="52" t="s">
        <v>598</v>
      </c>
    </row>
    <row r="1019" spans="1:3" hidden="1" x14ac:dyDescent="0.25">
      <c r="A1019" s="52" t="s">
        <v>1973</v>
      </c>
      <c r="B1019" s="52" t="s">
        <v>5468</v>
      </c>
      <c r="C1019" s="52" t="s">
        <v>598</v>
      </c>
    </row>
    <row r="1020" spans="1:3" hidden="1" x14ac:dyDescent="0.25">
      <c r="A1020" s="52" t="s">
        <v>1974</v>
      </c>
      <c r="B1020" s="52" t="s">
        <v>5469</v>
      </c>
      <c r="C1020" s="52" t="s">
        <v>598</v>
      </c>
    </row>
    <row r="1021" spans="1:3" hidden="1" x14ac:dyDescent="0.25">
      <c r="A1021" s="52" t="s">
        <v>1975</v>
      </c>
      <c r="B1021" s="52" t="s">
        <v>5470</v>
      </c>
      <c r="C1021" s="52" t="s">
        <v>598</v>
      </c>
    </row>
    <row r="1022" spans="1:3" hidden="1" x14ac:dyDescent="0.25">
      <c r="A1022" s="52" t="s">
        <v>1976</v>
      </c>
      <c r="B1022" s="52" t="s">
        <v>5471</v>
      </c>
      <c r="C1022" s="52" t="s">
        <v>598</v>
      </c>
    </row>
    <row r="1023" spans="1:3" hidden="1" x14ac:dyDescent="0.25">
      <c r="A1023" s="52" t="s">
        <v>1977</v>
      </c>
      <c r="B1023" s="52" t="s">
        <v>5472</v>
      </c>
      <c r="C1023" s="52" t="s">
        <v>598</v>
      </c>
    </row>
    <row r="1024" spans="1:3" hidden="1" x14ac:dyDescent="0.25">
      <c r="A1024" s="52" t="s">
        <v>1978</v>
      </c>
      <c r="B1024" s="52" t="s">
        <v>5473</v>
      </c>
      <c r="C1024" s="52" t="s">
        <v>598</v>
      </c>
    </row>
    <row r="1025" spans="1:3" hidden="1" x14ac:dyDescent="0.25">
      <c r="A1025" s="52" t="s">
        <v>1979</v>
      </c>
      <c r="B1025" s="52" t="s">
        <v>5474</v>
      </c>
      <c r="C1025" s="52" t="s">
        <v>598</v>
      </c>
    </row>
    <row r="1026" spans="1:3" hidden="1" x14ac:dyDescent="0.25">
      <c r="A1026" s="52" t="s">
        <v>1980</v>
      </c>
      <c r="B1026" s="52" t="s">
        <v>5475</v>
      </c>
      <c r="C1026" s="52" t="s">
        <v>598</v>
      </c>
    </row>
    <row r="1027" spans="1:3" hidden="1" x14ac:dyDescent="0.25">
      <c r="A1027" s="52" t="s">
        <v>1981</v>
      </c>
      <c r="B1027" s="52" t="s">
        <v>5476</v>
      </c>
      <c r="C1027" s="52" t="s">
        <v>598</v>
      </c>
    </row>
    <row r="1028" spans="1:3" hidden="1" x14ac:dyDescent="0.25">
      <c r="A1028" s="52" t="s">
        <v>1982</v>
      </c>
      <c r="B1028" s="52" t="s">
        <v>5477</v>
      </c>
      <c r="C1028" s="52" t="s">
        <v>598</v>
      </c>
    </row>
    <row r="1029" spans="1:3" hidden="1" x14ac:dyDescent="0.25">
      <c r="A1029" s="52" t="s">
        <v>1983</v>
      </c>
      <c r="B1029" s="52" t="s">
        <v>5478</v>
      </c>
      <c r="C1029" s="52" t="s">
        <v>598</v>
      </c>
    </row>
    <row r="1030" spans="1:3" hidden="1" x14ac:dyDescent="0.25">
      <c r="A1030" s="52" t="s">
        <v>1984</v>
      </c>
      <c r="B1030" s="52" t="s">
        <v>5479</v>
      </c>
      <c r="C1030" s="52" t="s">
        <v>598</v>
      </c>
    </row>
    <row r="1031" spans="1:3" hidden="1" x14ac:dyDescent="0.25">
      <c r="A1031" s="52" t="s">
        <v>1985</v>
      </c>
      <c r="B1031" s="52" t="s">
        <v>5480</v>
      </c>
      <c r="C1031" s="52" t="s">
        <v>598</v>
      </c>
    </row>
    <row r="1032" spans="1:3" hidden="1" x14ac:dyDescent="0.25">
      <c r="A1032" s="52" t="s">
        <v>1986</v>
      </c>
      <c r="B1032" s="52" t="s">
        <v>5481</v>
      </c>
      <c r="C1032" s="52" t="s">
        <v>598</v>
      </c>
    </row>
    <row r="1033" spans="1:3" hidden="1" x14ac:dyDescent="0.25">
      <c r="A1033" s="52" t="s">
        <v>1987</v>
      </c>
      <c r="B1033" s="52" t="s">
        <v>5482</v>
      </c>
      <c r="C1033" s="52" t="s">
        <v>598</v>
      </c>
    </row>
    <row r="1034" spans="1:3" hidden="1" x14ac:dyDescent="0.25">
      <c r="A1034" s="52" t="s">
        <v>1988</v>
      </c>
      <c r="B1034" s="52" t="s">
        <v>5483</v>
      </c>
      <c r="C1034" s="52" t="s">
        <v>598</v>
      </c>
    </row>
    <row r="1035" spans="1:3" hidden="1" x14ac:dyDescent="0.25">
      <c r="A1035" s="52" t="s">
        <v>1989</v>
      </c>
      <c r="B1035" s="52" t="s">
        <v>5484</v>
      </c>
      <c r="C1035" s="52" t="s">
        <v>598</v>
      </c>
    </row>
    <row r="1036" spans="1:3" hidden="1" x14ac:dyDescent="0.25">
      <c r="A1036" s="52" t="s">
        <v>1990</v>
      </c>
      <c r="B1036" s="52" t="s">
        <v>4821</v>
      </c>
      <c r="C1036" s="52" t="s">
        <v>598</v>
      </c>
    </row>
    <row r="1037" spans="1:3" hidden="1" x14ac:dyDescent="0.25">
      <c r="A1037" s="52" t="s">
        <v>1991</v>
      </c>
      <c r="B1037" s="52" t="s">
        <v>5368</v>
      </c>
      <c r="C1037" s="52" t="s">
        <v>598</v>
      </c>
    </row>
    <row r="1038" spans="1:3" hidden="1" x14ac:dyDescent="0.25">
      <c r="A1038" s="52" t="s">
        <v>1992</v>
      </c>
      <c r="B1038" s="52" t="s">
        <v>5485</v>
      </c>
      <c r="C1038" s="52" t="s">
        <v>598</v>
      </c>
    </row>
    <row r="1039" spans="1:3" hidden="1" x14ac:dyDescent="0.25">
      <c r="A1039" s="52" t="s">
        <v>1993</v>
      </c>
      <c r="B1039" s="52" t="s">
        <v>5313</v>
      </c>
      <c r="C1039" s="52" t="s">
        <v>598</v>
      </c>
    </row>
    <row r="1040" spans="1:3" hidden="1" x14ac:dyDescent="0.25">
      <c r="A1040" s="52" t="s">
        <v>1994</v>
      </c>
      <c r="B1040" s="52" t="s">
        <v>5486</v>
      </c>
      <c r="C1040" s="52" t="s">
        <v>598</v>
      </c>
    </row>
    <row r="1041" spans="1:3" hidden="1" x14ac:dyDescent="0.25">
      <c r="A1041" s="52" t="s">
        <v>1995</v>
      </c>
      <c r="B1041" s="52" t="s">
        <v>5487</v>
      </c>
      <c r="C1041" s="52" t="s">
        <v>598</v>
      </c>
    </row>
    <row r="1042" spans="1:3" hidden="1" x14ac:dyDescent="0.25">
      <c r="A1042" s="52" t="s">
        <v>1996</v>
      </c>
      <c r="B1042" s="52" t="s">
        <v>5488</v>
      </c>
      <c r="C1042" s="52" t="s">
        <v>598</v>
      </c>
    </row>
    <row r="1043" spans="1:3" hidden="1" x14ac:dyDescent="0.25">
      <c r="A1043" s="52" t="s">
        <v>1997</v>
      </c>
      <c r="B1043" s="52" t="s">
        <v>5489</v>
      </c>
      <c r="C1043" s="52" t="s">
        <v>598</v>
      </c>
    </row>
    <row r="1044" spans="1:3" hidden="1" x14ac:dyDescent="0.25">
      <c r="A1044" s="52" t="s">
        <v>1998</v>
      </c>
      <c r="B1044" s="52" t="s">
        <v>5490</v>
      </c>
      <c r="C1044" s="52" t="s">
        <v>598</v>
      </c>
    </row>
    <row r="1045" spans="1:3" hidden="1" x14ac:dyDescent="0.25">
      <c r="A1045" s="52" t="s">
        <v>1999</v>
      </c>
      <c r="B1045" s="52" t="s">
        <v>5491</v>
      </c>
      <c r="C1045" s="52" t="s">
        <v>598</v>
      </c>
    </row>
    <row r="1046" spans="1:3" hidden="1" x14ac:dyDescent="0.25">
      <c r="A1046" s="52" t="s">
        <v>2000</v>
      </c>
      <c r="B1046" s="52" t="s">
        <v>5492</v>
      </c>
      <c r="C1046" s="52" t="s">
        <v>598</v>
      </c>
    </row>
    <row r="1047" spans="1:3" hidden="1" x14ac:dyDescent="0.25">
      <c r="A1047" s="52" t="s">
        <v>2001</v>
      </c>
      <c r="B1047" s="52" t="s">
        <v>5493</v>
      </c>
      <c r="C1047" s="52" t="s">
        <v>598</v>
      </c>
    </row>
    <row r="1048" spans="1:3" hidden="1" x14ac:dyDescent="0.25">
      <c r="A1048" s="52" t="s">
        <v>2002</v>
      </c>
      <c r="B1048" s="52" t="s">
        <v>5494</v>
      </c>
      <c r="C1048" s="52" t="s">
        <v>598</v>
      </c>
    </row>
    <row r="1049" spans="1:3" hidden="1" x14ac:dyDescent="0.25">
      <c r="A1049" s="52" t="s">
        <v>2003</v>
      </c>
      <c r="B1049" s="52" t="s">
        <v>5495</v>
      </c>
      <c r="C1049" s="52" t="s">
        <v>598</v>
      </c>
    </row>
    <row r="1050" spans="1:3" hidden="1" x14ac:dyDescent="0.25">
      <c r="A1050" s="52" t="s">
        <v>2004</v>
      </c>
      <c r="B1050" s="52" t="s">
        <v>5496</v>
      </c>
      <c r="C1050" s="52" t="s">
        <v>598</v>
      </c>
    </row>
    <row r="1051" spans="1:3" hidden="1" x14ac:dyDescent="0.25">
      <c r="A1051" s="52" t="s">
        <v>2005</v>
      </c>
      <c r="B1051" s="52" t="s">
        <v>5497</v>
      </c>
      <c r="C1051" s="52" t="s">
        <v>598</v>
      </c>
    </row>
    <row r="1052" spans="1:3" hidden="1" x14ac:dyDescent="0.25">
      <c r="A1052" s="52" t="s">
        <v>2006</v>
      </c>
      <c r="B1052" s="52" t="s">
        <v>5498</v>
      </c>
      <c r="C1052" s="52" t="s">
        <v>598</v>
      </c>
    </row>
    <row r="1053" spans="1:3" hidden="1" x14ac:dyDescent="0.25">
      <c r="A1053" s="52" t="s">
        <v>2007</v>
      </c>
      <c r="B1053" s="52" t="s">
        <v>5499</v>
      </c>
      <c r="C1053" s="52" t="s">
        <v>598</v>
      </c>
    </row>
    <row r="1054" spans="1:3" hidden="1" x14ac:dyDescent="0.25">
      <c r="A1054" s="52" t="s">
        <v>2008</v>
      </c>
      <c r="B1054" s="52" t="s">
        <v>5500</v>
      </c>
      <c r="C1054" s="52" t="s">
        <v>598</v>
      </c>
    </row>
    <row r="1055" spans="1:3" hidden="1" x14ac:dyDescent="0.25">
      <c r="A1055" s="52" t="s">
        <v>2009</v>
      </c>
      <c r="B1055" s="52" t="s">
        <v>5501</v>
      </c>
      <c r="C1055" s="52" t="s">
        <v>598</v>
      </c>
    </row>
    <row r="1056" spans="1:3" hidden="1" x14ac:dyDescent="0.25">
      <c r="A1056" s="52" t="s">
        <v>2010</v>
      </c>
      <c r="B1056" s="52" t="s">
        <v>5502</v>
      </c>
      <c r="C1056" s="52" t="s">
        <v>598</v>
      </c>
    </row>
    <row r="1057" spans="1:3" hidden="1" x14ac:dyDescent="0.25">
      <c r="A1057" s="52" t="s">
        <v>2011</v>
      </c>
      <c r="B1057" s="52" t="s">
        <v>5503</v>
      </c>
      <c r="C1057" s="52" t="s">
        <v>598</v>
      </c>
    </row>
    <row r="1058" spans="1:3" hidden="1" x14ac:dyDescent="0.25">
      <c r="A1058" s="52" t="s">
        <v>2012</v>
      </c>
      <c r="B1058" s="52" t="s">
        <v>5504</v>
      </c>
      <c r="C1058" s="52" t="s">
        <v>598</v>
      </c>
    </row>
    <row r="1059" spans="1:3" hidden="1" x14ac:dyDescent="0.25">
      <c r="A1059" s="52" t="s">
        <v>2013</v>
      </c>
      <c r="B1059" s="52" t="s">
        <v>5505</v>
      </c>
      <c r="C1059" s="52" t="s">
        <v>598</v>
      </c>
    </row>
    <row r="1060" spans="1:3" hidden="1" x14ac:dyDescent="0.25">
      <c r="A1060" s="52" t="s">
        <v>2014</v>
      </c>
      <c r="B1060" s="52" t="s">
        <v>5506</v>
      </c>
      <c r="C1060" s="52" t="s">
        <v>598</v>
      </c>
    </row>
    <row r="1061" spans="1:3" hidden="1" x14ac:dyDescent="0.25">
      <c r="A1061" s="52" t="s">
        <v>2015</v>
      </c>
      <c r="B1061" s="52" t="s">
        <v>5507</v>
      </c>
      <c r="C1061" s="52" t="s">
        <v>598</v>
      </c>
    </row>
    <row r="1062" spans="1:3" hidden="1" x14ac:dyDescent="0.25">
      <c r="A1062" s="52" t="s">
        <v>2016</v>
      </c>
      <c r="B1062" s="52" t="s">
        <v>5508</v>
      </c>
      <c r="C1062" s="52" t="s">
        <v>598</v>
      </c>
    </row>
    <row r="1063" spans="1:3" hidden="1" x14ac:dyDescent="0.25">
      <c r="A1063" s="52" t="s">
        <v>2017</v>
      </c>
      <c r="B1063" s="52" t="s">
        <v>5509</v>
      </c>
      <c r="C1063" s="52" t="s">
        <v>598</v>
      </c>
    </row>
    <row r="1064" spans="1:3" hidden="1" x14ac:dyDescent="0.25">
      <c r="A1064" s="52" t="s">
        <v>2018</v>
      </c>
      <c r="B1064" s="52" t="s">
        <v>5510</v>
      </c>
      <c r="C1064" s="52" t="s">
        <v>598</v>
      </c>
    </row>
    <row r="1065" spans="1:3" hidden="1" x14ac:dyDescent="0.25">
      <c r="A1065" s="52" t="s">
        <v>2019</v>
      </c>
      <c r="B1065" s="52" t="s">
        <v>5511</v>
      </c>
      <c r="C1065" s="52" t="s">
        <v>598</v>
      </c>
    </row>
    <row r="1066" spans="1:3" hidden="1" x14ac:dyDescent="0.25">
      <c r="A1066" s="52" t="s">
        <v>2020</v>
      </c>
      <c r="B1066" s="52" t="s">
        <v>5512</v>
      </c>
      <c r="C1066" s="52" t="s">
        <v>598</v>
      </c>
    </row>
    <row r="1067" spans="1:3" hidden="1" x14ac:dyDescent="0.25">
      <c r="A1067" s="52" t="s">
        <v>2021</v>
      </c>
      <c r="B1067" s="52" t="s">
        <v>5513</v>
      </c>
      <c r="C1067" s="52" t="s">
        <v>598</v>
      </c>
    </row>
    <row r="1068" spans="1:3" hidden="1" x14ac:dyDescent="0.25">
      <c r="A1068" s="52" t="s">
        <v>2022</v>
      </c>
      <c r="B1068" s="52" t="s">
        <v>4794</v>
      </c>
      <c r="C1068" s="52" t="s">
        <v>598</v>
      </c>
    </row>
    <row r="1069" spans="1:3" hidden="1" x14ac:dyDescent="0.25">
      <c r="A1069" s="52" t="s">
        <v>2023</v>
      </c>
      <c r="B1069" s="52" t="s">
        <v>5514</v>
      </c>
      <c r="C1069" s="52" t="s">
        <v>598</v>
      </c>
    </row>
    <row r="1070" spans="1:3" hidden="1" x14ac:dyDescent="0.25">
      <c r="A1070" s="52" t="s">
        <v>2024</v>
      </c>
      <c r="B1070" s="52" t="s">
        <v>5515</v>
      </c>
      <c r="C1070" s="52" t="s">
        <v>598</v>
      </c>
    </row>
    <row r="1071" spans="1:3" hidden="1" x14ac:dyDescent="0.25">
      <c r="A1071" s="52" t="s">
        <v>2025</v>
      </c>
      <c r="B1071" s="52" t="s">
        <v>5516</v>
      </c>
      <c r="C1071" s="52" t="s">
        <v>598</v>
      </c>
    </row>
    <row r="1072" spans="1:3" hidden="1" x14ac:dyDescent="0.25">
      <c r="A1072" s="52" t="s">
        <v>2026</v>
      </c>
      <c r="B1072" s="52" t="s">
        <v>5517</v>
      </c>
      <c r="C1072" s="52" t="s">
        <v>598</v>
      </c>
    </row>
    <row r="1073" spans="1:3" hidden="1" x14ac:dyDescent="0.25">
      <c r="A1073" s="52" t="s">
        <v>2027</v>
      </c>
      <c r="B1073" s="52" t="s">
        <v>5518</v>
      </c>
      <c r="C1073" s="52" t="s">
        <v>598</v>
      </c>
    </row>
    <row r="1074" spans="1:3" hidden="1" x14ac:dyDescent="0.25">
      <c r="A1074" s="52" t="s">
        <v>2028</v>
      </c>
      <c r="B1074" s="52" t="s">
        <v>5519</v>
      </c>
      <c r="C1074" s="52" t="s">
        <v>598</v>
      </c>
    </row>
    <row r="1075" spans="1:3" hidden="1" x14ac:dyDescent="0.25">
      <c r="A1075" s="52" t="s">
        <v>2029</v>
      </c>
      <c r="B1075" s="52" t="s">
        <v>5520</v>
      </c>
      <c r="C1075" s="52" t="s">
        <v>598</v>
      </c>
    </row>
    <row r="1076" spans="1:3" hidden="1" x14ac:dyDescent="0.25">
      <c r="A1076" s="52" t="s">
        <v>2030</v>
      </c>
      <c r="B1076" s="52" t="s">
        <v>5521</v>
      </c>
      <c r="C1076" s="52" t="s">
        <v>598</v>
      </c>
    </row>
    <row r="1077" spans="1:3" hidden="1" x14ac:dyDescent="0.25">
      <c r="A1077" s="52" t="s">
        <v>2031</v>
      </c>
      <c r="B1077" s="52" t="s">
        <v>5522</v>
      </c>
      <c r="C1077" s="52" t="s">
        <v>598</v>
      </c>
    </row>
    <row r="1078" spans="1:3" hidden="1" x14ac:dyDescent="0.25">
      <c r="A1078" s="52" t="s">
        <v>2032</v>
      </c>
      <c r="B1078" s="52" t="s">
        <v>5158</v>
      </c>
      <c r="C1078" s="52" t="s">
        <v>598</v>
      </c>
    </row>
    <row r="1079" spans="1:3" hidden="1" x14ac:dyDescent="0.25">
      <c r="A1079" s="52" t="s">
        <v>2033</v>
      </c>
      <c r="B1079" s="52" t="s">
        <v>5523</v>
      </c>
      <c r="C1079" s="52" t="s">
        <v>598</v>
      </c>
    </row>
    <row r="1080" spans="1:3" hidden="1" x14ac:dyDescent="0.25">
      <c r="A1080" s="52" t="s">
        <v>2034</v>
      </c>
      <c r="B1080" s="52" t="s">
        <v>5524</v>
      </c>
      <c r="C1080" s="52" t="s">
        <v>598</v>
      </c>
    </row>
    <row r="1081" spans="1:3" hidden="1" x14ac:dyDescent="0.25">
      <c r="A1081" s="52" t="s">
        <v>2035</v>
      </c>
      <c r="B1081" s="52" t="s">
        <v>5525</v>
      </c>
      <c r="C1081" s="52" t="s">
        <v>598</v>
      </c>
    </row>
    <row r="1082" spans="1:3" hidden="1" x14ac:dyDescent="0.25">
      <c r="A1082" s="52" t="s">
        <v>2036</v>
      </c>
      <c r="B1082" s="52" t="s">
        <v>5526</v>
      </c>
      <c r="C1082" s="52" t="s">
        <v>598</v>
      </c>
    </row>
    <row r="1083" spans="1:3" hidden="1" x14ac:dyDescent="0.25">
      <c r="A1083" s="52" t="s">
        <v>2037</v>
      </c>
      <c r="B1083" s="52" t="s">
        <v>5527</v>
      </c>
      <c r="C1083" s="52" t="s">
        <v>598</v>
      </c>
    </row>
    <row r="1084" spans="1:3" hidden="1" x14ac:dyDescent="0.25">
      <c r="A1084" s="52" t="s">
        <v>2038</v>
      </c>
      <c r="B1084" s="52" t="s">
        <v>5528</v>
      </c>
      <c r="C1084" s="52" t="s">
        <v>598</v>
      </c>
    </row>
    <row r="1085" spans="1:3" hidden="1" x14ac:dyDescent="0.25">
      <c r="A1085" s="52" t="s">
        <v>2039</v>
      </c>
      <c r="B1085" s="52" t="s">
        <v>5529</v>
      </c>
      <c r="C1085" s="52" t="s">
        <v>598</v>
      </c>
    </row>
    <row r="1086" spans="1:3" hidden="1" x14ac:dyDescent="0.25">
      <c r="A1086" s="52" t="s">
        <v>2040</v>
      </c>
      <c r="B1086" s="52" t="s">
        <v>5530</v>
      </c>
      <c r="C1086" s="52" t="s">
        <v>598</v>
      </c>
    </row>
    <row r="1087" spans="1:3" hidden="1" x14ac:dyDescent="0.25">
      <c r="A1087" s="52" t="s">
        <v>2041</v>
      </c>
      <c r="B1087" s="52" t="s">
        <v>5531</v>
      </c>
      <c r="C1087" s="52" t="s">
        <v>598</v>
      </c>
    </row>
    <row r="1088" spans="1:3" hidden="1" x14ac:dyDescent="0.25">
      <c r="A1088" s="52" t="s">
        <v>2042</v>
      </c>
      <c r="B1088" s="52" t="s">
        <v>5532</v>
      </c>
      <c r="C1088" s="52" t="s">
        <v>598</v>
      </c>
    </row>
    <row r="1089" spans="1:3" hidden="1" x14ac:dyDescent="0.25">
      <c r="A1089" s="52" t="s">
        <v>2043</v>
      </c>
      <c r="B1089" s="52" t="s">
        <v>5533</v>
      </c>
      <c r="C1089" s="52" t="s">
        <v>598</v>
      </c>
    </row>
    <row r="1090" spans="1:3" hidden="1" x14ac:dyDescent="0.25">
      <c r="A1090" s="52" t="s">
        <v>2044</v>
      </c>
      <c r="B1090" s="52" t="s">
        <v>5534</v>
      </c>
      <c r="C1090" s="52" t="s">
        <v>598</v>
      </c>
    </row>
    <row r="1091" spans="1:3" hidden="1" x14ac:dyDescent="0.25">
      <c r="A1091" s="52" t="s">
        <v>2045</v>
      </c>
      <c r="B1091" s="52" t="s">
        <v>4952</v>
      </c>
      <c r="C1091" s="52" t="s">
        <v>598</v>
      </c>
    </row>
    <row r="1092" spans="1:3" hidden="1" x14ac:dyDescent="0.25">
      <c r="A1092" s="52" t="s">
        <v>2046</v>
      </c>
      <c r="B1092" s="52" t="s">
        <v>5535</v>
      </c>
      <c r="C1092" s="52" t="s">
        <v>598</v>
      </c>
    </row>
    <row r="1093" spans="1:3" hidden="1" x14ac:dyDescent="0.25">
      <c r="A1093" s="52" t="s">
        <v>2047</v>
      </c>
      <c r="B1093" s="52" t="s">
        <v>5536</v>
      </c>
      <c r="C1093" s="52" t="s">
        <v>598</v>
      </c>
    </row>
    <row r="1094" spans="1:3" hidden="1" x14ac:dyDescent="0.25">
      <c r="A1094" s="52" t="s">
        <v>2048</v>
      </c>
      <c r="B1094" s="52" t="s">
        <v>5537</v>
      </c>
      <c r="C1094" s="52" t="s">
        <v>618</v>
      </c>
    </row>
    <row r="1095" spans="1:3" hidden="1" x14ac:dyDescent="0.25">
      <c r="A1095" s="52" t="s">
        <v>2049</v>
      </c>
      <c r="B1095" s="52" t="s">
        <v>5272</v>
      </c>
      <c r="C1095" s="52" t="s">
        <v>618</v>
      </c>
    </row>
    <row r="1096" spans="1:3" hidden="1" x14ac:dyDescent="0.25">
      <c r="A1096" s="52" t="s">
        <v>2050</v>
      </c>
      <c r="B1096" s="52" t="s">
        <v>5538</v>
      </c>
      <c r="C1096" s="52" t="s">
        <v>618</v>
      </c>
    </row>
    <row r="1097" spans="1:3" hidden="1" x14ac:dyDescent="0.25">
      <c r="A1097" s="52" t="s">
        <v>2051</v>
      </c>
      <c r="B1097" s="52" t="s">
        <v>5539</v>
      </c>
      <c r="C1097" s="52" t="s">
        <v>618</v>
      </c>
    </row>
    <row r="1098" spans="1:3" hidden="1" x14ac:dyDescent="0.25">
      <c r="A1098" s="52" t="s">
        <v>2052</v>
      </c>
      <c r="B1098" s="52" t="s">
        <v>5540</v>
      </c>
      <c r="C1098" s="52" t="s">
        <v>618</v>
      </c>
    </row>
    <row r="1099" spans="1:3" hidden="1" x14ac:dyDescent="0.25">
      <c r="A1099" s="52" t="s">
        <v>2053</v>
      </c>
      <c r="B1099" s="52" t="s">
        <v>5541</v>
      </c>
      <c r="C1099" s="52" t="s">
        <v>618</v>
      </c>
    </row>
    <row r="1100" spans="1:3" hidden="1" x14ac:dyDescent="0.25">
      <c r="A1100" s="52" t="s">
        <v>2054</v>
      </c>
      <c r="B1100" s="52" t="s">
        <v>5542</v>
      </c>
      <c r="C1100" s="52" t="s">
        <v>618</v>
      </c>
    </row>
    <row r="1101" spans="1:3" hidden="1" x14ac:dyDescent="0.25">
      <c r="A1101" s="52" t="s">
        <v>2055</v>
      </c>
      <c r="B1101" s="52" t="s">
        <v>5543</v>
      </c>
      <c r="C1101" s="52" t="s">
        <v>618</v>
      </c>
    </row>
    <row r="1102" spans="1:3" hidden="1" x14ac:dyDescent="0.25">
      <c r="A1102" s="52" t="s">
        <v>2056</v>
      </c>
      <c r="B1102" s="52" t="s">
        <v>5544</v>
      </c>
      <c r="C1102" s="52" t="s">
        <v>618</v>
      </c>
    </row>
    <row r="1103" spans="1:3" hidden="1" x14ac:dyDescent="0.25">
      <c r="A1103" s="52" t="s">
        <v>2057</v>
      </c>
      <c r="B1103" s="52" t="s">
        <v>5545</v>
      </c>
      <c r="C1103" s="52" t="s">
        <v>618</v>
      </c>
    </row>
    <row r="1104" spans="1:3" hidden="1" x14ac:dyDescent="0.25">
      <c r="A1104" s="52" t="s">
        <v>2058</v>
      </c>
      <c r="B1104" s="52" t="s">
        <v>5546</v>
      </c>
      <c r="C1104" s="52" t="s">
        <v>618</v>
      </c>
    </row>
    <row r="1105" spans="1:3" hidden="1" x14ac:dyDescent="0.25">
      <c r="A1105" s="52" t="s">
        <v>2059</v>
      </c>
      <c r="B1105" s="52" t="s">
        <v>5547</v>
      </c>
      <c r="C1105" s="52" t="s">
        <v>618</v>
      </c>
    </row>
    <row r="1106" spans="1:3" hidden="1" x14ac:dyDescent="0.25">
      <c r="A1106" s="52" t="s">
        <v>2060</v>
      </c>
      <c r="B1106" s="52" t="s">
        <v>5548</v>
      </c>
      <c r="C1106" s="52" t="s">
        <v>618</v>
      </c>
    </row>
    <row r="1107" spans="1:3" hidden="1" x14ac:dyDescent="0.25">
      <c r="A1107" s="52" t="s">
        <v>2061</v>
      </c>
      <c r="B1107" s="52" t="s">
        <v>5549</v>
      </c>
      <c r="C1107" s="52" t="s">
        <v>618</v>
      </c>
    </row>
    <row r="1108" spans="1:3" hidden="1" x14ac:dyDescent="0.25">
      <c r="A1108" s="52" t="s">
        <v>2062</v>
      </c>
      <c r="B1108" s="52" t="s">
        <v>5550</v>
      </c>
      <c r="C1108" s="52" t="s">
        <v>618</v>
      </c>
    </row>
    <row r="1109" spans="1:3" hidden="1" x14ac:dyDescent="0.25">
      <c r="A1109" s="52" t="s">
        <v>2063</v>
      </c>
      <c r="B1109" s="52" t="s">
        <v>5551</v>
      </c>
      <c r="C1109" s="52" t="s">
        <v>618</v>
      </c>
    </row>
    <row r="1110" spans="1:3" hidden="1" x14ac:dyDescent="0.25">
      <c r="A1110" s="52" t="s">
        <v>2064</v>
      </c>
      <c r="B1110" s="52" t="s">
        <v>5552</v>
      </c>
      <c r="C1110" s="52" t="s">
        <v>618</v>
      </c>
    </row>
    <row r="1111" spans="1:3" hidden="1" x14ac:dyDescent="0.25">
      <c r="A1111" s="52" t="s">
        <v>2065</v>
      </c>
      <c r="B1111" s="52" t="s">
        <v>5553</v>
      </c>
      <c r="C1111" s="52" t="s">
        <v>618</v>
      </c>
    </row>
    <row r="1112" spans="1:3" hidden="1" x14ac:dyDescent="0.25">
      <c r="A1112" s="52" t="s">
        <v>2066</v>
      </c>
      <c r="B1112" s="52" t="s">
        <v>5554</v>
      </c>
      <c r="C1112" s="52" t="s">
        <v>618</v>
      </c>
    </row>
    <row r="1113" spans="1:3" hidden="1" x14ac:dyDescent="0.25">
      <c r="A1113" s="52" t="s">
        <v>2067</v>
      </c>
      <c r="B1113" s="52" t="s">
        <v>5555</v>
      </c>
      <c r="C1113" s="52" t="s">
        <v>618</v>
      </c>
    </row>
    <row r="1114" spans="1:3" hidden="1" x14ac:dyDescent="0.25">
      <c r="A1114" s="52" t="s">
        <v>2068</v>
      </c>
      <c r="B1114" s="52" t="s">
        <v>5365</v>
      </c>
      <c r="C1114" s="52" t="s">
        <v>618</v>
      </c>
    </row>
    <row r="1115" spans="1:3" hidden="1" x14ac:dyDescent="0.25">
      <c r="A1115" s="52" t="s">
        <v>2069</v>
      </c>
      <c r="B1115" s="52" t="s">
        <v>5556</v>
      </c>
      <c r="C1115" s="52" t="s">
        <v>618</v>
      </c>
    </row>
    <row r="1116" spans="1:3" hidden="1" x14ac:dyDescent="0.25">
      <c r="A1116" s="52" t="s">
        <v>2070</v>
      </c>
      <c r="B1116" s="52" t="s">
        <v>5557</v>
      </c>
      <c r="C1116" s="52" t="s">
        <v>618</v>
      </c>
    </row>
    <row r="1117" spans="1:3" hidden="1" x14ac:dyDescent="0.25">
      <c r="A1117" s="52" t="s">
        <v>2071</v>
      </c>
      <c r="B1117" s="52" t="s">
        <v>5558</v>
      </c>
      <c r="C1117" s="52" t="s">
        <v>618</v>
      </c>
    </row>
    <row r="1118" spans="1:3" hidden="1" x14ac:dyDescent="0.25">
      <c r="A1118" s="52" t="s">
        <v>2072</v>
      </c>
      <c r="B1118" s="52" t="s">
        <v>5559</v>
      </c>
      <c r="C1118" s="52" t="s">
        <v>618</v>
      </c>
    </row>
    <row r="1119" spans="1:3" hidden="1" x14ac:dyDescent="0.25">
      <c r="A1119" s="52" t="s">
        <v>2073</v>
      </c>
      <c r="B1119" s="52" t="s">
        <v>5560</v>
      </c>
      <c r="C1119" s="52" t="s">
        <v>618</v>
      </c>
    </row>
    <row r="1120" spans="1:3" hidden="1" x14ac:dyDescent="0.25">
      <c r="A1120" s="52" t="s">
        <v>2074</v>
      </c>
      <c r="B1120" s="52" t="s">
        <v>5561</v>
      </c>
      <c r="C1120" s="52" t="s">
        <v>618</v>
      </c>
    </row>
    <row r="1121" spans="1:3" hidden="1" x14ac:dyDescent="0.25">
      <c r="A1121" s="52" t="s">
        <v>2075</v>
      </c>
      <c r="B1121" s="52" t="s">
        <v>4978</v>
      </c>
      <c r="C1121" s="52" t="s">
        <v>618</v>
      </c>
    </row>
    <row r="1122" spans="1:3" hidden="1" x14ac:dyDescent="0.25">
      <c r="A1122" s="52" t="s">
        <v>2076</v>
      </c>
      <c r="B1122" s="52" t="s">
        <v>5562</v>
      </c>
      <c r="C1122" s="52" t="s">
        <v>618</v>
      </c>
    </row>
    <row r="1123" spans="1:3" hidden="1" x14ac:dyDescent="0.25">
      <c r="A1123" s="52" t="s">
        <v>2077</v>
      </c>
      <c r="B1123" s="52" t="s">
        <v>5563</v>
      </c>
      <c r="C1123" s="52" t="s">
        <v>618</v>
      </c>
    </row>
    <row r="1124" spans="1:3" hidden="1" x14ac:dyDescent="0.25">
      <c r="A1124" s="52" t="s">
        <v>2078</v>
      </c>
      <c r="B1124" s="52" t="s">
        <v>5564</v>
      </c>
      <c r="C1124" s="52" t="s">
        <v>618</v>
      </c>
    </row>
    <row r="1125" spans="1:3" hidden="1" x14ac:dyDescent="0.25">
      <c r="A1125" s="52" t="s">
        <v>2079</v>
      </c>
      <c r="B1125" s="52" t="s">
        <v>5565</v>
      </c>
      <c r="C1125" s="52" t="s">
        <v>618</v>
      </c>
    </row>
    <row r="1126" spans="1:3" hidden="1" x14ac:dyDescent="0.25">
      <c r="A1126" s="52" t="s">
        <v>2080</v>
      </c>
      <c r="B1126" s="52" t="s">
        <v>5566</v>
      </c>
      <c r="C1126" s="52" t="s">
        <v>618</v>
      </c>
    </row>
    <row r="1127" spans="1:3" hidden="1" x14ac:dyDescent="0.25">
      <c r="A1127" s="52" t="s">
        <v>2081</v>
      </c>
      <c r="B1127" s="52" t="s">
        <v>5567</v>
      </c>
      <c r="C1127" s="52" t="s">
        <v>618</v>
      </c>
    </row>
    <row r="1128" spans="1:3" hidden="1" x14ac:dyDescent="0.25">
      <c r="A1128" s="52" t="s">
        <v>2082</v>
      </c>
      <c r="B1128" s="52" t="s">
        <v>5368</v>
      </c>
      <c r="C1128" s="52" t="s">
        <v>618</v>
      </c>
    </row>
    <row r="1129" spans="1:3" hidden="1" x14ac:dyDescent="0.25">
      <c r="A1129" s="52" t="s">
        <v>2083</v>
      </c>
      <c r="B1129" s="52" t="s">
        <v>5568</v>
      </c>
      <c r="C1129" s="52" t="s">
        <v>618</v>
      </c>
    </row>
    <row r="1130" spans="1:3" hidden="1" x14ac:dyDescent="0.25">
      <c r="A1130" s="52" t="s">
        <v>2084</v>
      </c>
      <c r="B1130" s="52" t="s">
        <v>5569</v>
      </c>
      <c r="C1130" s="52" t="s">
        <v>618</v>
      </c>
    </row>
    <row r="1131" spans="1:3" hidden="1" x14ac:dyDescent="0.25">
      <c r="A1131" s="52" t="s">
        <v>2085</v>
      </c>
      <c r="B1131" s="52" t="s">
        <v>5570</v>
      </c>
      <c r="C1131" s="52" t="s">
        <v>618</v>
      </c>
    </row>
    <row r="1132" spans="1:3" hidden="1" x14ac:dyDescent="0.25">
      <c r="A1132" s="52" t="s">
        <v>2086</v>
      </c>
      <c r="B1132" s="52" t="s">
        <v>1064</v>
      </c>
      <c r="C1132" s="52" t="s">
        <v>618</v>
      </c>
    </row>
    <row r="1133" spans="1:3" hidden="1" x14ac:dyDescent="0.25">
      <c r="A1133" s="52" t="s">
        <v>2087</v>
      </c>
      <c r="B1133" s="52" t="s">
        <v>1066</v>
      </c>
      <c r="C1133" s="52" t="s">
        <v>618</v>
      </c>
    </row>
    <row r="1134" spans="1:3" hidden="1" x14ac:dyDescent="0.25">
      <c r="A1134" s="52" t="s">
        <v>2088</v>
      </c>
      <c r="B1134" s="52" t="s">
        <v>5571</v>
      </c>
      <c r="C1134" s="52" t="s">
        <v>618</v>
      </c>
    </row>
    <row r="1135" spans="1:3" hidden="1" x14ac:dyDescent="0.25">
      <c r="A1135" s="52" t="s">
        <v>2089</v>
      </c>
      <c r="B1135" s="52" t="s">
        <v>5572</v>
      </c>
      <c r="C1135" s="52" t="s">
        <v>618</v>
      </c>
    </row>
    <row r="1136" spans="1:3" hidden="1" x14ac:dyDescent="0.25">
      <c r="A1136" s="52" t="s">
        <v>2090</v>
      </c>
      <c r="B1136" s="52" t="s">
        <v>5573</v>
      </c>
      <c r="C1136" s="52" t="s">
        <v>618</v>
      </c>
    </row>
    <row r="1137" spans="1:3" hidden="1" x14ac:dyDescent="0.25">
      <c r="A1137" s="52" t="s">
        <v>2091</v>
      </c>
      <c r="B1137" s="52" t="s">
        <v>5574</v>
      </c>
      <c r="C1137" s="52" t="s">
        <v>618</v>
      </c>
    </row>
    <row r="1138" spans="1:3" hidden="1" x14ac:dyDescent="0.25">
      <c r="A1138" s="52" t="s">
        <v>2092</v>
      </c>
      <c r="B1138" s="52" t="s">
        <v>5575</v>
      </c>
      <c r="C1138" s="52" t="s">
        <v>618</v>
      </c>
    </row>
    <row r="1139" spans="1:3" hidden="1" x14ac:dyDescent="0.25">
      <c r="A1139" s="52" t="s">
        <v>2093</v>
      </c>
      <c r="B1139" s="52" t="s">
        <v>5576</v>
      </c>
      <c r="C1139" s="52" t="s">
        <v>618</v>
      </c>
    </row>
    <row r="1140" spans="1:3" hidden="1" x14ac:dyDescent="0.25">
      <c r="A1140" s="52" t="s">
        <v>2094</v>
      </c>
      <c r="B1140" s="52" t="s">
        <v>5577</v>
      </c>
      <c r="C1140" s="52" t="s">
        <v>618</v>
      </c>
    </row>
    <row r="1141" spans="1:3" hidden="1" x14ac:dyDescent="0.25">
      <c r="A1141" s="52" t="s">
        <v>2095</v>
      </c>
      <c r="B1141" s="52" t="s">
        <v>5578</v>
      </c>
      <c r="C1141" s="52" t="s">
        <v>618</v>
      </c>
    </row>
    <row r="1142" spans="1:3" hidden="1" x14ac:dyDescent="0.25">
      <c r="A1142" s="52" t="s">
        <v>2096</v>
      </c>
      <c r="B1142" s="52" t="s">
        <v>5579</v>
      </c>
      <c r="C1142" s="52" t="s">
        <v>618</v>
      </c>
    </row>
    <row r="1143" spans="1:3" hidden="1" x14ac:dyDescent="0.25">
      <c r="A1143" s="52" t="s">
        <v>2097</v>
      </c>
      <c r="B1143" s="52" t="s">
        <v>5580</v>
      </c>
      <c r="C1143" s="52" t="s">
        <v>618</v>
      </c>
    </row>
    <row r="1144" spans="1:3" hidden="1" x14ac:dyDescent="0.25">
      <c r="A1144" s="52" t="s">
        <v>2098</v>
      </c>
      <c r="B1144" s="52" t="s">
        <v>5581</v>
      </c>
      <c r="C1144" s="52" t="s">
        <v>618</v>
      </c>
    </row>
    <row r="1145" spans="1:3" hidden="1" x14ac:dyDescent="0.25">
      <c r="A1145" s="52" t="s">
        <v>2099</v>
      </c>
      <c r="B1145" s="52" t="s">
        <v>5582</v>
      </c>
      <c r="C1145" s="52" t="s">
        <v>618</v>
      </c>
    </row>
    <row r="1146" spans="1:3" hidden="1" x14ac:dyDescent="0.25">
      <c r="A1146" s="52" t="s">
        <v>2100</v>
      </c>
      <c r="B1146" s="52" t="s">
        <v>5583</v>
      </c>
      <c r="C1146" s="52" t="s">
        <v>618</v>
      </c>
    </row>
    <row r="1147" spans="1:3" hidden="1" x14ac:dyDescent="0.25">
      <c r="A1147" s="52" t="s">
        <v>2101</v>
      </c>
      <c r="B1147" s="52" t="s">
        <v>5584</v>
      </c>
      <c r="C1147" s="52" t="s">
        <v>618</v>
      </c>
    </row>
    <row r="1148" spans="1:3" hidden="1" x14ac:dyDescent="0.25">
      <c r="A1148" s="52" t="s">
        <v>2102</v>
      </c>
      <c r="B1148" s="52" t="s">
        <v>5585</v>
      </c>
      <c r="C1148" s="52" t="s">
        <v>618</v>
      </c>
    </row>
    <row r="1149" spans="1:3" hidden="1" x14ac:dyDescent="0.25">
      <c r="A1149" s="52" t="s">
        <v>2103</v>
      </c>
      <c r="B1149" s="52" t="s">
        <v>5586</v>
      </c>
      <c r="C1149" s="52" t="s">
        <v>618</v>
      </c>
    </row>
    <row r="1150" spans="1:3" hidden="1" x14ac:dyDescent="0.25">
      <c r="A1150" s="52" t="s">
        <v>2104</v>
      </c>
      <c r="B1150" s="52" t="s">
        <v>5587</v>
      </c>
      <c r="C1150" s="52" t="s">
        <v>618</v>
      </c>
    </row>
    <row r="1151" spans="1:3" hidden="1" x14ac:dyDescent="0.25">
      <c r="A1151" s="52" t="s">
        <v>2105</v>
      </c>
      <c r="B1151" s="52" t="s">
        <v>5588</v>
      </c>
      <c r="C1151" s="52" t="s">
        <v>618</v>
      </c>
    </row>
    <row r="1152" spans="1:3" hidden="1" x14ac:dyDescent="0.25">
      <c r="A1152" s="52" t="s">
        <v>2106</v>
      </c>
      <c r="B1152" s="52" t="s">
        <v>5589</v>
      </c>
      <c r="C1152" s="52" t="s">
        <v>618</v>
      </c>
    </row>
    <row r="1153" spans="1:3" hidden="1" x14ac:dyDescent="0.25">
      <c r="A1153" s="52" t="s">
        <v>2107</v>
      </c>
      <c r="B1153" s="52" t="s">
        <v>5590</v>
      </c>
      <c r="C1153" s="52" t="s">
        <v>618</v>
      </c>
    </row>
    <row r="1154" spans="1:3" hidden="1" x14ac:dyDescent="0.25">
      <c r="A1154" s="52" t="s">
        <v>2108</v>
      </c>
      <c r="B1154" s="52" t="s">
        <v>5591</v>
      </c>
      <c r="C1154" s="52" t="s">
        <v>618</v>
      </c>
    </row>
    <row r="1155" spans="1:3" hidden="1" x14ac:dyDescent="0.25">
      <c r="A1155" s="52" t="s">
        <v>2109</v>
      </c>
      <c r="B1155" s="52" t="s">
        <v>5592</v>
      </c>
      <c r="C1155" s="52" t="s">
        <v>618</v>
      </c>
    </row>
    <row r="1156" spans="1:3" hidden="1" x14ac:dyDescent="0.25">
      <c r="A1156" s="52" t="s">
        <v>2110</v>
      </c>
      <c r="B1156" s="52" t="s">
        <v>5498</v>
      </c>
      <c r="C1156" s="52" t="s">
        <v>618</v>
      </c>
    </row>
    <row r="1157" spans="1:3" hidden="1" x14ac:dyDescent="0.25">
      <c r="A1157" s="52" t="s">
        <v>2111</v>
      </c>
      <c r="B1157" s="52" t="s">
        <v>5593</v>
      </c>
      <c r="C1157" s="52" t="s">
        <v>618</v>
      </c>
    </row>
    <row r="1158" spans="1:3" hidden="1" x14ac:dyDescent="0.25">
      <c r="A1158" s="52" t="s">
        <v>2112</v>
      </c>
      <c r="B1158" s="52" t="s">
        <v>5594</v>
      </c>
      <c r="C1158" s="52" t="s">
        <v>618</v>
      </c>
    </row>
    <row r="1159" spans="1:3" hidden="1" x14ac:dyDescent="0.25">
      <c r="A1159" s="52" t="s">
        <v>2113</v>
      </c>
      <c r="B1159" s="52" t="s">
        <v>5595</v>
      </c>
      <c r="C1159" s="52" t="s">
        <v>618</v>
      </c>
    </row>
    <row r="1160" spans="1:3" hidden="1" x14ac:dyDescent="0.25">
      <c r="A1160" s="52" t="s">
        <v>2114</v>
      </c>
      <c r="B1160" s="52" t="s">
        <v>939</v>
      </c>
      <c r="C1160" s="52" t="s">
        <v>618</v>
      </c>
    </row>
    <row r="1161" spans="1:3" hidden="1" x14ac:dyDescent="0.25">
      <c r="A1161" s="52" t="s">
        <v>2115</v>
      </c>
      <c r="B1161" s="52" t="s">
        <v>4998</v>
      </c>
      <c r="C1161" s="52" t="s">
        <v>618</v>
      </c>
    </row>
    <row r="1162" spans="1:3" hidden="1" x14ac:dyDescent="0.25">
      <c r="A1162" s="52" t="s">
        <v>2116</v>
      </c>
      <c r="B1162" s="52" t="s">
        <v>5596</v>
      </c>
      <c r="C1162" s="52" t="s">
        <v>618</v>
      </c>
    </row>
    <row r="1163" spans="1:3" hidden="1" x14ac:dyDescent="0.25">
      <c r="A1163" s="52" t="s">
        <v>2117</v>
      </c>
      <c r="B1163" s="52" t="s">
        <v>5597</v>
      </c>
      <c r="C1163" s="52" t="s">
        <v>618</v>
      </c>
    </row>
    <row r="1164" spans="1:3" hidden="1" x14ac:dyDescent="0.25">
      <c r="A1164" s="52" t="s">
        <v>2118</v>
      </c>
      <c r="B1164" s="52" t="s">
        <v>1069</v>
      </c>
      <c r="C1164" s="52" t="s">
        <v>618</v>
      </c>
    </row>
    <row r="1165" spans="1:3" hidden="1" x14ac:dyDescent="0.25">
      <c r="A1165" s="52" t="s">
        <v>2119</v>
      </c>
      <c r="B1165" s="52" t="s">
        <v>1071</v>
      </c>
      <c r="C1165" s="52" t="s">
        <v>618</v>
      </c>
    </row>
    <row r="1166" spans="1:3" hidden="1" x14ac:dyDescent="0.25">
      <c r="A1166" s="52" t="s">
        <v>2120</v>
      </c>
      <c r="B1166" s="52" t="s">
        <v>1073</v>
      </c>
      <c r="C1166" s="52" t="s">
        <v>618</v>
      </c>
    </row>
    <row r="1167" spans="1:3" hidden="1" x14ac:dyDescent="0.25">
      <c r="A1167" s="52" t="s">
        <v>2121</v>
      </c>
      <c r="B1167" s="52" t="s">
        <v>1075</v>
      </c>
      <c r="C1167" s="52" t="s">
        <v>618</v>
      </c>
    </row>
    <row r="1168" spans="1:3" hidden="1" x14ac:dyDescent="0.25">
      <c r="A1168" s="52" t="s">
        <v>2122</v>
      </c>
      <c r="B1168" s="52" t="s">
        <v>5598</v>
      </c>
      <c r="C1168" s="52" t="s">
        <v>618</v>
      </c>
    </row>
    <row r="1169" spans="1:3" hidden="1" x14ac:dyDescent="0.25">
      <c r="A1169" s="52" t="s">
        <v>2123</v>
      </c>
      <c r="B1169" s="52" t="s">
        <v>5599</v>
      </c>
      <c r="C1169" s="52" t="s">
        <v>618</v>
      </c>
    </row>
    <row r="1170" spans="1:3" hidden="1" x14ac:dyDescent="0.25">
      <c r="A1170" s="52" t="s">
        <v>2124</v>
      </c>
      <c r="B1170" s="52" t="s">
        <v>5600</v>
      </c>
      <c r="C1170" s="52" t="s">
        <v>618</v>
      </c>
    </row>
    <row r="1171" spans="1:3" hidden="1" x14ac:dyDescent="0.25">
      <c r="A1171" s="52" t="s">
        <v>2125</v>
      </c>
      <c r="B1171" s="52" t="s">
        <v>5601</v>
      </c>
      <c r="C1171" s="52" t="s">
        <v>618</v>
      </c>
    </row>
    <row r="1172" spans="1:3" hidden="1" x14ac:dyDescent="0.25">
      <c r="A1172" s="52" t="s">
        <v>2126</v>
      </c>
      <c r="B1172" s="52" t="s">
        <v>5602</v>
      </c>
      <c r="C1172" s="52" t="s">
        <v>618</v>
      </c>
    </row>
    <row r="1173" spans="1:3" hidden="1" x14ac:dyDescent="0.25">
      <c r="A1173" s="52" t="s">
        <v>2127</v>
      </c>
      <c r="B1173" s="52" t="s">
        <v>5603</v>
      </c>
      <c r="C1173" s="52" t="s">
        <v>618</v>
      </c>
    </row>
    <row r="1174" spans="1:3" hidden="1" x14ac:dyDescent="0.25">
      <c r="A1174" s="52" t="s">
        <v>2128</v>
      </c>
      <c r="B1174" s="52" t="s">
        <v>5604</v>
      </c>
      <c r="C1174" s="52" t="s">
        <v>618</v>
      </c>
    </row>
    <row r="1175" spans="1:3" hidden="1" x14ac:dyDescent="0.25">
      <c r="A1175" s="52" t="s">
        <v>2129</v>
      </c>
      <c r="B1175" s="52" t="s">
        <v>1084</v>
      </c>
      <c r="C1175" s="52" t="s">
        <v>618</v>
      </c>
    </row>
    <row r="1176" spans="1:3" hidden="1" x14ac:dyDescent="0.25">
      <c r="A1176" s="52" t="s">
        <v>2130</v>
      </c>
      <c r="B1176" s="52" t="s">
        <v>1086</v>
      </c>
      <c r="C1176" s="52" t="s">
        <v>618</v>
      </c>
    </row>
    <row r="1177" spans="1:3" hidden="1" x14ac:dyDescent="0.25">
      <c r="A1177" s="52" t="s">
        <v>2131</v>
      </c>
      <c r="B1177" s="52" t="s">
        <v>1088</v>
      </c>
      <c r="C1177" s="52" t="s">
        <v>618</v>
      </c>
    </row>
    <row r="1178" spans="1:3" hidden="1" x14ac:dyDescent="0.25">
      <c r="A1178" s="52" t="s">
        <v>2132</v>
      </c>
      <c r="B1178" s="52" t="s">
        <v>1169</v>
      </c>
      <c r="C1178" s="52" t="s">
        <v>618</v>
      </c>
    </row>
    <row r="1179" spans="1:3" hidden="1" x14ac:dyDescent="0.25">
      <c r="A1179" s="52" t="s">
        <v>2133</v>
      </c>
      <c r="B1179" s="52" t="s">
        <v>1171</v>
      </c>
      <c r="C1179" s="52" t="s">
        <v>618</v>
      </c>
    </row>
    <row r="1180" spans="1:3" hidden="1" x14ac:dyDescent="0.25">
      <c r="A1180" s="52" t="s">
        <v>2134</v>
      </c>
      <c r="B1180" s="52" t="s">
        <v>1173</v>
      </c>
      <c r="C1180" s="52" t="s">
        <v>618</v>
      </c>
    </row>
    <row r="1181" spans="1:3" hidden="1" x14ac:dyDescent="0.25">
      <c r="A1181" s="52" t="s">
        <v>2135</v>
      </c>
      <c r="B1181" s="52" t="s">
        <v>1175</v>
      </c>
      <c r="C1181" s="52" t="s">
        <v>618</v>
      </c>
    </row>
    <row r="1182" spans="1:3" hidden="1" x14ac:dyDescent="0.25">
      <c r="A1182" s="52" t="s">
        <v>2136</v>
      </c>
      <c r="B1182" s="52" t="s">
        <v>5605</v>
      </c>
      <c r="C1182" s="52" t="s">
        <v>618</v>
      </c>
    </row>
    <row r="1183" spans="1:3" hidden="1" x14ac:dyDescent="0.25">
      <c r="A1183" s="52" t="s">
        <v>2137</v>
      </c>
      <c r="B1183" s="52" t="s">
        <v>1178</v>
      </c>
      <c r="C1183" s="52" t="s">
        <v>618</v>
      </c>
    </row>
    <row r="1184" spans="1:3" hidden="1" x14ac:dyDescent="0.25">
      <c r="A1184" s="52" t="s">
        <v>2138</v>
      </c>
      <c r="B1184" s="52" t="s">
        <v>1022</v>
      </c>
      <c r="C1184" s="52" t="s">
        <v>618</v>
      </c>
    </row>
    <row r="1185" spans="1:3" hidden="1" x14ac:dyDescent="0.25">
      <c r="A1185" s="52" t="s">
        <v>2139</v>
      </c>
      <c r="B1185" s="52" t="s">
        <v>5606</v>
      </c>
      <c r="C1185" s="52" t="s">
        <v>618</v>
      </c>
    </row>
    <row r="1186" spans="1:3" hidden="1" x14ac:dyDescent="0.25">
      <c r="A1186" s="52" t="s">
        <v>2140</v>
      </c>
      <c r="B1186" s="52" t="s">
        <v>5027</v>
      </c>
      <c r="C1186" s="52" t="s">
        <v>618</v>
      </c>
    </row>
    <row r="1187" spans="1:3" hidden="1" x14ac:dyDescent="0.25">
      <c r="A1187" s="52" t="s">
        <v>2141</v>
      </c>
      <c r="B1187" s="52" t="s">
        <v>5607</v>
      </c>
      <c r="C1187" s="52" t="s">
        <v>618</v>
      </c>
    </row>
    <row r="1188" spans="1:3" hidden="1" x14ac:dyDescent="0.25">
      <c r="A1188" s="52" t="s">
        <v>2142</v>
      </c>
      <c r="B1188" s="52" t="s">
        <v>5608</v>
      </c>
      <c r="C1188" s="52" t="s">
        <v>618</v>
      </c>
    </row>
    <row r="1189" spans="1:3" hidden="1" x14ac:dyDescent="0.25">
      <c r="A1189" s="52" t="s">
        <v>2143</v>
      </c>
      <c r="B1189" s="52" t="s">
        <v>5609</v>
      </c>
      <c r="C1189" s="52" t="s">
        <v>618</v>
      </c>
    </row>
    <row r="1190" spans="1:3" hidden="1" x14ac:dyDescent="0.25">
      <c r="A1190" s="52" t="s">
        <v>2144</v>
      </c>
      <c r="B1190" s="52" t="s">
        <v>5610</v>
      </c>
      <c r="C1190" s="52" t="s">
        <v>618</v>
      </c>
    </row>
    <row r="1191" spans="1:3" hidden="1" x14ac:dyDescent="0.25">
      <c r="A1191" s="52" t="s">
        <v>2145</v>
      </c>
      <c r="B1191" s="52" t="s">
        <v>1030</v>
      </c>
      <c r="C1191" s="52" t="s">
        <v>618</v>
      </c>
    </row>
    <row r="1192" spans="1:3" hidden="1" x14ac:dyDescent="0.25">
      <c r="A1192" s="52" t="s">
        <v>2146</v>
      </c>
      <c r="B1192" s="52" t="s">
        <v>5611</v>
      </c>
      <c r="C1192" s="52" t="s">
        <v>618</v>
      </c>
    </row>
    <row r="1193" spans="1:3" hidden="1" x14ac:dyDescent="0.25">
      <c r="A1193" s="52" t="s">
        <v>2147</v>
      </c>
      <c r="B1193" s="52" t="s">
        <v>5612</v>
      </c>
      <c r="C1193" s="52" t="s">
        <v>618</v>
      </c>
    </row>
    <row r="1194" spans="1:3" hidden="1" x14ac:dyDescent="0.25">
      <c r="A1194" s="52" t="s">
        <v>2148</v>
      </c>
      <c r="B1194" s="52" t="s">
        <v>1034</v>
      </c>
      <c r="C1194" s="52" t="s">
        <v>618</v>
      </c>
    </row>
    <row r="1195" spans="1:3" hidden="1" x14ac:dyDescent="0.25">
      <c r="A1195" s="52" t="s">
        <v>2149</v>
      </c>
      <c r="B1195" s="52" t="s">
        <v>1036</v>
      </c>
      <c r="C1195" s="52" t="s">
        <v>618</v>
      </c>
    </row>
    <row r="1196" spans="1:3" hidden="1" x14ac:dyDescent="0.25">
      <c r="A1196" s="52" t="s">
        <v>2150</v>
      </c>
      <c r="B1196" s="52" t="s">
        <v>1090</v>
      </c>
      <c r="C1196" s="52" t="s">
        <v>618</v>
      </c>
    </row>
    <row r="1197" spans="1:3" hidden="1" x14ac:dyDescent="0.25">
      <c r="A1197" s="52" t="s">
        <v>2151</v>
      </c>
      <c r="B1197" s="52" t="s">
        <v>5522</v>
      </c>
      <c r="C1197" s="52" t="s">
        <v>618</v>
      </c>
    </row>
    <row r="1198" spans="1:3" hidden="1" x14ac:dyDescent="0.25">
      <c r="A1198" s="52" t="s">
        <v>2152</v>
      </c>
      <c r="B1198" s="52" t="s">
        <v>1093</v>
      </c>
      <c r="C1198" s="52" t="s">
        <v>618</v>
      </c>
    </row>
    <row r="1199" spans="1:3" hidden="1" x14ac:dyDescent="0.25">
      <c r="A1199" s="52" t="s">
        <v>2153</v>
      </c>
      <c r="B1199" s="52" t="s">
        <v>1095</v>
      </c>
      <c r="C1199" s="52" t="s">
        <v>618</v>
      </c>
    </row>
    <row r="1200" spans="1:3" hidden="1" x14ac:dyDescent="0.25">
      <c r="A1200" s="52" t="s">
        <v>2154</v>
      </c>
      <c r="B1200" s="52" t="s">
        <v>1097</v>
      </c>
      <c r="C1200" s="52" t="s">
        <v>618</v>
      </c>
    </row>
    <row r="1201" spans="1:3" hidden="1" x14ac:dyDescent="0.25">
      <c r="A1201" s="52" t="s">
        <v>2155</v>
      </c>
      <c r="B1201" s="52" t="s">
        <v>1099</v>
      </c>
      <c r="C1201" s="52" t="s">
        <v>618</v>
      </c>
    </row>
    <row r="1202" spans="1:3" hidden="1" x14ac:dyDescent="0.25">
      <c r="A1202" s="52" t="s">
        <v>2156</v>
      </c>
      <c r="B1202" s="52" t="s">
        <v>5613</v>
      </c>
      <c r="C1202" s="52" t="s">
        <v>618</v>
      </c>
    </row>
    <row r="1203" spans="1:3" hidden="1" x14ac:dyDescent="0.25">
      <c r="A1203" s="52" t="s">
        <v>2157</v>
      </c>
      <c r="B1203" s="52" t="s">
        <v>1042</v>
      </c>
      <c r="C1203" s="52" t="s">
        <v>618</v>
      </c>
    </row>
    <row r="1204" spans="1:3" hidden="1" x14ac:dyDescent="0.25">
      <c r="A1204" s="52" t="s">
        <v>2158</v>
      </c>
      <c r="B1204" s="52" t="s">
        <v>1044</v>
      </c>
      <c r="C1204" s="52" t="s">
        <v>618</v>
      </c>
    </row>
    <row r="1205" spans="1:3" hidden="1" x14ac:dyDescent="0.25">
      <c r="A1205" s="52" t="s">
        <v>2159</v>
      </c>
      <c r="B1205" s="52" t="s">
        <v>1046</v>
      </c>
      <c r="C1205" s="52" t="s">
        <v>618</v>
      </c>
    </row>
    <row r="1206" spans="1:3" hidden="1" x14ac:dyDescent="0.25">
      <c r="A1206" s="52" t="s">
        <v>2160</v>
      </c>
      <c r="B1206" s="52" t="s">
        <v>1048</v>
      </c>
      <c r="C1206" s="52" t="s">
        <v>618</v>
      </c>
    </row>
    <row r="1207" spans="1:3" hidden="1" x14ac:dyDescent="0.25">
      <c r="A1207" s="52" t="s">
        <v>2161</v>
      </c>
      <c r="B1207" s="52" t="s">
        <v>1050</v>
      </c>
      <c r="C1207" s="52" t="s">
        <v>618</v>
      </c>
    </row>
    <row r="1208" spans="1:3" hidden="1" x14ac:dyDescent="0.25">
      <c r="A1208" s="52" t="s">
        <v>2162</v>
      </c>
      <c r="B1208" s="52" t="s">
        <v>1052</v>
      </c>
      <c r="C1208" s="52" t="s">
        <v>618</v>
      </c>
    </row>
    <row r="1209" spans="1:3" hidden="1" x14ac:dyDescent="0.25">
      <c r="A1209" s="52" t="s">
        <v>2163</v>
      </c>
      <c r="B1209" s="52" t="s">
        <v>5614</v>
      </c>
      <c r="C1209" s="52" t="s">
        <v>618</v>
      </c>
    </row>
    <row r="1210" spans="1:3" hidden="1" x14ac:dyDescent="0.25">
      <c r="A1210" s="52" t="s">
        <v>2164</v>
      </c>
      <c r="B1210" s="52" t="s">
        <v>5615</v>
      </c>
      <c r="C1210" s="52" t="s">
        <v>618</v>
      </c>
    </row>
    <row r="1211" spans="1:3" hidden="1" x14ac:dyDescent="0.25">
      <c r="A1211" s="52" t="s">
        <v>2165</v>
      </c>
      <c r="B1211" s="52" t="s">
        <v>1101</v>
      </c>
      <c r="C1211" s="52" t="s">
        <v>618</v>
      </c>
    </row>
    <row r="1212" spans="1:3" hidden="1" x14ac:dyDescent="0.25">
      <c r="A1212" s="52" t="s">
        <v>2166</v>
      </c>
      <c r="B1212" s="52" t="s">
        <v>5616</v>
      </c>
      <c r="C1212" s="52" t="s">
        <v>618</v>
      </c>
    </row>
    <row r="1213" spans="1:3" hidden="1" x14ac:dyDescent="0.25">
      <c r="A1213" s="52" t="s">
        <v>2167</v>
      </c>
      <c r="B1213" s="52" t="s">
        <v>1104</v>
      </c>
      <c r="C1213" s="52" t="s">
        <v>618</v>
      </c>
    </row>
    <row r="1214" spans="1:3" hidden="1" x14ac:dyDescent="0.25">
      <c r="A1214" s="52" t="s">
        <v>2168</v>
      </c>
      <c r="B1214" s="52" t="s">
        <v>1106</v>
      </c>
      <c r="C1214" s="52" t="s">
        <v>618</v>
      </c>
    </row>
    <row r="1215" spans="1:3" hidden="1" x14ac:dyDescent="0.25">
      <c r="A1215" s="52" t="s">
        <v>2169</v>
      </c>
      <c r="B1215" s="52" t="s">
        <v>5617</v>
      </c>
      <c r="C1215" s="52" t="s">
        <v>618</v>
      </c>
    </row>
    <row r="1216" spans="1:3" hidden="1" x14ac:dyDescent="0.25">
      <c r="A1216" s="52" t="s">
        <v>2170</v>
      </c>
      <c r="B1216" s="52" t="s">
        <v>4738</v>
      </c>
      <c r="C1216" s="52" t="s">
        <v>618</v>
      </c>
    </row>
    <row r="1217" spans="1:3" hidden="1" x14ac:dyDescent="0.25">
      <c r="A1217" s="52" t="s">
        <v>2171</v>
      </c>
      <c r="B1217" s="52" t="s">
        <v>1110</v>
      </c>
      <c r="C1217" s="52" t="s">
        <v>618</v>
      </c>
    </row>
    <row r="1218" spans="1:3" hidden="1" x14ac:dyDescent="0.25">
      <c r="A1218" s="52" t="s">
        <v>2172</v>
      </c>
      <c r="B1218" s="52" t="s">
        <v>1112</v>
      </c>
      <c r="C1218" s="52" t="s">
        <v>618</v>
      </c>
    </row>
    <row r="1219" spans="1:3" hidden="1" x14ac:dyDescent="0.25">
      <c r="A1219" s="52" t="s">
        <v>2173</v>
      </c>
      <c r="B1219" s="52" t="s">
        <v>4946</v>
      </c>
      <c r="C1219" s="52" t="s">
        <v>618</v>
      </c>
    </row>
    <row r="1220" spans="1:3" hidden="1" x14ac:dyDescent="0.25">
      <c r="A1220" s="52" t="s">
        <v>2174</v>
      </c>
      <c r="B1220" s="52" t="s">
        <v>5618</v>
      </c>
      <c r="C1220" s="52" t="s">
        <v>618</v>
      </c>
    </row>
    <row r="1221" spans="1:3" hidden="1" x14ac:dyDescent="0.25">
      <c r="A1221" s="52" t="s">
        <v>2175</v>
      </c>
      <c r="B1221" s="52" t="s">
        <v>5531</v>
      </c>
      <c r="C1221" s="52" t="s">
        <v>618</v>
      </c>
    </row>
    <row r="1222" spans="1:3" hidden="1" x14ac:dyDescent="0.25">
      <c r="A1222" s="52" t="s">
        <v>2176</v>
      </c>
      <c r="B1222" s="52" t="s">
        <v>5436</v>
      </c>
      <c r="C1222" s="52" t="s">
        <v>618</v>
      </c>
    </row>
    <row r="1223" spans="1:3" hidden="1" x14ac:dyDescent="0.25">
      <c r="A1223" s="52" t="s">
        <v>2177</v>
      </c>
      <c r="B1223" s="52" t="s">
        <v>5619</v>
      </c>
      <c r="C1223" s="52" t="s">
        <v>618</v>
      </c>
    </row>
    <row r="1224" spans="1:3" hidden="1" x14ac:dyDescent="0.25">
      <c r="A1224" s="52" t="s">
        <v>2178</v>
      </c>
      <c r="B1224" s="52" t="s">
        <v>5620</v>
      </c>
      <c r="C1224" s="52" t="s">
        <v>618</v>
      </c>
    </row>
    <row r="1225" spans="1:3" hidden="1" x14ac:dyDescent="0.25">
      <c r="A1225" s="52" t="s">
        <v>2179</v>
      </c>
      <c r="B1225" s="52" t="s">
        <v>5621</v>
      </c>
      <c r="C1225" s="52" t="s">
        <v>618</v>
      </c>
    </row>
    <row r="1226" spans="1:3" hidden="1" x14ac:dyDescent="0.25">
      <c r="A1226" s="52" t="s">
        <v>2180</v>
      </c>
      <c r="B1226" s="52" t="s">
        <v>5622</v>
      </c>
      <c r="C1226" s="52" t="s">
        <v>618</v>
      </c>
    </row>
    <row r="1227" spans="1:3" hidden="1" x14ac:dyDescent="0.25">
      <c r="A1227" s="52" t="s">
        <v>2181</v>
      </c>
      <c r="B1227" s="52" t="s">
        <v>5623</v>
      </c>
      <c r="C1227" s="52" t="s">
        <v>618</v>
      </c>
    </row>
    <row r="1228" spans="1:3" hidden="1" x14ac:dyDescent="0.25">
      <c r="A1228" s="52" t="s">
        <v>2182</v>
      </c>
      <c r="B1228" s="52" t="s">
        <v>5624</v>
      </c>
      <c r="C1228" s="52" t="s">
        <v>618</v>
      </c>
    </row>
    <row r="1229" spans="1:3" hidden="1" x14ac:dyDescent="0.25">
      <c r="A1229" s="52" t="s">
        <v>2183</v>
      </c>
      <c r="B1229" s="52" t="s">
        <v>5625</v>
      </c>
      <c r="C1229" s="52" t="s">
        <v>618</v>
      </c>
    </row>
    <row r="1230" spans="1:3" hidden="1" x14ac:dyDescent="0.25">
      <c r="A1230" s="52" t="s">
        <v>2184</v>
      </c>
      <c r="B1230" s="52" t="s">
        <v>5626</v>
      </c>
      <c r="C1230" s="52" t="s">
        <v>618</v>
      </c>
    </row>
    <row r="1231" spans="1:3" hidden="1" x14ac:dyDescent="0.25">
      <c r="A1231" s="52" t="s">
        <v>2185</v>
      </c>
      <c r="B1231" s="52" t="s">
        <v>5627</v>
      </c>
      <c r="C1231" s="52" t="s">
        <v>618</v>
      </c>
    </row>
    <row r="1232" spans="1:3" hidden="1" x14ac:dyDescent="0.25">
      <c r="A1232" s="52" t="s">
        <v>2186</v>
      </c>
      <c r="B1232" s="52" t="s">
        <v>5628</v>
      </c>
      <c r="C1232" s="52" t="s">
        <v>618</v>
      </c>
    </row>
    <row r="1233" spans="1:3" hidden="1" x14ac:dyDescent="0.25">
      <c r="A1233" s="52" t="s">
        <v>2187</v>
      </c>
      <c r="B1233" s="52" t="s">
        <v>5629</v>
      </c>
      <c r="C1233" s="52" t="s">
        <v>618</v>
      </c>
    </row>
    <row r="1234" spans="1:3" hidden="1" x14ac:dyDescent="0.25">
      <c r="A1234" s="52" t="s">
        <v>2188</v>
      </c>
      <c r="B1234" s="52" t="s">
        <v>5630</v>
      </c>
      <c r="C1234" s="52" t="s">
        <v>618</v>
      </c>
    </row>
    <row r="1235" spans="1:3" hidden="1" x14ac:dyDescent="0.25">
      <c r="A1235" s="52" t="s">
        <v>2189</v>
      </c>
      <c r="B1235" s="52" t="s">
        <v>5631</v>
      </c>
      <c r="C1235" s="52" t="s">
        <v>618</v>
      </c>
    </row>
    <row r="1236" spans="1:3" hidden="1" x14ac:dyDescent="0.25">
      <c r="A1236" s="52" t="s">
        <v>2190</v>
      </c>
      <c r="B1236" s="52" t="s">
        <v>1016</v>
      </c>
      <c r="C1236" s="52" t="s">
        <v>618</v>
      </c>
    </row>
    <row r="1237" spans="1:3" hidden="1" x14ac:dyDescent="0.25">
      <c r="A1237" s="52" t="s">
        <v>2191</v>
      </c>
      <c r="B1237" s="52" t="s">
        <v>4751</v>
      </c>
      <c r="C1237" s="52" t="s">
        <v>618</v>
      </c>
    </row>
    <row r="1238" spans="1:3" hidden="1" x14ac:dyDescent="0.25">
      <c r="A1238" s="52" t="s">
        <v>2192</v>
      </c>
      <c r="B1238" s="52" t="s">
        <v>1057</v>
      </c>
      <c r="C1238" s="52" t="s">
        <v>618</v>
      </c>
    </row>
    <row r="1239" spans="1:3" hidden="1" x14ac:dyDescent="0.25">
      <c r="A1239" s="52" t="s">
        <v>2193</v>
      </c>
      <c r="B1239" s="52" t="s">
        <v>4754</v>
      </c>
      <c r="C1239" s="52" t="s">
        <v>618</v>
      </c>
    </row>
    <row r="1240" spans="1:3" hidden="1" x14ac:dyDescent="0.25">
      <c r="A1240" s="52" t="s">
        <v>2194</v>
      </c>
      <c r="B1240" s="52" t="s">
        <v>1060</v>
      </c>
      <c r="C1240" s="52" t="s">
        <v>618</v>
      </c>
    </row>
    <row r="1241" spans="1:3" hidden="1" x14ac:dyDescent="0.25">
      <c r="A1241" s="52" t="s">
        <v>2195</v>
      </c>
      <c r="B1241" s="52" t="s">
        <v>1062</v>
      </c>
      <c r="C1241" s="52" t="s">
        <v>618</v>
      </c>
    </row>
    <row r="1242" spans="1:3" hidden="1" x14ac:dyDescent="0.25">
      <c r="A1242" s="52" t="s">
        <v>2196</v>
      </c>
      <c r="B1242" s="52" t="s">
        <v>5632</v>
      </c>
      <c r="C1242" s="52" t="s">
        <v>705</v>
      </c>
    </row>
    <row r="1243" spans="1:3" hidden="1" x14ac:dyDescent="0.25">
      <c r="A1243" s="52" t="s">
        <v>2197</v>
      </c>
      <c r="B1243" s="52" t="s">
        <v>5633</v>
      </c>
      <c r="C1243" s="52" t="s">
        <v>705</v>
      </c>
    </row>
    <row r="1244" spans="1:3" hidden="1" x14ac:dyDescent="0.25">
      <c r="A1244" s="52" t="s">
        <v>2198</v>
      </c>
      <c r="B1244" s="52" t="s">
        <v>5634</v>
      </c>
      <c r="C1244" s="52" t="s">
        <v>705</v>
      </c>
    </row>
    <row r="1245" spans="1:3" hidden="1" x14ac:dyDescent="0.25">
      <c r="A1245" s="52" t="s">
        <v>2199</v>
      </c>
      <c r="B1245" s="52" t="s">
        <v>5635</v>
      </c>
      <c r="C1245" s="52" t="s">
        <v>705</v>
      </c>
    </row>
    <row r="1246" spans="1:3" hidden="1" x14ac:dyDescent="0.25">
      <c r="A1246" s="52" t="s">
        <v>2200</v>
      </c>
      <c r="B1246" s="52" t="s">
        <v>5636</v>
      </c>
      <c r="C1246" s="52" t="s">
        <v>705</v>
      </c>
    </row>
    <row r="1247" spans="1:3" hidden="1" x14ac:dyDescent="0.25">
      <c r="A1247" s="52" t="s">
        <v>2201</v>
      </c>
      <c r="B1247" s="52" t="s">
        <v>5637</v>
      </c>
      <c r="C1247" s="52" t="s">
        <v>705</v>
      </c>
    </row>
    <row r="1248" spans="1:3" hidden="1" x14ac:dyDescent="0.25">
      <c r="A1248" s="52" t="s">
        <v>2202</v>
      </c>
      <c r="B1248" s="52" t="s">
        <v>5638</v>
      </c>
      <c r="C1248" s="52" t="s">
        <v>705</v>
      </c>
    </row>
    <row r="1249" spans="1:3" hidden="1" x14ac:dyDescent="0.25">
      <c r="A1249" s="52" t="s">
        <v>2203</v>
      </c>
      <c r="B1249" s="52" t="s">
        <v>5639</v>
      </c>
      <c r="C1249" s="52" t="s">
        <v>705</v>
      </c>
    </row>
    <row r="1250" spans="1:3" hidden="1" x14ac:dyDescent="0.25">
      <c r="A1250" s="52" t="s">
        <v>2204</v>
      </c>
      <c r="B1250" s="52" t="s">
        <v>5640</v>
      </c>
      <c r="C1250" s="52" t="s">
        <v>705</v>
      </c>
    </row>
    <row r="1251" spans="1:3" hidden="1" x14ac:dyDescent="0.25">
      <c r="A1251" s="52" t="s">
        <v>2205</v>
      </c>
      <c r="B1251" s="52" t="s">
        <v>5641</v>
      </c>
      <c r="C1251" s="52" t="s">
        <v>705</v>
      </c>
    </row>
    <row r="1252" spans="1:3" hidden="1" x14ac:dyDescent="0.25">
      <c r="A1252" s="52" t="s">
        <v>2206</v>
      </c>
      <c r="B1252" s="52" t="s">
        <v>5642</v>
      </c>
      <c r="C1252" s="52" t="s">
        <v>705</v>
      </c>
    </row>
    <row r="1253" spans="1:3" hidden="1" x14ac:dyDescent="0.25">
      <c r="A1253" s="52" t="s">
        <v>2207</v>
      </c>
      <c r="B1253" s="52" t="s">
        <v>5643</v>
      </c>
      <c r="C1253" s="52" t="s">
        <v>705</v>
      </c>
    </row>
    <row r="1254" spans="1:3" hidden="1" x14ac:dyDescent="0.25">
      <c r="A1254" s="52" t="s">
        <v>2208</v>
      </c>
      <c r="B1254" s="52" t="s">
        <v>5644</v>
      </c>
      <c r="C1254" s="52" t="s">
        <v>705</v>
      </c>
    </row>
    <row r="1255" spans="1:3" hidden="1" x14ac:dyDescent="0.25">
      <c r="A1255" s="52" t="s">
        <v>2209</v>
      </c>
      <c r="B1255" s="52" t="s">
        <v>5645</v>
      </c>
      <c r="C1255" s="52" t="s">
        <v>705</v>
      </c>
    </row>
    <row r="1256" spans="1:3" hidden="1" x14ac:dyDescent="0.25">
      <c r="A1256" s="52" t="s">
        <v>2210</v>
      </c>
      <c r="B1256" s="52" t="s">
        <v>5646</v>
      </c>
      <c r="C1256" s="52" t="s">
        <v>705</v>
      </c>
    </row>
    <row r="1257" spans="1:3" hidden="1" x14ac:dyDescent="0.25">
      <c r="A1257" s="52" t="s">
        <v>2211</v>
      </c>
      <c r="B1257" s="52" t="s">
        <v>5647</v>
      </c>
      <c r="C1257" s="52" t="s">
        <v>705</v>
      </c>
    </row>
    <row r="1258" spans="1:3" hidden="1" x14ac:dyDescent="0.25">
      <c r="A1258" s="52" t="s">
        <v>2212</v>
      </c>
      <c r="B1258" s="52" t="s">
        <v>5648</v>
      </c>
      <c r="C1258" s="52" t="s">
        <v>705</v>
      </c>
    </row>
    <row r="1259" spans="1:3" hidden="1" x14ac:dyDescent="0.25">
      <c r="A1259" s="52" t="s">
        <v>2213</v>
      </c>
      <c r="B1259" s="52" t="s">
        <v>5649</v>
      </c>
      <c r="C1259" s="52" t="s">
        <v>705</v>
      </c>
    </row>
    <row r="1260" spans="1:3" hidden="1" x14ac:dyDescent="0.25">
      <c r="A1260" s="52" t="s">
        <v>2214</v>
      </c>
      <c r="B1260" s="52" t="s">
        <v>5650</v>
      </c>
      <c r="C1260" s="52" t="s">
        <v>705</v>
      </c>
    </row>
    <row r="1261" spans="1:3" hidden="1" x14ac:dyDescent="0.25">
      <c r="A1261" s="52" t="s">
        <v>2215</v>
      </c>
      <c r="B1261" s="52" t="s">
        <v>5651</v>
      </c>
      <c r="C1261" s="52" t="s">
        <v>705</v>
      </c>
    </row>
    <row r="1262" spans="1:3" hidden="1" x14ac:dyDescent="0.25">
      <c r="A1262" s="52" t="s">
        <v>2216</v>
      </c>
      <c r="B1262" s="52" t="s">
        <v>5652</v>
      </c>
      <c r="C1262" s="52" t="s">
        <v>705</v>
      </c>
    </row>
    <row r="1263" spans="1:3" hidden="1" x14ac:dyDescent="0.25">
      <c r="A1263" s="52" t="s">
        <v>2217</v>
      </c>
      <c r="B1263" s="52" t="s">
        <v>5653</v>
      </c>
      <c r="C1263" s="52" t="s">
        <v>705</v>
      </c>
    </row>
    <row r="1264" spans="1:3" hidden="1" x14ac:dyDescent="0.25">
      <c r="A1264" s="52" t="s">
        <v>2218</v>
      </c>
      <c r="B1264" s="52" t="s">
        <v>5654</v>
      </c>
      <c r="C1264" s="52" t="s">
        <v>705</v>
      </c>
    </row>
    <row r="1265" spans="1:3" hidden="1" x14ac:dyDescent="0.25">
      <c r="A1265" s="52" t="s">
        <v>2219</v>
      </c>
      <c r="B1265" s="52" t="s">
        <v>5655</v>
      </c>
      <c r="C1265" s="52" t="s">
        <v>705</v>
      </c>
    </row>
    <row r="1266" spans="1:3" hidden="1" x14ac:dyDescent="0.25">
      <c r="A1266" s="52" t="s">
        <v>2220</v>
      </c>
      <c r="B1266" s="52" t="s">
        <v>5656</v>
      </c>
      <c r="C1266" s="52" t="s">
        <v>705</v>
      </c>
    </row>
    <row r="1267" spans="1:3" hidden="1" x14ac:dyDescent="0.25">
      <c r="A1267" s="52" t="s">
        <v>2221</v>
      </c>
      <c r="B1267" s="52" t="s">
        <v>5657</v>
      </c>
      <c r="C1267" s="52" t="s">
        <v>705</v>
      </c>
    </row>
    <row r="1268" spans="1:3" hidden="1" x14ac:dyDescent="0.25">
      <c r="A1268" s="52" t="s">
        <v>2222</v>
      </c>
      <c r="B1268" s="52" t="s">
        <v>5658</v>
      </c>
      <c r="C1268" s="52" t="s">
        <v>705</v>
      </c>
    </row>
    <row r="1269" spans="1:3" hidden="1" x14ac:dyDescent="0.25">
      <c r="A1269" s="52" t="s">
        <v>2223</v>
      </c>
      <c r="B1269" s="52" t="s">
        <v>5659</v>
      </c>
      <c r="C1269" s="52" t="s">
        <v>705</v>
      </c>
    </row>
    <row r="1270" spans="1:3" hidden="1" x14ac:dyDescent="0.25">
      <c r="A1270" s="52" t="s">
        <v>2224</v>
      </c>
      <c r="B1270" s="52" t="s">
        <v>5660</v>
      </c>
      <c r="C1270" s="52" t="s">
        <v>705</v>
      </c>
    </row>
    <row r="1271" spans="1:3" hidden="1" x14ac:dyDescent="0.25">
      <c r="A1271" s="52" t="s">
        <v>2225</v>
      </c>
      <c r="B1271" s="52" t="s">
        <v>5661</v>
      </c>
      <c r="C1271" s="52" t="s">
        <v>705</v>
      </c>
    </row>
    <row r="1272" spans="1:3" hidden="1" x14ac:dyDescent="0.25">
      <c r="A1272" s="52" t="s">
        <v>2226</v>
      </c>
      <c r="B1272" s="52" t="s">
        <v>5662</v>
      </c>
      <c r="C1272" s="52" t="s">
        <v>705</v>
      </c>
    </row>
    <row r="1273" spans="1:3" hidden="1" x14ac:dyDescent="0.25">
      <c r="A1273" s="52" t="s">
        <v>2227</v>
      </c>
      <c r="B1273" s="52" t="s">
        <v>5663</v>
      </c>
      <c r="C1273" s="52" t="s">
        <v>705</v>
      </c>
    </row>
    <row r="1274" spans="1:3" hidden="1" x14ac:dyDescent="0.25">
      <c r="A1274" s="52" t="s">
        <v>2228</v>
      </c>
      <c r="B1274" s="52" t="s">
        <v>5664</v>
      </c>
      <c r="C1274" s="52" t="s">
        <v>705</v>
      </c>
    </row>
    <row r="1275" spans="1:3" hidden="1" x14ac:dyDescent="0.25">
      <c r="A1275" s="52" t="s">
        <v>2229</v>
      </c>
      <c r="B1275" s="52" t="s">
        <v>4651</v>
      </c>
      <c r="C1275" s="52" t="s">
        <v>705</v>
      </c>
    </row>
    <row r="1276" spans="1:3" hidden="1" x14ac:dyDescent="0.25">
      <c r="A1276" s="52" t="s">
        <v>2230</v>
      </c>
      <c r="B1276" s="52" t="s">
        <v>5309</v>
      </c>
      <c r="C1276" s="52" t="s">
        <v>705</v>
      </c>
    </row>
    <row r="1277" spans="1:3" hidden="1" x14ac:dyDescent="0.25">
      <c r="A1277" s="52" t="s">
        <v>2231</v>
      </c>
      <c r="B1277" s="52" t="s">
        <v>5665</v>
      </c>
      <c r="C1277" s="52" t="s">
        <v>705</v>
      </c>
    </row>
    <row r="1278" spans="1:3" hidden="1" x14ac:dyDescent="0.25">
      <c r="A1278" s="52" t="s">
        <v>2232</v>
      </c>
      <c r="B1278" s="52" t="s">
        <v>903</v>
      </c>
      <c r="C1278" s="52" t="s">
        <v>705</v>
      </c>
    </row>
    <row r="1279" spans="1:3" hidden="1" x14ac:dyDescent="0.25">
      <c r="A1279" s="52" t="s">
        <v>2233</v>
      </c>
      <c r="B1279" s="52" t="s">
        <v>5666</v>
      </c>
      <c r="C1279" s="52" t="s">
        <v>705</v>
      </c>
    </row>
    <row r="1280" spans="1:3" hidden="1" x14ac:dyDescent="0.25">
      <c r="A1280" s="52" t="s">
        <v>2234</v>
      </c>
      <c r="B1280" s="52" t="s">
        <v>5667</v>
      </c>
      <c r="C1280" s="52" t="s">
        <v>705</v>
      </c>
    </row>
    <row r="1281" spans="1:3" hidden="1" x14ac:dyDescent="0.25">
      <c r="A1281" s="52" t="s">
        <v>2235</v>
      </c>
      <c r="B1281" s="52" t="s">
        <v>5668</v>
      </c>
      <c r="C1281" s="52" t="s">
        <v>705</v>
      </c>
    </row>
    <row r="1282" spans="1:3" hidden="1" x14ac:dyDescent="0.25">
      <c r="A1282" s="52" t="s">
        <v>2236</v>
      </c>
      <c r="B1282" s="52" t="s">
        <v>5669</v>
      </c>
      <c r="C1282" s="52" t="s">
        <v>705</v>
      </c>
    </row>
    <row r="1283" spans="1:3" hidden="1" x14ac:dyDescent="0.25">
      <c r="A1283" s="52" t="s">
        <v>2237</v>
      </c>
      <c r="B1283" s="52" t="s">
        <v>5670</v>
      </c>
      <c r="C1283" s="52" t="s">
        <v>705</v>
      </c>
    </row>
    <row r="1284" spans="1:3" hidden="1" x14ac:dyDescent="0.25">
      <c r="A1284" s="52" t="s">
        <v>2238</v>
      </c>
      <c r="B1284" s="52" t="s">
        <v>5671</v>
      </c>
      <c r="C1284" s="52" t="s">
        <v>705</v>
      </c>
    </row>
    <row r="1285" spans="1:3" hidden="1" x14ac:dyDescent="0.25">
      <c r="A1285" s="52" t="s">
        <v>2239</v>
      </c>
      <c r="B1285" s="52" t="s">
        <v>5672</v>
      </c>
      <c r="C1285" s="52" t="s">
        <v>705</v>
      </c>
    </row>
    <row r="1286" spans="1:3" hidden="1" x14ac:dyDescent="0.25">
      <c r="A1286" s="52" t="s">
        <v>2240</v>
      </c>
      <c r="B1286" s="52" t="s">
        <v>4905</v>
      </c>
      <c r="C1286" s="52" t="s">
        <v>705</v>
      </c>
    </row>
    <row r="1287" spans="1:3" hidden="1" x14ac:dyDescent="0.25">
      <c r="A1287" s="52" t="s">
        <v>2241</v>
      </c>
      <c r="B1287" s="52" t="s">
        <v>5673</v>
      </c>
      <c r="C1287" s="52" t="s">
        <v>705</v>
      </c>
    </row>
    <row r="1288" spans="1:3" hidden="1" x14ac:dyDescent="0.25">
      <c r="A1288" s="52" t="s">
        <v>2242</v>
      </c>
      <c r="B1288" s="52" t="s">
        <v>5674</v>
      </c>
      <c r="C1288" s="52" t="s">
        <v>705</v>
      </c>
    </row>
    <row r="1289" spans="1:3" hidden="1" x14ac:dyDescent="0.25">
      <c r="A1289" s="52" t="s">
        <v>2243</v>
      </c>
      <c r="B1289" s="52" t="s">
        <v>5675</v>
      </c>
      <c r="C1289" s="52" t="s">
        <v>705</v>
      </c>
    </row>
    <row r="1290" spans="1:3" hidden="1" x14ac:dyDescent="0.25">
      <c r="A1290" s="52" t="s">
        <v>2244</v>
      </c>
      <c r="B1290" s="52" t="s">
        <v>919</v>
      </c>
      <c r="C1290" s="52" t="s">
        <v>705</v>
      </c>
    </row>
    <row r="1291" spans="1:3" hidden="1" x14ac:dyDescent="0.25">
      <c r="A1291" s="52" t="s">
        <v>2245</v>
      </c>
      <c r="B1291" s="52" t="s">
        <v>5676</v>
      </c>
      <c r="C1291" s="52" t="s">
        <v>705</v>
      </c>
    </row>
    <row r="1292" spans="1:3" hidden="1" x14ac:dyDescent="0.25">
      <c r="A1292" s="52" t="s">
        <v>2246</v>
      </c>
      <c r="B1292" s="52" t="s">
        <v>5677</v>
      </c>
      <c r="C1292" s="52" t="s">
        <v>705</v>
      </c>
    </row>
    <row r="1293" spans="1:3" hidden="1" x14ac:dyDescent="0.25">
      <c r="A1293" s="52" t="s">
        <v>2247</v>
      </c>
      <c r="B1293" s="52" t="s">
        <v>5678</v>
      </c>
      <c r="C1293" s="52" t="s">
        <v>705</v>
      </c>
    </row>
    <row r="1294" spans="1:3" hidden="1" x14ac:dyDescent="0.25">
      <c r="A1294" s="52" t="s">
        <v>2248</v>
      </c>
      <c r="B1294" s="52" t="s">
        <v>5679</v>
      </c>
      <c r="C1294" s="52" t="s">
        <v>705</v>
      </c>
    </row>
    <row r="1295" spans="1:3" hidden="1" x14ac:dyDescent="0.25">
      <c r="A1295" s="52" t="s">
        <v>2249</v>
      </c>
      <c r="B1295" s="52" t="s">
        <v>5680</v>
      </c>
      <c r="C1295" s="52" t="s">
        <v>705</v>
      </c>
    </row>
    <row r="1296" spans="1:3" hidden="1" x14ac:dyDescent="0.25">
      <c r="A1296" s="52" t="s">
        <v>2250</v>
      </c>
      <c r="B1296" s="52" t="s">
        <v>5681</v>
      </c>
      <c r="C1296" s="52" t="s">
        <v>705</v>
      </c>
    </row>
    <row r="1297" spans="1:3" hidden="1" x14ac:dyDescent="0.25">
      <c r="A1297" s="52" t="s">
        <v>2251</v>
      </c>
      <c r="B1297" s="52" t="s">
        <v>5682</v>
      </c>
      <c r="C1297" s="52" t="s">
        <v>705</v>
      </c>
    </row>
    <row r="1298" spans="1:3" hidden="1" x14ac:dyDescent="0.25">
      <c r="A1298" s="52" t="s">
        <v>2252</v>
      </c>
      <c r="B1298" s="52" t="s">
        <v>5683</v>
      </c>
      <c r="C1298" s="52" t="s">
        <v>705</v>
      </c>
    </row>
    <row r="1299" spans="1:3" hidden="1" x14ac:dyDescent="0.25">
      <c r="A1299" s="52" t="s">
        <v>2253</v>
      </c>
      <c r="B1299" s="52" t="s">
        <v>5684</v>
      </c>
      <c r="C1299" s="52" t="s">
        <v>705</v>
      </c>
    </row>
    <row r="1300" spans="1:3" hidden="1" x14ac:dyDescent="0.25">
      <c r="A1300" s="52" t="s">
        <v>2254</v>
      </c>
      <c r="B1300" s="52" t="s">
        <v>5685</v>
      </c>
      <c r="C1300" s="52" t="s">
        <v>705</v>
      </c>
    </row>
    <row r="1301" spans="1:3" hidden="1" x14ac:dyDescent="0.25">
      <c r="A1301" s="52" t="s">
        <v>2255</v>
      </c>
      <c r="B1301" s="52" t="s">
        <v>5686</v>
      </c>
      <c r="C1301" s="52" t="s">
        <v>705</v>
      </c>
    </row>
    <row r="1302" spans="1:3" hidden="1" x14ac:dyDescent="0.25">
      <c r="A1302" s="52" t="s">
        <v>2256</v>
      </c>
      <c r="B1302" s="52" t="s">
        <v>5687</v>
      </c>
      <c r="C1302" s="52" t="s">
        <v>705</v>
      </c>
    </row>
    <row r="1303" spans="1:3" hidden="1" x14ac:dyDescent="0.25">
      <c r="A1303" s="52" t="s">
        <v>2257</v>
      </c>
      <c r="B1303" s="52" t="s">
        <v>5688</v>
      </c>
      <c r="C1303" s="52" t="s">
        <v>705</v>
      </c>
    </row>
    <row r="1304" spans="1:3" hidden="1" x14ac:dyDescent="0.25">
      <c r="A1304" s="52" t="s">
        <v>2258</v>
      </c>
      <c r="B1304" s="52" t="s">
        <v>5689</v>
      </c>
      <c r="C1304" s="52" t="s">
        <v>705</v>
      </c>
    </row>
    <row r="1305" spans="1:3" hidden="1" x14ac:dyDescent="0.25">
      <c r="A1305" s="52" t="s">
        <v>2259</v>
      </c>
      <c r="B1305" s="52" t="s">
        <v>5690</v>
      </c>
      <c r="C1305" s="52" t="s">
        <v>705</v>
      </c>
    </row>
    <row r="1306" spans="1:3" hidden="1" x14ac:dyDescent="0.25">
      <c r="A1306" s="52" t="s">
        <v>2260</v>
      </c>
      <c r="B1306" s="52" t="s">
        <v>5317</v>
      </c>
      <c r="C1306" s="52" t="s">
        <v>705</v>
      </c>
    </row>
    <row r="1307" spans="1:3" hidden="1" x14ac:dyDescent="0.25">
      <c r="A1307" s="52" t="s">
        <v>2261</v>
      </c>
      <c r="B1307" s="52" t="s">
        <v>5691</v>
      </c>
      <c r="C1307" s="52" t="s">
        <v>705</v>
      </c>
    </row>
    <row r="1308" spans="1:3" hidden="1" x14ac:dyDescent="0.25">
      <c r="A1308" s="52" t="s">
        <v>2262</v>
      </c>
      <c r="B1308" s="52" t="s">
        <v>5692</v>
      </c>
      <c r="C1308" s="52" t="s">
        <v>705</v>
      </c>
    </row>
    <row r="1309" spans="1:3" hidden="1" x14ac:dyDescent="0.25">
      <c r="A1309" s="52" t="s">
        <v>2263</v>
      </c>
      <c r="B1309" s="52" t="s">
        <v>5693</v>
      </c>
      <c r="C1309" s="52" t="s">
        <v>705</v>
      </c>
    </row>
    <row r="1310" spans="1:3" hidden="1" x14ac:dyDescent="0.25">
      <c r="A1310" s="52" t="s">
        <v>2264</v>
      </c>
      <c r="B1310" s="52" t="s">
        <v>5694</v>
      </c>
      <c r="C1310" s="52" t="s">
        <v>705</v>
      </c>
    </row>
    <row r="1311" spans="1:3" hidden="1" x14ac:dyDescent="0.25">
      <c r="A1311" s="52" t="s">
        <v>2265</v>
      </c>
      <c r="B1311" s="52" t="s">
        <v>5695</v>
      </c>
      <c r="C1311" s="52" t="s">
        <v>705</v>
      </c>
    </row>
    <row r="1312" spans="1:3" hidden="1" x14ac:dyDescent="0.25">
      <c r="A1312" s="52" t="s">
        <v>2266</v>
      </c>
      <c r="B1312" s="52" t="s">
        <v>4831</v>
      </c>
      <c r="C1312" s="52" t="s">
        <v>705</v>
      </c>
    </row>
    <row r="1313" spans="1:3" hidden="1" x14ac:dyDescent="0.25">
      <c r="A1313" s="52" t="s">
        <v>2267</v>
      </c>
      <c r="B1313" s="52" t="s">
        <v>5696</v>
      </c>
      <c r="C1313" s="52" t="s">
        <v>705</v>
      </c>
    </row>
    <row r="1314" spans="1:3" hidden="1" x14ac:dyDescent="0.25">
      <c r="A1314" s="52" t="s">
        <v>2268</v>
      </c>
      <c r="B1314" s="52" t="s">
        <v>5697</v>
      </c>
      <c r="C1314" s="52" t="s">
        <v>705</v>
      </c>
    </row>
    <row r="1315" spans="1:3" hidden="1" x14ac:dyDescent="0.25">
      <c r="A1315" s="52" t="s">
        <v>2269</v>
      </c>
      <c r="B1315" s="52" t="s">
        <v>5698</v>
      </c>
      <c r="C1315" s="52" t="s">
        <v>705</v>
      </c>
    </row>
    <row r="1316" spans="1:3" hidden="1" x14ac:dyDescent="0.25">
      <c r="A1316" s="52" t="s">
        <v>2270</v>
      </c>
      <c r="B1316" s="52" t="s">
        <v>5699</v>
      </c>
      <c r="C1316" s="52" t="s">
        <v>705</v>
      </c>
    </row>
    <row r="1317" spans="1:3" hidden="1" x14ac:dyDescent="0.25">
      <c r="A1317" s="52" t="s">
        <v>2271</v>
      </c>
      <c r="B1317" s="52" t="s">
        <v>5700</v>
      </c>
      <c r="C1317" s="52" t="s">
        <v>705</v>
      </c>
    </row>
    <row r="1318" spans="1:3" hidden="1" x14ac:dyDescent="0.25">
      <c r="A1318" s="52" t="s">
        <v>2272</v>
      </c>
      <c r="B1318" s="52" t="s">
        <v>5701</v>
      </c>
      <c r="C1318" s="52" t="s">
        <v>705</v>
      </c>
    </row>
    <row r="1319" spans="1:3" hidden="1" x14ac:dyDescent="0.25">
      <c r="A1319" s="52" t="s">
        <v>2273</v>
      </c>
      <c r="B1319" s="52" t="s">
        <v>5702</v>
      </c>
      <c r="C1319" s="52" t="s">
        <v>705</v>
      </c>
    </row>
    <row r="1320" spans="1:3" hidden="1" x14ac:dyDescent="0.25">
      <c r="A1320" s="52" t="s">
        <v>2274</v>
      </c>
      <c r="B1320" s="52" t="s">
        <v>5703</v>
      </c>
      <c r="C1320" s="52" t="s">
        <v>705</v>
      </c>
    </row>
    <row r="1321" spans="1:3" hidden="1" x14ac:dyDescent="0.25">
      <c r="A1321" s="52" t="s">
        <v>2275</v>
      </c>
      <c r="B1321" s="52" t="s">
        <v>939</v>
      </c>
      <c r="C1321" s="52" t="s">
        <v>705</v>
      </c>
    </row>
    <row r="1322" spans="1:3" hidden="1" x14ac:dyDescent="0.25">
      <c r="A1322" s="52" t="s">
        <v>2276</v>
      </c>
      <c r="B1322" s="52" t="s">
        <v>5704</v>
      </c>
      <c r="C1322" s="52" t="s">
        <v>705</v>
      </c>
    </row>
    <row r="1323" spans="1:3" hidden="1" x14ac:dyDescent="0.25">
      <c r="A1323" s="52" t="s">
        <v>2277</v>
      </c>
      <c r="B1323" s="52" t="s">
        <v>4692</v>
      </c>
      <c r="C1323" s="52" t="s">
        <v>705</v>
      </c>
    </row>
    <row r="1324" spans="1:3" hidden="1" x14ac:dyDescent="0.25">
      <c r="A1324" s="52" t="s">
        <v>2278</v>
      </c>
      <c r="B1324" s="52" t="s">
        <v>5705</v>
      </c>
      <c r="C1324" s="52" t="s">
        <v>705</v>
      </c>
    </row>
    <row r="1325" spans="1:3" hidden="1" x14ac:dyDescent="0.25">
      <c r="A1325" s="52" t="s">
        <v>2279</v>
      </c>
      <c r="B1325" s="52" t="s">
        <v>5706</v>
      </c>
      <c r="C1325" s="52" t="s">
        <v>705</v>
      </c>
    </row>
    <row r="1326" spans="1:3" hidden="1" x14ac:dyDescent="0.25">
      <c r="A1326" s="52" t="s">
        <v>2280</v>
      </c>
      <c r="B1326" s="52" t="s">
        <v>5707</v>
      </c>
      <c r="C1326" s="52" t="s">
        <v>705</v>
      </c>
    </row>
    <row r="1327" spans="1:3" hidden="1" x14ac:dyDescent="0.25">
      <c r="A1327" s="52" t="s">
        <v>2281</v>
      </c>
      <c r="B1327" s="52" t="s">
        <v>5708</v>
      </c>
      <c r="C1327" s="52" t="s">
        <v>705</v>
      </c>
    </row>
    <row r="1328" spans="1:3" hidden="1" x14ac:dyDescent="0.25">
      <c r="A1328" s="52" t="s">
        <v>2282</v>
      </c>
      <c r="B1328" s="52" t="s">
        <v>5709</v>
      </c>
      <c r="C1328" s="52" t="s">
        <v>705</v>
      </c>
    </row>
    <row r="1329" spans="1:3" hidden="1" x14ac:dyDescent="0.25">
      <c r="A1329" s="52" t="s">
        <v>2283</v>
      </c>
      <c r="B1329" s="52" t="s">
        <v>5710</v>
      </c>
      <c r="C1329" s="52" t="s">
        <v>705</v>
      </c>
    </row>
    <row r="1330" spans="1:3" hidden="1" x14ac:dyDescent="0.25">
      <c r="A1330" s="52" t="s">
        <v>2284</v>
      </c>
      <c r="B1330" s="52" t="s">
        <v>5711</v>
      </c>
      <c r="C1330" s="52" t="s">
        <v>705</v>
      </c>
    </row>
    <row r="1331" spans="1:3" hidden="1" x14ac:dyDescent="0.25">
      <c r="A1331" s="52" t="s">
        <v>2285</v>
      </c>
      <c r="B1331" s="52" t="s">
        <v>5712</v>
      </c>
      <c r="C1331" s="52" t="s">
        <v>705</v>
      </c>
    </row>
    <row r="1332" spans="1:3" hidden="1" x14ac:dyDescent="0.25">
      <c r="A1332" s="52" t="s">
        <v>2286</v>
      </c>
      <c r="B1332" s="52" t="s">
        <v>5713</v>
      </c>
      <c r="C1332" s="52" t="s">
        <v>705</v>
      </c>
    </row>
    <row r="1333" spans="1:3" hidden="1" x14ac:dyDescent="0.25">
      <c r="A1333" s="52" t="s">
        <v>2287</v>
      </c>
      <c r="B1333" s="52" t="s">
        <v>5714</v>
      </c>
      <c r="C1333" s="52" t="s">
        <v>705</v>
      </c>
    </row>
    <row r="1334" spans="1:3" hidden="1" x14ac:dyDescent="0.25">
      <c r="A1334" s="52" t="s">
        <v>2288</v>
      </c>
      <c r="B1334" s="52" t="s">
        <v>5715</v>
      </c>
      <c r="C1334" s="52" t="s">
        <v>705</v>
      </c>
    </row>
    <row r="1335" spans="1:3" hidden="1" x14ac:dyDescent="0.25">
      <c r="A1335" s="52" t="s">
        <v>2289</v>
      </c>
      <c r="B1335" s="52" t="s">
        <v>5716</v>
      </c>
      <c r="C1335" s="52" t="s">
        <v>705</v>
      </c>
    </row>
    <row r="1336" spans="1:3" hidden="1" x14ac:dyDescent="0.25">
      <c r="A1336" s="52" t="s">
        <v>2290</v>
      </c>
      <c r="B1336" s="52" t="s">
        <v>5717</v>
      </c>
      <c r="C1336" s="52" t="s">
        <v>705</v>
      </c>
    </row>
    <row r="1337" spans="1:3" hidden="1" x14ac:dyDescent="0.25">
      <c r="A1337" s="52" t="s">
        <v>2291</v>
      </c>
      <c r="B1337" s="52" t="s">
        <v>5718</v>
      </c>
      <c r="C1337" s="52" t="s">
        <v>705</v>
      </c>
    </row>
    <row r="1338" spans="1:3" hidden="1" x14ac:dyDescent="0.25">
      <c r="A1338" s="52" t="s">
        <v>2292</v>
      </c>
      <c r="B1338" s="52" t="s">
        <v>5325</v>
      </c>
      <c r="C1338" s="52" t="s">
        <v>705</v>
      </c>
    </row>
    <row r="1339" spans="1:3" hidden="1" x14ac:dyDescent="0.25">
      <c r="A1339" s="52" t="s">
        <v>2293</v>
      </c>
      <c r="B1339" s="52" t="s">
        <v>5719</v>
      </c>
      <c r="C1339" s="52" t="s">
        <v>705</v>
      </c>
    </row>
    <row r="1340" spans="1:3" hidden="1" x14ac:dyDescent="0.25">
      <c r="A1340" s="52" t="s">
        <v>2294</v>
      </c>
      <c r="B1340" s="52" t="s">
        <v>5720</v>
      </c>
      <c r="C1340" s="52" t="s">
        <v>705</v>
      </c>
    </row>
    <row r="1341" spans="1:3" hidden="1" x14ac:dyDescent="0.25">
      <c r="A1341" s="52" t="s">
        <v>2295</v>
      </c>
      <c r="B1341" s="52" t="s">
        <v>5721</v>
      </c>
      <c r="C1341" s="52" t="s">
        <v>705</v>
      </c>
    </row>
    <row r="1342" spans="1:3" hidden="1" x14ac:dyDescent="0.25">
      <c r="A1342" s="52" t="s">
        <v>2296</v>
      </c>
      <c r="B1342" s="52" t="s">
        <v>5722</v>
      </c>
      <c r="C1342" s="52" t="s">
        <v>705</v>
      </c>
    </row>
    <row r="1343" spans="1:3" hidden="1" x14ac:dyDescent="0.25">
      <c r="A1343" s="52" t="s">
        <v>2297</v>
      </c>
      <c r="B1343" s="52" t="s">
        <v>5412</v>
      </c>
      <c r="C1343" s="52" t="s">
        <v>705</v>
      </c>
    </row>
    <row r="1344" spans="1:3" hidden="1" x14ac:dyDescent="0.25">
      <c r="A1344" s="52" t="s">
        <v>2298</v>
      </c>
      <c r="B1344" s="52" t="s">
        <v>5723</v>
      </c>
      <c r="C1344" s="52" t="s">
        <v>705</v>
      </c>
    </row>
    <row r="1345" spans="1:3" hidden="1" x14ac:dyDescent="0.25">
      <c r="A1345" s="52" t="s">
        <v>2299</v>
      </c>
      <c r="B1345" s="52" t="s">
        <v>5724</v>
      </c>
      <c r="C1345" s="52" t="s">
        <v>705</v>
      </c>
    </row>
    <row r="1346" spans="1:3" hidden="1" x14ac:dyDescent="0.25">
      <c r="A1346" s="52" t="s">
        <v>2300</v>
      </c>
      <c r="B1346" s="52" t="s">
        <v>5725</v>
      </c>
      <c r="C1346" s="52" t="s">
        <v>705</v>
      </c>
    </row>
    <row r="1347" spans="1:3" hidden="1" x14ac:dyDescent="0.25">
      <c r="A1347" s="52" t="s">
        <v>2301</v>
      </c>
      <c r="B1347" s="52" t="s">
        <v>5726</v>
      </c>
      <c r="C1347" s="52" t="s">
        <v>705</v>
      </c>
    </row>
    <row r="1348" spans="1:3" hidden="1" x14ac:dyDescent="0.25">
      <c r="A1348" s="52" t="s">
        <v>2302</v>
      </c>
      <c r="B1348" s="52" t="s">
        <v>5327</v>
      </c>
      <c r="C1348" s="52" t="s">
        <v>705</v>
      </c>
    </row>
    <row r="1349" spans="1:3" hidden="1" x14ac:dyDescent="0.25">
      <c r="A1349" s="52" t="s">
        <v>2303</v>
      </c>
      <c r="B1349" s="52" t="s">
        <v>4720</v>
      </c>
      <c r="C1349" s="52" t="s">
        <v>705</v>
      </c>
    </row>
    <row r="1350" spans="1:3" hidden="1" x14ac:dyDescent="0.25">
      <c r="A1350" s="52" t="s">
        <v>2304</v>
      </c>
      <c r="B1350" s="52" t="s">
        <v>5727</v>
      </c>
      <c r="C1350" s="52" t="s">
        <v>705</v>
      </c>
    </row>
    <row r="1351" spans="1:3" hidden="1" x14ac:dyDescent="0.25">
      <c r="A1351" s="52" t="s">
        <v>2305</v>
      </c>
      <c r="B1351" s="52" t="s">
        <v>5728</v>
      </c>
      <c r="C1351" s="52" t="s">
        <v>705</v>
      </c>
    </row>
    <row r="1352" spans="1:3" hidden="1" x14ac:dyDescent="0.25">
      <c r="A1352" s="52" t="s">
        <v>2306</v>
      </c>
      <c r="B1352" s="52" t="s">
        <v>5729</v>
      </c>
      <c r="C1352" s="52" t="s">
        <v>705</v>
      </c>
    </row>
    <row r="1353" spans="1:3" hidden="1" x14ac:dyDescent="0.25">
      <c r="A1353" s="52" t="s">
        <v>2307</v>
      </c>
      <c r="B1353" s="52" t="s">
        <v>5613</v>
      </c>
      <c r="C1353" s="52" t="s">
        <v>705</v>
      </c>
    </row>
    <row r="1354" spans="1:3" hidden="1" x14ac:dyDescent="0.25">
      <c r="A1354" s="52" t="s">
        <v>2308</v>
      </c>
      <c r="B1354" s="52" t="s">
        <v>5730</v>
      </c>
      <c r="C1354" s="52" t="s">
        <v>705</v>
      </c>
    </row>
    <row r="1355" spans="1:3" hidden="1" x14ac:dyDescent="0.25">
      <c r="A1355" s="52" t="s">
        <v>2309</v>
      </c>
      <c r="B1355" s="52" t="s">
        <v>5731</v>
      </c>
      <c r="C1355" s="52" t="s">
        <v>705</v>
      </c>
    </row>
    <row r="1356" spans="1:3" hidden="1" x14ac:dyDescent="0.25">
      <c r="A1356" s="52" t="s">
        <v>2310</v>
      </c>
      <c r="B1356" s="52" t="s">
        <v>5732</v>
      </c>
      <c r="C1356" s="52" t="s">
        <v>705</v>
      </c>
    </row>
    <row r="1357" spans="1:3" hidden="1" x14ac:dyDescent="0.25">
      <c r="A1357" s="52" t="s">
        <v>2311</v>
      </c>
      <c r="B1357" s="52" t="s">
        <v>5733</v>
      </c>
      <c r="C1357" s="52" t="s">
        <v>705</v>
      </c>
    </row>
    <row r="1358" spans="1:3" hidden="1" x14ac:dyDescent="0.25">
      <c r="A1358" s="52" t="s">
        <v>2312</v>
      </c>
      <c r="B1358" s="52" t="s">
        <v>5734</v>
      </c>
      <c r="C1358" s="52" t="s">
        <v>705</v>
      </c>
    </row>
    <row r="1359" spans="1:3" hidden="1" x14ac:dyDescent="0.25">
      <c r="A1359" s="52" t="s">
        <v>2313</v>
      </c>
      <c r="B1359" s="52" t="s">
        <v>5735</v>
      </c>
      <c r="C1359" s="52" t="s">
        <v>705</v>
      </c>
    </row>
    <row r="1360" spans="1:3" hidden="1" x14ac:dyDescent="0.25">
      <c r="A1360" s="52" t="s">
        <v>2314</v>
      </c>
      <c r="B1360" s="52" t="s">
        <v>4747</v>
      </c>
      <c r="C1360" s="52" t="s">
        <v>705</v>
      </c>
    </row>
    <row r="1361" spans="1:3" hidden="1" x14ac:dyDescent="0.25">
      <c r="A1361" s="52" t="s">
        <v>2315</v>
      </c>
      <c r="B1361" s="52" t="s">
        <v>5736</v>
      </c>
      <c r="C1361" s="52" t="s">
        <v>705</v>
      </c>
    </row>
    <row r="1362" spans="1:3" hidden="1" x14ac:dyDescent="0.25">
      <c r="A1362" s="52" t="s">
        <v>2316</v>
      </c>
      <c r="B1362" s="52" t="s">
        <v>5737</v>
      </c>
      <c r="C1362" s="52" t="s">
        <v>705</v>
      </c>
    </row>
    <row r="1363" spans="1:3" hidden="1" x14ac:dyDescent="0.25">
      <c r="A1363" s="52" t="s">
        <v>2317</v>
      </c>
      <c r="B1363" s="52" t="s">
        <v>4808</v>
      </c>
      <c r="C1363" s="52" t="s">
        <v>705</v>
      </c>
    </row>
    <row r="1364" spans="1:3" hidden="1" x14ac:dyDescent="0.25">
      <c r="A1364" s="52" t="s">
        <v>2318</v>
      </c>
      <c r="B1364" s="52" t="s">
        <v>5738</v>
      </c>
      <c r="C1364" s="52" t="s">
        <v>705</v>
      </c>
    </row>
    <row r="1365" spans="1:3" hidden="1" x14ac:dyDescent="0.25">
      <c r="A1365" s="52" t="s">
        <v>2319</v>
      </c>
      <c r="B1365" s="52" t="s">
        <v>4749</v>
      </c>
      <c r="C1365" s="52" t="s">
        <v>705</v>
      </c>
    </row>
    <row r="1366" spans="1:3" hidden="1" x14ac:dyDescent="0.25">
      <c r="A1366" s="52" t="s">
        <v>2320</v>
      </c>
      <c r="B1366" s="52" t="s">
        <v>5739</v>
      </c>
      <c r="C1366" s="52" t="s">
        <v>705</v>
      </c>
    </row>
    <row r="1367" spans="1:3" hidden="1" x14ac:dyDescent="0.25">
      <c r="A1367" s="52" t="s">
        <v>2321</v>
      </c>
      <c r="B1367" s="52" t="s">
        <v>5740</v>
      </c>
      <c r="C1367" s="52" t="s">
        <v>705</v>
      </c>
    </row>
    <row r="1368" spans="1:3" hidden="1" x14ac:dyDescent="0.25">
      <c r="A1368" s="52" t="s">
        <v>2322</v>
      </c>
      <c r="B1368" s="52" t="s">
        <v>5741</v>
      </c>
      <c r="C1368" s="52" t="s">
        <v>705</v>
      </c>
    </row>
    <row r="1369" spans="1:3" hidden="1" x14ac:dyDescent="0.25">
      <c r="A1369" s="52" t="s">
        <v>2323</v>
      </c>
      <c r="B1369" s="52" t="s">
        <v>5742</v>
      </c>
      <c r="C1369" s="52" t="s">
        <v>705</v>
      </c>
    </row>
    <row r="1370" spans="1:3" hidden="1" x14ac:dyDescent="0.25">
      <c r="A1370" s="52" t="s">
        <v>2324</v>
      </c>
      <c r="B1370" s="52" t="s">
        <v>5743</v>
      </c>
      <c r="C1370" s="52" t="s">
        <v>705</v>
      </c>
    </row>
    <row r="1371" spans="1:3" hidden="1" x14ac:dyDescent="0.25">
      <c r="A1371" s="52" t="s">
        <v>2325</v>
      </c>
      <c r="B1371" s="52" t="s">
        <v>5744</v>
      </c>
      <c r="C1371" s="52" t="s">
        <v>722</v>
      </c>
    </row>
    <row r="1372" spans="1:3" hidden="1" x14ac:dyDescent="0.25">
      <c r="A1372" s="52" t="s">
        <v>2326</v>
      </c>
      <c r="B1372" s="52" t="s">
        <v>5745</v>
      </c>
      <c r="C1372" s="52" t="s">
        <v>722</v>
      </c>
    </row>
    <row r="1373" spans="1:3" hidden="1" x14ac:dyDescent="0.25">
      <c r="A1373" s="52" t="s">
        <v>2327</v>
      </c>
      <c r="B1373" s="52" t="s">
        <v>5746</v>
      </c>
      <c r="C1373" s="52" t="s">
        <v>722</v>
      </c>
    </row>
    <row r="1374" spans="1:3" hidden="1" x14ac:dyDescent="0.25">
      <c r="A1374" s="52" t="s">
        <v>2328</v>
      </c>
      <c r="B1374" s="52" t="s">
        <v>5747</v>
      </c>
      <c r="C1374" s="52" t="s">
        <v>722</v>
      </c>
    </row>
    <row r="1375" spans="1:3" hidden="1" x14ac:dyDescent="0.25">
      <c r="A1375" s="52" t="s">
        <v>2329</v>
      </c>
      <c r="B1375" s="52" t="s">
        <v>5748</v>
      </c>
      <c r="C1375" s="52" t="s">
        <v>722</v>
      </c>
    </row>
    <row r="1376" spans="1:3" hidden="1" x14ac:dyDescent="0.25">
      <c r="A1376" s="52" t="s">
        <v>2330</v>
      </c>
      <c r="B1376" s="52" t="s">
        <v>5749</v>
      </c>
      <c r="C1376" s="52" t="s">
        <v>722</v>
      </c>
    </row>
    <row r="1377" spans="1:3" hidden="1" x14ac:dyDescent="0.25">
      <c r="A1377" s="52" t="s">
        <v>2331</v>
      </c>
      <c r="B1377" s="52" t="s">
        <v>5750</v>
      </c>
      <c r="C1377" s="52" t="s">
        <v>722</v>
      </c>
    </row>
    <row r="1378" spans="1:3" hidden="1" x14ac:dyDescent="0.25">
      <c r="A1378" s="52" t="s">
        <v>2332</v>
      </c>
      <c r="B1378" s="52" t="s">
        <v>5751</v>
      </c>
      <c r="C1378" s="52" t="s">
        <v>722</v>
      </c>
    </row>
    <row r="1379" spans="1:3" hidden="1" x14ac:dyDescent="0.25">
      <c r="A1379" s="52" t="s">
        <v>2333</v>
      </c>
      <c r="B1379" s="52" t="s">
        <v>5752</v>
      </c>
      <c r="C1379" s="52" t="s">
        <v>722</v>
      </c>
    </row>
    <row r="1380" spans="1:3" hidden="1" x14ac:dyDescent="0.25">
      <c r="A1380" s="52" t="s">
        <v>2334</v>
      </c>
      <c r="B1380" s="52" t="s">
        <v>5753</v>
      </c>
      <c r="C1380" s="52" t="s">
        <v>722</v>
      </c>
    </row>
    <row r="1381" spans="1:3" hidden="1" x14ac:dyDescent="0.25">
      <c r="A1381" s="52" t="s">
        <v>2335</v>
      </c>
      <c r="B1381" s="52" t="s">
        <v>5754</v>
      </c>
      <c r="C1381" s="52" t="s">
        <v>722</v>
      </c>
    </row>
    <row r="1382" spans="1:3" hidden="1" x14ac:dyDescent="0.25">
      <c r="A1382" s="52" t="s">
        <v>2336</v>
      </c>
      <c r="B1382" s="52" t="s">
        <v>5755</v>
      </c>
      <c r="C1382" s="52" t="s">
        <v>722</v>
      </c>
    </row>
    <row r="1383" spans="1:3" hidden="1" x14ac:dyDescent="0.25">
      <c r="A1383" s="52" t="s">
        <v>2337</v>
      </c>
      <c r="B1383" s="52" t="s">
        <v>5756</v>
      </c>
      <c r="C1383" s="52" t="s">
        <v>722</v>
      </c>
    </row>
    <row r="1384" spans="1:3" hidden="1" x14ac:dyDescent="0.25">
      <c r="A1384" s="52" t="s">
        <v>2338</v>
      </c>
      <c r="B1384" s="52" t="s">
        <v>5757</v>
      </c>
      <c r="C1384" s="52" t="s">
        <v>722</v>
      </c>
    </row>
    <row r="1385" spans="1:3" hidden="1" x14ac:dyDescent="0.25">
      <c r="A1385" s="52" t="s">
        <v>2339</v>
      </c>
      <c r="B1385" s="52" t="s">
        <v>5758</v>
      </c>
      <c r="C1385" s="52" t="s">
        <v>722</v>
      </c>
    </row>
    <row r="1386" spans="1:3" hidden="1" x14ac:dyDescent="0.25">
      <c r="A1386" s="52" t="s">
        <v>2340</v>
      </c>
      <c r="B1386" s="52" t="s">
        <v>5759</v>
      </c>
      <c r="C1386" s="52" t="s">
        <v>722</v>
      </c>
    </row>
    <row r="1387" spans="1:3" hidden="1" x14ac:dyDescent="0.25">
      <c r="A1387" s="52" t="s">
        <v>2341</v>
      </c>
      <c r="B1387" s="52" t="s">
        <v>5760</v>
      </c>
      <c r="C1387" s="52" t="s">
        <v>722</v>
      </c>
    </row>
    <row r="1388" spans="1:3" hidden="1" x14ac:dyDescent="0.25">
      <c r="A1388" s="52" t="s">
        <v>2342</v>
      </c>
      <c r="B1388" s="52" t="s">
        <v>5761</v>
      </c>
      <c r="C1388" s="52" t="s">
        <v>722</v>
      </c>
    </row>
    <row r="1389" spans="1:3" hidden="1" x14ac:dyDescent="0.25">
      <c r="A1389" s="52" t="s">
        <v>2343</v>
      </c>
      <c r="B1389" s="52" t="s">
        <v>5762</v>
      </c>
      <c r="C1389" s="52" t="s">
        <v>722</v>
      </c>
    </row>
    <row r="1390" spans="1:3" hidden="1" x14ac:dyDescent="0.25">
      <c r="A1390" s="52" t="s">
        <v>2344</v>
      </c>
      <c r="B1390" s="52" t="s">
        <v>5763</v>
      </c>
      <c r="C1390" s="52" t="s">
        <v>722</v>
      </c>
    </row>
    <row r="1391" spans="1:3" hidden="1" x14ac:dyDescent="0.25">
      <c r="A1391" s="52" t="s">
        <v>2345</v>
      </c>
      <c r="B1391" s="52" t="s">
        <v>5764</v>
      </c>
      <c r="C1391" s="52" t="s">
        <v>722</v>
      </c>
    </row>
    <row r="1392" spans="1:3" hidden="1" x14ac:dyDescent="0.25">
      <c r="A1392" s="52" t="s">
        <v>2346</v>
      </c>
      <c r="B1392" s="52" t="s">
        <v>5765</v>
      </c>
      <c r="C1392" s="52" t="s">
        <v>722</v>
      </c>
    </row>
    <row r="1393" spans="1:3" hidden="1" x14ac:dyDescent="0.25">
      <c r="A1393" s="52" t="s">
        <v>2347</v>
      </c>
      <c r="B1393" s="52" t="s">
        <v>5766</v>
      </c>
      <c r="C1393" s="52" t="s">
        <v>722</v>
      </c>
    </row>
    <row r="1394" spans="1:3" hidden="1" x14ac:dyDescent="0.25">
      <c r="A1394" s="52" t="s">
        <v>2348</v>
      </c>
      <c r="B1394" s="52" t="s">
        <v>5767</v>
      </c>
      <c r="C1394" s="52" t="s">
        <v>722</v>
      </c>
    </row>
    <row r="1395" spans="1:3" hidden="1" x14ac:dyDescent="0.25">
      <c r="A1395" s="52" t="s">
        <v>2349</v>
      </c>
      <c r="B1395" s="52" t="s">
        <v>5768</v>
      </c>
      <c r="C1395" s="52" t="s">
        <v>722</v>
      </c>
    </row>
    <row r="1396" spans="1:3" hidden="1" x14ac:dyDescent="0.25">
      <c r="A1396" s="52" t="s">
        <v>2350</v>
      </c>
      <c r="B1396" s="52" t="s">
        <v>5769</v>
      </c>
      <c r="C1396" s="52" t="s">
        <v>722</v>
      </c>
    </row>
    <row r="1397" spans="1:3" hidden="1" x14ac:dyDescent="0.25">
      <c r="A1397" s="52" t="s">
        <v>2351</v>
      </c>
      <c r="B1397" s="52" t="s">
        <v>5770</v>
      </c>
      <c r="C1397" s="52" t="s">
        <v>722</v>
      </c>
    </row>
    <row r="1398" spans="1:3" hidden="1" x14ac:dyDescent="0.25">
      <c r="A1398" s="52" t="s">
        <v>2352</v>
      </c>
      <c r="B1398" s="52" t="s">
        <v>5771</v>
      </c>
      <c r="C1398" s="52" t="s">
        <v>722</v>
      </c>
    </row>
    <row r="1399" spans="1:3" hidden="1" x14ac:dyDescent="0.25">
      <c r="A1399" s="52" t="s">
        <v>2353</v>
      </c>
      <c r="B1399" s="52" t="s">
        <v>5772</v>
      </c>
      <c r="C1399" s="52" t="s">
        <v>722</v>
      </c>
    </row>
    <row r="1400" spans="1:3" hidden="1" x14ac:dyDescent="0.25">
      <c r="A1400" s="52" t="s">
        <v>2354</v>
      </c>
      <c r="B1400" s="52" t="s">
        <v>5773</v>
      </c>
      <c r="C1400" s="52" t="s">
        <v>722</v>
      </c>
    </row>
    <row r="1401" spans="1:3" hidden="1" x14ac:dyDescent="0.25">
      <c r="A1401" s="52" t="s">
        <v>2355</v>
      </c>
      <c r="B1401" s="52" t="s">
        <v>5774</v>
      </c>
      <c r="C1401" s="52" t="s">
        <v>722</v>
      </c>
    </row>
    <row r="1402" spans="1:3" hidden="1" x14ac:dyDescent="0.25">
      <c r="A1402" s="52" t="s">
        <v>2356</v>
      </c>
      <c r="B1402" s="52" t="s">
        <v>5775</v>
      </c>
      <c r="C1402" s="52" t="s">
        <v>722</v>
      </c>
    </row>
    <row r="1403" spans="1:3" hidden="1" x14ac:dyDescent="0.25">
      <c r="A1403" s="52" t="s">
        <v>2357</v>
      </c>
      <c r="B1403" s="52" t="s">
        <v>5776</v>
      </c>
      <c r="C1403" s="52" t="s">
        <v>722</v>
      </c>
    </row>
    <row r="1404" spans="1:3" hidden="1" x14ac:dyDescent="0.25">
      <c r="A1404" s="52" t="s">
        <v>2358</v>
      </c>
      <c r="B1404" s="52" t="s">
        <v>5777</v>
      </c>
      <c r="C1404" s="52" t="s">
        <v>722</v>
      </c>
    </row>
    <row r="1405" spans="1:3" hidden="1" x14ac:dyDescent="0.25">
      <c r="A1405" s="52" t="s">
        <v>2359</v>
      </c>
      <c r="B1405" s="52" t="s">
        <v>1114</v>
      </c>
      <c r="C1405" s="52" t="s">
        <v>722</v>
      </c>
    </row>
    <row r="1406" spans="1:3" hidden="1" x14ac:dyDescent="0.25">
      <c r="A1406" s="52" t="s">
        <v>2360</v>
      </c>
      <c r="B1406" s="52" t="s">
        <v>1116</v>
      </c>
      <c r="C1406" s="52" t="s">
        <v>722</v>
      </c>
    </row>
    <row r="1407" spans="1:3" hidden="1" x14ac:dyDescent="0.25">
      <c r="A1407" s="52" t="s">
        <v>2361</v>
      </c>
      <c r="B1407" s="52" t="s">
        <v>5571</v>
      </c>
      <c r="C1407" s="52" t="s">
        <v>722</v>
      </c>
    </row>
    <row r="1408" spans="1:3" hidden="1" x14ac:dyDescent="0.25">
      <c r="A1408" s="52" t="s">
        <v>2362</v>
      </c>
      <c r="B1408" s="52" t="s">
        <v>5572</v>
      </c>
      <c r="C1408" s="52" t="s">
        <v>722</v>
      </c>
    </row>
    <row r="1409" spans="1:3" hidden="1" x14ac:dyDescent="0.25">
      <c r="A1409" s="52" t="s">
        <v>2363</v>
      </c>
      <c r="B1409" s="52" t="s">
        <v>1120</v>
      </c>
      <c r="C1409" s="52" t="s">
        <v>722</v>
      </c>
    </row>
    <row r="1410" spans="1:3" hidden="1" x14ac:dyDescent="0.25">
      <c r="A1410" s="52" t="s">
        <v>2364</v>
      </c>
      <c r="B1410" s="52" t="s">
        <v>1122</v>
      </c>
      <c r="C1410" s="52" t="s">
        <v>722</v>
      </c>
    </row>
    <row r="1411" spans="1:3" hidden="1" x14ac:dyDescent="0.25">
      <c r="A1411" s="52" t="s">
        <v>2365</v>
      </c>
      <c r="B1411" s="52" t="s">
        <v>1124</v>
      </c>
      <c r="C1411" s="52" t="s">
        <v>722</v>
      </c>
    </row>
    <row r="1412" spans="1:3" hidden="1" x14ac:dyDescent="0.25">
      <c r="A1412" s="52" t="s">
        <v>2366</v>
      </c>
      <c r="B1412" s="52" t="s">
        <v>1126</v>
      </c>
      <c r="C1412" s="52" t="s">
        <v>722</v>
      </c>
    </row>
    <row r="1413" spans="1:3" hidden="1" x14ac:dyDescent="0.25">
      <c r="A1413" s="52" t="s">
        <v>2367</v>
      </c>
      <c r="B1413" s="52" t="s">
        <v>1128</v>
      </c>
      <c r="C1413" s="52" t="s">
        <v>722</v>
      </c>
    </row>
    <row r="1414" spans="1:3" hidden="1" x14ac:dyDescent="0.25">
      <c r="A1414" s="52" t="s">
        <v>2368</v>
      </c>
      <c r="B1414" s="52" t="s">
        <v>1130</v>
      </c>
      <c r="C1414" s="52" t="s">
        <v>722</v>
      </c>
    </row>
    <row r="1415" spans="1:3" hidden="1" x14ac:dyDescent="0.25">
      <c r="A1415" s="52" t="s">
        <v>2369</v>
      </c>
      <c r="B1415" s="52" t="s">
        <v>5778</v>
      </c>
      <c r="C1415" s="52" t="s">
        <v>722</v>
      </c>
    </row>
    <row r="1416" spans="1:3" hidden="1" x14ac:dyDescent="0.25">
      <c r="A1416" s="52" t="s">
        <v>2370</v>
      </c>
      <c r="B1416" s="52" t="s">
        <v>1133</v>
      </c>
      <c r="C1416" s="52" t="s">
        <v>722</v>
      </c>
    </row>
    <row r="1417" spans="1:3" hidden="1" x14ac:dyDescent="0.25">
      <c r="A1417" s="52" t="s">
        <v>2371</v>
      </c>
      <c r="B1417" s="52" t="s">
        <v>1135</v>
      </c>
      <c r="C1417" s="52" t="s">
        <v>722</v>
      </c>
    </row>
    <row r="1418" spans="1:3" hidden="1" x14ac:dyDescent="0.25">
      <c r="A1418" s="52" t="s">
        <v>2372</v>
      </c>
      <c r="B1418" s="52" t="s">
        <v>5779</v>
      </c>
      <c r="C1418" s="52" t="s">
        <v>722</v>
      </c>
    </row>
    <row r="1419" spans="1:3" hidden="1" x14ac:dyDescent="0.25">
      <c r="A1419" s="52" t="s">
        <v>2373</v>
      </c>
      <c r="B1419" s="52" t="s">
        <v>5780</v>
      </c>
      <c r="C1419" s="52" t="s">
        <v>722</v>
      </c>
    </row>
    <row r="1420" spans="1:3" hidden="1" x14ac:dyDescent="0.25">
      <c r="A1420" s="52" t="s">
        <v>2374</v>
      </c>
      <c r="B1420" s="52" t="s">
        <v>5781</v>
      </c>
      <c r="C1420" s="52" t="s">
        <v>722</v>
      </c>
    </row>
    <row r="1421" spans="1:3" hidden="1" x14ac:dyDescent="0.25">
      <c r="A1421" s="52" t="s">
        <v>2375</v>
      </c>
      <c r="B1421" s="52" t="s">
        <v>5782</v>
      </c>
      <c r="C1421" s="52" t="s">
        <v>722</v>
      </c>
    </row>
    <row r="1422" spans="1:3" hidden="1" x14ac:dyDescent="0.25">
      <c r="A1422" s="52" t="s">
        <v>2376</v>
      </c>
      <c r="B1422" s="52" t="s">
        <v>5783</v>
      </c>
      <c r="C1422" s="52" t="s">
        <v>722</v>
      </c>
    </row>
    <row r="1423" spans="1:3" hidden="1" x14ac:dyDescent="0.25">
      <c r="A1423" s="52" t="s">
        <v>2377</v>
      </c>
      <c r="B1423" s="52" t="s">
        <v>5784</v>
      </c>
      <c r="C1423" s="52" t="s">
        <v>722</v>
      </c>
    </row>
    <row r="1424" spans="1:3" hidden="1" x14ac:dyDescent="0.25">
      <c r="A1424" s="52" t="s">
        <v>2378</v>
      </c>
      <c r="B1424" s="52" t="s">
        <v>5785</v>
      </c>
      <c r="C1424" s="52" t="s">
        <v>722</v>
      </c>
    </row>
    <row r="1425" spans="1:3" hidden="1" x14ac:dyDescent="0.25">
      <c r="A1425" s="52" t="s">
        <v>2379</v>
      </c>
      <c r="B1425" s="52" t="s">
        <v>5786</v>
      </c>
      <c r="C1425" s="52" t="s">
        <v>722</v>
      </c>
    </row>
    <row r="1426" spans="1:3" hidden="1" x14ac:dyDescent="0.25">
      <c r="A1426" s="52" t="s">
        <v>2380</v>
      </c>
      <c r="B1426" s="52" t="s">
        <v>5787</v>
      </c>
      <c r="C1426" s="52" t="s">
        <v>722</v>
      </c>
    </row>
    <row r="1427" spans="1:3" hidden="1" x14ac:dyDescent="0.25">
      <c r="A1427" s="52" t="s">
        <v>2381</v>
      </c>
      <c r="B1427" s="52" t="s">
        <v>5788</v>
      </c>
      <c r="C1427" s="52" t="s">
        <v>722</v>
      </c>
    </row>
    <row r="1428" spans="1:3" hidden="1" x14ac:dyDescent="0.25">
      <c r="A1428" s="52" t="s">
        <v>2382</v>
      </c>
      <c r="B1428" s="52" t="s">
        <v>1204</v>
      </c>
      <c r="C1428" s="52" t="s">
        <v>722</v>
      </c>
    </row>
    <row r="1429" spans="1:3" hidden="1" x14ac:dyDescent="0.25">
      <c r="A1429" s="52" t="s">
        <v>2383</v>
      </c>
      <c r="B1429" s="52" t="s">
        <v>5789</v>
      </c>
      <c r="C1429" s="52" t="s">
        <v>722</v>
      </c>
    </row>
    <row r="1430" spans="1:3" hidden="1" x14ac:dyDescent="0.25">
      <c r="A1430" s="52" t="s">
        <v>2384</v>
      </c>
      <c r="B1430" s="52" t="s">
        <v>5790</v>
      </c>
      <c r="C1430" s="52" t="s">
        <v>722</v>
      </c>
    </row>
    <row r="1431" spans="1:3" hidden="1" x14ac:dyDescent="0.25">
      <c r="A1431" s="52" t="s">
        <v>2385</v>
      </c>
      <c r="B1431" s="52" t="s">
        <v>5791</v>
      </c>
      <c r="C1431" s="52" t="s">
        <v>722</v>
      </c>
    </row>
    <row r="1432" spans="1:3" hidden="1" x14ac:dyDescent="0.25">
      <c r="A1432" s="52" t="s">
        <v>2386</v>
      </c>
      <c r="B1432" s="52" t="s">
        <v>5792</v>
      </c>
      <c r="C1432" s="52" t="s">
        <v>722</v>
      </c>
    </row>
    <row r="1433" spans="1:3" hidden="1" x14ac:dyDescent="0.25">
      <c r="A1433" s="52" t="s">
        <v>2387</v>
      </c>
      <c r="B1433" s="52" t="s">
        <v>5793</v>
      </c>
      <c r="C1433" s="52" t="s">
        <v>722</v>
      </c>
    </row>
    <row r="1434" spans="1:3" hidden="1" x14ac:dyDescent="0.25">
      <c r="A1434" s="52" t="s">
        <v>2388</v>
      </c>
      <c r="B1434" s="52" t="s">
        <v>5794</v>
      </c>
      <c r="C1434" s="52" t="s">
        <v>722</v>
      </c>
    </row>
    <row r="1435" spans="1:3" hidden="1" x14ac:dyDescent="0.25">
      <c r="A1435" s="52" t="s">
        <v>2389</v>
      </c>
      <c r="B1435" s="52" t="s">
        <v>5597</v>
      </c>
      <c r="C1435" s="52" t="s">
        <v>722</v>
      </c>
    </row>
    <row r="1436" spans="1:3" hidden="1" x14ac:dyDescent="0.25">
      <c r="A1436" s="52" t="s">
        <v>2390</v>
      </c>
      <c r="B1436" s="52" t="s">
        <v>5795</v>
      </c>
      <c r="C1436" s="52" t="s">
        <v>722</v>
      </c>
    </row>
    <row r="1437" spans="1:3" hidden="1" x14ac:dyDescent="0.25">
      <c r="A1437" s="52" t="s">
        <v>2391</v>
      </c>
      <c r="B1437" s="52" t="s">
        <v>5796</v>
      </c>
      <c r="C1437" s="52" t="s">
        <v>722</v>
      </c>
    </row>
    <row r="1438" spans="1:3" hidden="1" x14ac:dyDescent="0.25">
      <c r="A1438" s="52" t="s">
        <v>2392</v>
      </c>
      <c r="B1438" s="52" t="s">
        <v>4691</v>
      </c>
      <c r="C1438" s="52" t="s">
        <v>722</v>
      </c>
    </row>
    <row r="1439" spans="1:3" hidden="1" x14ac:dyDescent="0.25">
      <c r="A1439" s="52" t="s">
        <v>2393</v>
      </c>
      <c r="B1439" s="52" t="s">
        <v>5129</v>
      </c>
      <c r="C1439" s="52" t="s">
        <v>722</v>
      </c>
    </row>
    <row r="1440" spans="1:3" hidden="1" x14ac:dyDescent="0.25">
      <c r="A1440" s="52" t="s">
        <v>2394</v>
      </c>
      <c r="B1440" s="52" t="s">
        <v>5797</v>
      </c>
      <c r="C1440" s="52" t="s">
        <v>722</v>
      </c>
    </row>
    <row r="1441" spans="1:3" hidden="1" x14ac:dyDescent="0.25">
      <c r="A1441" s="52" t="s">
        <v>2395</v>
      </c>
      <c r="B1441" s="52" t="s">
        <v>5798</v>
      </c>
      <c r="C1441" s="52" t="s">
        <v>722</v>
      </c>
    </row>
    <row r="1442" spans="1:3" hidden="1" x14ac:dyDescent="0.25">
      <c r="A1442" s="52" t="s">
        <v>2396</v>
      </c>
      <c r="B1442" s="52" t="s">
        <v>5799</v>
      </c>
      <c r="C1442" s="52" t="s">
        <v>722</v>
      </c>
    </row>
    <row r="1443" spans="1:3" hidden="1" x14ac:dyDescent="0.25">
      <c r="A1443" s="52" t="s">
        <v>2397</v>
      </c>
      <c r="B1443" s="52" t="s">
        <v>5800</v>
      </c>
      <c r="C1443" s="52" t="s">
        <v>722</v>
      </c>
    </row>
    <row r="1444" spans="1:3" hidden="1" x14ac:dyDescent="0.25">
      <c r="A1444" s="52" t="s">
        <v>2398</v>
      </c>
      <c r="B1444" s="52" t="s">
        <v>5801</v>
      </c>
      <c r="C1444" s="52" t="s">
        <v>722</v>
      </c>
    </row>
    <row r="1445" spans="1:3" hidden="1" x14ac:dyDescent="0.25">
      <c r="A1445" s="52" t="s">
        <v>2399</v>
      </c>
      <c r="B1445" s="52" t="s">
        <v>5802</v>
      </c>
      <c r="C1445" s="52" t="s">
        <v>722</v>
      </c>
    </row>
    <row r="1446" spans="1:3" hidden="1" x14ac:dyDescent="0.25">
      <c r="A1446" s="52" t="s">
        <v>2400</v>
      </c>
      <c r="B1446" s="52" t="s">
        <v>5803</v>
      </c>
      <c r="C1446" s="52" t="s">
        <v>722</v>
      </c>
    </row>
    <row r="1447" spans="1:3" hidden="1" x14ac:dyDescent="0.25">
      <c r="A1447" s="52" t="s">
        <v>2401</v>
      </c>
      <c r="B1447" s="52" t="s">
        <v>5804</v>
      </c>
      <c r="C1447" s="52" t="s">
        <v>722</v>
      </c>
    </row>
    <row r="1448" spans="1:3" hidden="1" x14ac:dyDescent="0.25">
      <c r="A1448" s="52" t="s">
        <v>2402</v>
      </c>
      <c r="B1448" s="52" t="s">
        <v>5805</v>
      </c>
      <c r="C1448" s="52" t="s">
        <v>722</v>
      </c>
    </row>
    <row r="1449" spans="1:3" hidden="1" x14ac:dyDescent="0.25">
      <c r="A1449" s="52" t="s">
        <v>2403</v>
      </c>
      <c r="B1449" s="52" t="s">
        <v>5806</v>
      </c>
      <c r="C1449" s="52" t="s">
        <v>722</v>
      </c>
    </row>
    <row r="1450" spans="1:3" hidden="1" x14ac:dyDescent="0.25">
      <c r="A1450" s="52" t="s">
        <v>2404</v>
      </c>
      <c r="B1450" s="52" t="s">
        <v>5807</v>
      </c>
      <c r="C1450" s="52" t="s">
        <v>722</v>
      </c>
    </row>
    <row r="1451" spans="1:3" hidden="1" x14ac:dyDescent="0.25">
      <c r="A1451" s="52" t="s">
        <v>2405</v>
      </c>
      <c r="B1451" s="52" t="s">
        <v>5808</v>
      </c>
      <c r="C1451" s="52" t="s">
        <v>722</v>
      </c>
    </row>
    <row r="1452" spans="1:3" hidden="1" x14ac:dyDescent="0.25">
      <c r="A1452" s="52" t="s">
        <v>2406</v>
      </c>
      <c r="B1452" s="52" t="s">
        <v>5809</v>
      </c>
      <c r="C1452" s="52" t="s">
        <v>722</v>
      </c>
    </row>
    <row r="1453" spans="1:3" hidden="1" x14ac:dyDescent="0.25">
      <c r="A1453" s="52" t="s">
        <v>2407</v>
      </c>
      <c r="B1453" s="52" t="s">
        <v>5810</v>
      </c>
      <c r="C1453" s="52" t="s">
        <v>722</v>
      </c>
    </row>
    <row r="1454" spans="1:3" hidden="1" x14ac:dyDescent="0.25">
      <c r="A1454" s="52" t="s">
        <v>2408</v>
      </c>
      <c r="B1454" s="52" t="s">
        <v>5811</v>
      </c>
      <c r="C1454" s="52" t="s">
        <v>722</v>
      </c>
    </row>
    <row r="1455" spans="1:3" hidden="1" x14ac:dyDescent="0.25">
      <c r="A1455" s="52" t="s">
        <v>2409</v>
      </c>
      <c r="B1455" s="52" t="s">
        <v>5812</v>
      </c>
      <c r="C1455" s="52" t="s">
        <v>722</v>
      </c>
    </row>
    <row r="1456" spans="1:3" hidden="1" x14ac:dyDescent="0.25">
      <c r="A1456" s="52" t="s">
        <v>2410</v>
      </c>
      <c r="B1456" s="52" t="s">
        <v>5813</v>
      </c>
      <c r="C1456" s="52" t="s">
        <v>722</v>
      </c>
    </row>
    <row r="1457" spans="1:3" hidden="1" x14ac:dyDescent="0.25">
      <c r="A1457" s="52" t="s">
        <v>2411</v>
      </c>
      <c r="B1457" s="52" t="s">
        <v>5814</v>
      </c>
      <c r="C1457" s="52" t="s">
        <v>722</v>
      </c>
    </row>
    <row r="1458" spans="1:3" hidden="1" x14ac:dyDescent="0.25">
      <c r="A1458" s="52" t="s">
        <v>2412</v>
      </c>
      <c r="B1458" s="52" t="s">
        <v>5815</v>
      </c>
      <c r="C1458" s="52" t="s">
        <v>722</v>
      </c>
    </row>
    <row r="1459" spans="1:3" hidden="1" x14ac:dyDescent="0.25">
      <c r="A1459" s="52" t="s">
        <v>2413</v>
      </c>
      <c r="B1459" s="52" t="s">
        <v>5816</v>
      </c>
      <c r="C1459" s="52" t="s">
        <v>722</v>
      </c>
    </row>
    <row r="1460" spans="1:3" hidden="1" x14ac:dyDescent="0.25">
      <c r="A1460" s="52" t="s">
        <v>2414</v>
      </c>
      <c r="B1460" s="52" t="s">
        <v>4846</v>
      </c>
      <c r="C1460" s="52" t="s">
        <v>722</v>
      </c>
    </row>
    <row r="1461" spans="1:3" hidden="1" x14ac:dyDescent="0.25">
      <c r="A1461" s="52" t="s">
        <v>2415</v>
      </c>
      <c r="B1461" s="52" t="s">
        <v>5817</v>
      </c>
      <c r="C1461" s="52" t="s">
        <v>722</v>
      </c>
    </row>
    <row r="1462" spans="1:3" hidden="1" x14ac:dyDescent="0.25">
      <c r="A1462" s="52" t="s">
        <v>2416</v>
      </c>
      <c r="B1462" s="52" t="s">
        <v>5818</v>
      </c>
      <c r="C1462" s="52" t="s">
        <v>722</v>
      </c>
    </row>
    <row r="1463" spans="1:3" hidden="1" x14ac:dyDescent="0.25">
      <c r="A1463" s="52" t="s">
        <v>2417</v>
      </c>
      <c r="B1463" s="52" t="s">
        <v>5819</v>
      </c>
      <c r="C1463" s="52" t="s">
        <v>722</v>
      </c>
    </row>
    <row r="1464" spans="1:3" hidden="1" x14ac:dyDescent="0.25">
      <c r="A1464" s="52" t="s">
        <v>2418</v>
      </c>
      <c r="B1464" s="52" t="s">
        <v>5820</v>
      </c>
      <c r="C1464" s="52" t="s">
        <v>722</v>
      </c>
    </row>
    <row r="1465" spans="1:3" hidden="1" x14ac:dyDescent="0.25">
      <c r="A1465" s="52" t="s">
        <v>2419</v>
      </c>
      <c r="B1465" s="52" t="s">
        <v>5821</v>
      </c>
      <c r="C1465" s="52" t="s">
        <v>722</v>
      </c>
    </row>
    <row r="1466" spans="1:3" hidden="1" x14ac:dyDescent="0.25">
      <c r="A1466" s="52" t="s">
        <v>2420</v>
      </c>
      <c r="B1466" s="52" t="s">
        <v>5605</v>
      </c>
      <c r="C1466" s="52" t="s">
        <v>722</v>
      </c>
    </row>
    <row r="1467" spans="1:3" hidden="1" x14ac:dyDescent="0.25">
      <c r="A1467" s="52" t="s">
        <v>2421</v>
      </c>
      <c r="B1467" s="52" t="s">
        <v>5822</v>
      </c>
      <c r="C1467" s="52" t="s">
        <v>722</v>
      </c>
    </row>
    <row r="1468" spans="1:3" hidden="1" x14ac:dyDescent="0.25">
      <c r="A1468" s="52" t="s">
        <v>2422</v>
      </c>
      <c r="B1468" s="52" t="s">
        <v>5823</v>
      </c>
      <c r="C1468" s="52" t="s">
        <v>722</v>
      </c>
    </row>
    <row r="1469" spans="1:3" hidden="1" x14ac:dyDescent="0.25">
      <c r="A1469" s="52" t="s">
        <v>2423</v>
      </c>
      <c r="B1469" s="52" t="s">
        <v>5824</v>
      </c>
      <c r="C1469" s="52" t="s">
        <v>722</v>
      </c>
    </row>
    <row r="1470" spans="1:3" hidden="1" x14ac:dyDescent="0.25">
      <c r="A1470" s="52" t="s">
        <v>2424</v>
      </c>
      <c r="B1470" s="52" t="s">
        <v>5825</v>
      </c>
      <c r="C1470" s="52" t="s">
        <v>722</v>
      </c>
    </row>
    <row r="1471" spans="1:3" hidden="1" x14ac:dyDescent="0.25">
      <c r="A1471" s="52" t="s">
        <v>2425</v>
      </c>
      <c r="B1471" s="52" t="s">
        <v>4713</v>
      </c>
      <c r="C1471" s="52" t="s">
        <v>722</v>
      </c>
    </row>
    <row r="1472" spans="1:3" hidden="1" x14ac:dyDescent="0.25">
      <c r="A1472" s="52" t="s">
        <v>2426</v>
      </c>
      <c r="B1472" s="52" t="s">
        <v>5826</v>
      </c>
      <c r="C1472" s="52" t="s">
        <v>722</v>
      </c>
    </row>
    <row r="1473" spans="1:3" hidden="1" x14ac:dyDescent="0.25">
      <c r="A1473" s="52" t="s">
        <v>2427</v>
      </c>
      <c r="B1473" s="52" t="s">
        <v>5827</v>
      </c>
      <c r="C1473" s="52" t="s">
        <v>722</v>
      </c>
    </row>
    <row r="1474" spans="1:3" hidden="1" x14ac:dyDescent="0.25">
      <c r="A1474" s="52" t="s">
        <v>2428</v>
      </c>
      <c r="B1474" s="52" t="s">
        <v>5828</v>
      </c>
      <c r="C1474" s="52" t="s">
        <v>722</v>
      </c>
    </row>
    <row r="1475" spans="1:3" hidden="1" x14ac:dyDescent="0.25">
      <c r="A1475" s="52" t="s">
        <v>2429</v>
      </c>
      <c r="B1475" s="52" t="s">
        <v>5829</v>
      </c>
      <c r="C1475" s="52" t="s">
        <v>722</v>
      </c>
    </row>
    <row r="1476" spans="1:3" hidden="1" x14ac:dyDescent="0.25">
      <c r="A1476" s="52" t="s">
        <v>2430</v>
      </c>
      <c r="B1476" s="52" t="s">
        <v>4851</v>
      </c>
      <c r="C1476" s="52" t="s">
        <v>722</v>
      </c>
    </row>
    <row r="1477" spans="1:3" hidden="1" x14ac:dyDescent="0.25">
      <c r="A1477" s="52" t="s">
        <v>2431</v>
      </c>
      <c r="B1477" s="52" t="s">
        <v>4721</v>
      </c>
      <c r="C1477" s="52" t="s">
        <v>722</v>
      </c>
    </row>
    <row r="1478" spans="1:3" hidden="1" x14ac:dyDescent="0.25">
      <c r="A1478" s="52" t="s">
        <v>2432</v>
      </c>
      <c r="B1478" s="52" t="s">
        <v>5830</v>
      </c>
      <c r="C1478" s="52" t="s">
        <v>722</v>
      </c>
    </row>
    <row r="1479" spans="1:3" hidden="1" x14ac:dyDescent="0.25">
      <c r="A1479" s="52" t="s">
        <v>2433</v>
      </c>
      <c r="B1479" s="52" t="s">
        <v>5831</v>
      </c>
      <c r="C1479" s="52" t="s">
        <v>722</v>
      </c>
    </row>
    <row r="1480" spans="1:3" hidden="1" x14ac:dyDescent="0.25">
      <c r="A1480" s="52" t="s">
        <v>2434</v>
      </c>
      <c r="B1480" s="52" t="s">
        <v>5832</v>
      </c>
      <c r="C1480" s="52" t="s">
        <v>722</v>
      </c>
    </row>
    <row r="1481" spans="1:3" hidden="1" x14ac:dyDescent="0.25">
      <c r="A1481" s="52" t="s">
        <v>2435</v>
      </c>
      <c r="B1481" s="52" t="s">
        <v>5833</v>
      </c>
      <c r="C1481" s="52" t="s">
        <v>722</v>
      </c>
    </row>
    <row r="1482" spans="1:3" hidden="1" x14ac:dyDescent="0.25">
      <c r="A1482" s="52" t="s">
        <v>2436</v>
      </c>
      <c r="B1482" s="52" t="s">
        <v>5834</v>
      </c>
      <c r="C1482" s="52" t="s">
        <v>722</v>
      </c>
    </row>
    <row r="1483" spans="1:3" hidden="1" x14ac:dyDescent="0.25">
      <c r="A1483" s="52" t="s">
        <v>2437</v>
      </c>
      <c r="B1483" s="52" t="s">
        <v>5835</v>
      </c>
      <c r="C1483" s="52" t="s">
        <v>722</v>
      </c>
    </row>
    <row r="1484" spans="1:3" hidden="1" x14ac:dyDescent="0.25">
      <c r="A1484" s="52" t="s">
        <v>2438</v>
      </c>
      <c r="B1484" s="52" t="s">
        <v>5836</v>
      </c>
      <c r="C1484" s="52" t="s">
        <v>722</v>
      </c>
    </row>
    <row r="1485" spans="1:3" hidden="1" x14ac:dyDescent="0.25">
      <c r="A1485" s="52" t="s">
        <v>2439</v>
      </c>
      <c r="B1485" s="52" t="s">
        <v>5837</v>
      </c>
      <c r="C1485" s="52" t="s">
        <v>722</v>
      </c>
    </row>
    <row r="1486" spans="1:3" hidden="1" x14ac:dyDescent="0.25">
      <c r="A1486" s="52" t="s">
        <v>2440</v>
      </c>
      <c r="B1486" s="52" t="s">
        <v>5838</v>
      </c>
      <c r="C1486" s="52" t="s">
        <v>722</v>
      </c>
    </row>
    <row r="1487" spans="1:3" hidden="1" x14ac:dyDescent="0.25">
      <c r="A1487" s="52" t="s">
        <v>2441</v>
      </c>
      <c r="B1487" s="52" t="s">
        <v>5839</v>
      </c>
      <c r="C1487" s="52" t="s">
        <v>722</v>
      </c>
    </row>
    <row r="1488" spans="1:3" hidden="1" x14ac:dyDescent="0.25">
      <c r="A1488" s="52" t="s">
        <v>2442</v>
      </c>
      <c r="B1488" s="52" t="s">
        <v>5840</v>
      </c>
      <c r="C1488" s="52" t="s">
        <v>722</v>
      </c>
    </row>
    <row r="1489" spans="1:3" hidden="1" x14ac:dyDescent="0.25">
      <c r="A1489" s="52" t="s">
        <v>2443</v>
      </c>
      <c r="B1489" s="52" t="s">
        <v>5841</v>
      </c>
      <c r="C1489" s="52" t="s">
        <v>722</v>
      </c>
    </row>
    <row r="1490" spans="1:3" hidden="1" x14ac:dyDescent="0.25">
      <c r="A1490" s="52" t="s">
        <v>2444</v>
      </c>
      <c r="B1490" s="52" t="s">
        <v>5842</v>
      </c>
      <c r="C1490" s="52" t="s">
        <v>722</v>
      </c>
    </row>
    <row r="1491" spans="1:3" hidden="1" x14ac:dyDescent="0.25">
      <c r="A1491" s="52" t="s">
        <v>2445</v>
      </c>
      <c r="B1491" s="52" t="s">
        <v>5843</v>
      </c>
      <c r="C1491" s="52" t="s">
        <v>722</v>
      </c>
    </row>
    <row r="1492" spans="1:3" hidden="1" x14ac:dyDescent="0.25">
      <c r="A1492" s="52" t="s">
        <v>2446</v>
      </c>
      <c r="B1492" s="52" t="s">
        <v>5844</v>
      </c>
      <c r="C1492" s="52" t="s">
        <v>722</v>
      </c>
    </row>
    <row r="1493" spans="1:3" hidden="1" x14ac:dyDescent="0.25">
      <c r="A1493" s="52" t="s">
        <v>2447</v>
      </c>
      <c r="B1493" s="52" t="s">
        <v>5845</v>
      </c>
      <c r="C1493" s="52" t="s">
        <v>722</v>
      </c>
    </row>
    <row r="1494" spans="1:3" hidden="1" x14ac:dyDescent="0.25">
      <c r="A1494" s="52" t="s">
        <v>2448</v>
      </c>
      <c r="B1494" s="52" t="s">
        <v>5846</v>
      </c>
      <c r="C1494" s="52" t="s">
        <v>722</v>
      </c>
    </row>
    <row r="1495" spans="1:3" hidden="1" x14ac:dyDescent="0.25">
      <c r="A1495" s="52" t="s">
        <v>2449</v>
      </c>
      <c r="B1495" s="52" t="s">
        <v>5847</v>
      </c>
      <c r="C1495" s="52" t="s">
        <v>722</v>
      </c>
    </row>
    <row r="1496" spans="1:3" hidden="1" x14ac:dyDescent="0.25">
      <c r="A1496" s="52" t="s">
        <v>2450</v>
      </c>
      <c r="B1496" s="52" t="s">
        <v>5848</v>
      </c>
      <c r="C1496" s="52" t="s">
        <v>722</v>
      </c>
    </row>
    <row r="1497" spans="1:3" hidden="1" x14ac:dyDescent="0.25">
      <c r="A1497" s="52" t="s">
        <v>2451</v>
      </c>
      <c r="B1497" s="52" t="s">
        <v>5849</v>
      </c>
      <c r="C1497" s="52" t="s">
        <v>722</v>
      </c>
    </row>
    <row r="1498" spans="1:3" hidden="1" x14ac:dyDescent="0.25">
      <c r="A1498" s="52" t="s">
        <v>2452</v>
      </c>
      <c r="B1498" s="52" t="s">
        <v>5850</v>
      </c>
      <c r="C1498" s="52" t="s">
        <v>722</v>
      </c>
    </row>
    <row r="1499" spans="1:3" hidden="1" x14ac:dyDescent="0.25">
      <c r="A1499" s="52" t="s">
        <v>2453</v>
      </c>
      <c r="B1499" s="52" t="s">
        <v>5851</v>
      </c>
      <c r="C1499" s="52" t="s">
        <v>722</v>
      </c>
    </row>
    <row r="1500" spans="1:3" hidden="1" x14ac:dyDescent="0.25">
      <c r="A1500" s="52" t="s">
        <v>2454</v>
      </c>
      <c r="B1500" s="52" t="s">
        <v>5852</v>
      </c>
      <c r="C1500" s="52" t="s">
        <v>722</v>
      </c>
    </row>
    <row r="1501" spans="1:3" hidden="1" x14ac:dyDescent="0.25">
      <c r="A1501" s="52" t="s">
        <v>2455</v>
      </c>
      <c r="B1501" s="52" t="s">
        <v>5853</v>
      </c>
      <c r="C1501" s="52" t="s">
        <v>722</v>
      </c>
    </row>
    <row r="1502" spans="1:3" hidden="1" x14ac:dyDescent="0.25">
      <c r="A1502" s="52" t="s">
        <v>2456</v>
      </c>
      <c r="B1502" s="52" t="s">
        <v>5854</v>
      </c>
      <c r="C1502" s="52" t="s">
        <v>722</v>
      </c>
    </row>
    <row r="1503" spans="1:3" hidden="1" x14ac:dyDescent="0.25">
      <c r="A1503" s="52" t="s">
        <v>2457</v>
      </c>
      <c r="B1503" s="52" t="s">
        <v>5855</v>
      </c>
      <c r="C1503" s="52" t="s">
        <v>722</v>
      </c>
    </row>
    <row r="1504" spans="1:3" hidden="1" x14ac:dyDescent="0.25">
      <c r="A1504" s="52" t="s">
        <v>2458</v>
      </c>
      <c r="B1504" s="52" t="s">
        <v>5856</v>
      </c>
      <c r="C1504" s="52" t="s">
        <v>722</v>
      </c>
    </row>
    <row r="1505" spans="1:3" hidden="1" x14ac:dyDescent="0.25">
      <c r="A1505" s="52" t="s">
        <v>2459</v>
      </c>
      <c r="B1505" s="52" t="s">
        <v>5857</v>
      </c>
      <c r="C1505" s="52" t="s">
        <v>722</v>
      </c>
    </row>
    <row r="1506" spans="1:3" hidden="1" x14ac:dyDescent="0.25">
      <c r="A1506" s="52" t="s">
        <v>2460</v>
      </c>
      <c r="B1506" s="52" t="s">
        <v>5858</v>
      </c>
      <c r="C1506" s="52" t="s">
        <v>722</v>
      </c>
    </row>
    <row r="1507" spans="1:3" hidden="1" x14ac:dyDescent="0.25">
      <c r="A1507" s="52" t="s">
        <v>2461</v>
      </c>
      <c r="B1507" s="52" t="s">
        <v>5859</v>
      </c>
      <c r="C1507" s="52" t="s">
        <v>722</v>
      </c>
    </row>
    <row r="1508" spans="1:3" hidden="1" x14ac:dyDescent="0.25">
      <c r="A1508" s="52" t="s">
        <v>2462</v>
      </c>
      <c r="B1508" s="52" t="s">
        <v>5526</v>
      </c>
      <c r="C1508" s="52" t="s">
        <v>722</v>
      </c>
    </row>
    <row r="1509" spans="1:3" hidden="1" x14ac:dyDescent="0.25">
      <c r="A1509" s="52" t="s">
        <v>2463</v>
      </c>
      <c r="B1509" s="52" t="s">
        <v>5860</v>
      </c>
      <c r="C1509" s="52" t="s">
        <v>722</v>
      </c>
    </row>
    <row r="1510" spans="1:3" hidden="1" x14ac:dyDescent="0.25">
      <c r="A1510" s="52" t="s">
        <v>2464</v>
      </c>
      <c r="B1510" s="52" t="s">
        <v>5861</v>
      </c>
      <c r="C1510" s="52" t="s">
        <v>722</v>
      </c>
    </row>
    <row r="1511" spans="1:3" hidden="1" x14ac:dyDescent="0.25">
      <c r="A1511" s="52" t="s">
        <v>2465</v>
      </c>
      <c r="B1511" s="52" t="s">
        <v>4738</v>
      </c>
      <c r="C1511" s="52" t="s">
        <v>722</v>
      </c>
    </row>
    <row r="1512" spans="1:3" hidden="1" x14ac:dyDescent="0.25">
      <c r="A1512" s="52" t="s">
        <v>2466</v>
      </c>
      <c r="B1512" s="52" t="s">
        <v>5862</v>
      </c>
      <c r="C1512" s="52" t="s">
        <v>722</v>
      </c>
    </row>
    <row r="1513" spans="1:3" hidden="1" x14ac:dyDescent="0.25">
      <c r="A1513" s="52" t="s">
        <v>2467</v>
      </c>
      <c r="B1513" s="52" t="s">
        <v>5863</v>
      </c>
      <c r="C1513" s="52" t="s">
        <v>722</v>
      </c>
    </row>
    <row r="1514" spans="1:3" hidden="1" x14ac:dyDescent="0.25">
      <c r="A1514" s="52" t="s">
        <v>2468</v>
      </c>
      <c r="B1514" s="52" t="s">
        <v>5864</v>
      </c>
      <c r="C1514" s="52" t="s">
        <v>722</v>
      </c>
    </row>
    <row r="1515" spans="1:3" hidden="1" x14ac:dyDescent="0.25">
      <c r="A1515" s="52" t="s">
        <v>2469</v>
      </c>
      <c r="B1515" s="52" t="s">
        <v>5865</v>
      </c>
      <c r="C1515" s="52" t="s">
        <v>722</v>
      </c>
    </row>
    <row r="1516" spans="1:3" hidden="1" x14ac:dyDescent="0.25">
      <c r="A1516" s="52" t="s">
        <v>2470</v>
      </c>
      <c r="B1516" s="52" t="s">
        <v>5866</v>
      </c>
      <c r="C1516" s="52" t="s">
        <v>722</v>
      </c>
    </row>
    <row r="1517" spans="1:3" hidden="1" x14ac:dyDescent="0.25">
      <c r="A1517" s="52" t="s">
        <v>2471</v>
      </c>
      <c r="B1517" s="52" t="s">
        <v>5867</v>
      </c>
      <c r="C1517" s="52" t="s">
        <v>722</v>
      </c>
    </row>
    <row r="1518" spans="1:3" hidden="1" x14ac:dyDescent="0.25">
      <c r="A1518" s="52" t="s">
        <v>2472</v>
      </c>
      <c r="B1518" s="52" t="s">
        <v>5868</v>
      </c>
      <c r="C1518" s="52" t="s">
        <v>722</v>
      </c>
    </row>
    <row r="1519" spans="1:3" hidden="1" x14ac:dyDescent="0.25">
      <c r="A1519" s="52" t="s">
        <v>2473</v>
      </c>
      <c r="B1519" s="52" t="s">
        <v>5869</v>
      </c>
      <c r="C1519" s="52" t="s">
        <v>722</v>
      </c>
    </row>
    <row r="1520" spans="1:3" hidden="1" x14ac:dyDescent="0.25">
      <c r="A1520" s="52" t="s">
        <v>2474</v>
      </c>
      <c r="B1520" s="52" t="s">
        <v>5436</v>
      </c>
      <c r="C1520" s="52" t="s">
        <v>722</v>
      </c>
    </row>
    <row r="1521" spans="1:3" hidden="1" x14ac:dyDescent="0.25">
      <c r="A1521" s="52" t="s">
        <v>2475</v>
      </c>
      <c r="B1521" s="52" t="s">
        <v>5870</v>
      </c>
      <c r="C1521" s="52" t="s">
        <v>722</v>
      </c>
    </row>
    <row r="1522" spans="1:3" hidden="1" x14ac:dyDescent="0.25">
      <c r="A1522" s="52" t="s">
        <v>2476</v>
      </c>
      <c r="B1522" s="52" t="s">
        <v>5871</v>
      </c>
      <c r="C1522" s="52" t="s">
        <v>722</v>
      </c>
    </row>
    <row r="1523" spans="1:3" hidden="1" x14ac:dyDescent="0.25">
      <c r="A1523" s="52" t="s">
        <v>2477</v>
      </c>
      <c r="B1523" s="52" t="s">
        <v>5872</v>
      </c>
      <c r="C1523" s="52" t="s">
        <v>722</v>
      </c>
    </row>
    <row r="1524" spans="1:3" hidden="1" x14ac:dyDescent="0.25">
      <c r="A1524" s="52" t="s">
        <v>2478</v>
      </c>
      <c r="B1524" s="52" t="s">
        <v>5873</v>
      </c>
      <c r="C1524" s="52" t="s">
        <v>722</v>
      </c>
    </row>
    <row r="1525" spans="1:3" hidden="1" x14ac:dyDescent="0.25">
      <c r="A1525" s="52" t="s">
        <v>2479</v>
      </c>
      <c r="B1525" s="52" t="s">
        <v>5047</v>
      </c>
      <c r="C1525" s="52" t="s">
        <v>722</v>
      </c>
    </row>
    <row r="1526" spans="1:3" hidden="1" x14ac:dyDescent="0.25">
      <c r="A1526" s="52" t="s">
        <v>2480</v>
      </c>
      <c r="B1526" s="52" t="s">
        <v>5874</v>
      </c>
      <c r="C1526" s="52" t="s">
        <v>722</v>
      </c>
    </row>
    <row r="1527" spans="1:3" hidden="1" x14ac:dyDescent="0.25">
      <c r="A1527" s="52" t="s">
        <v>2481</v>
      </c>
      <c r="B1527" s="52" t="s">
        <v>5875</v>
      </c>
      <c r="C1527" s="52" t="s">
        <v>722</v>
      </c>
    </row>
    <row r="1528" spans="1:3" hidden="1" x14ac:dyDescent="0.25">
      <c r="A1528" s="52" t="s">
        <v>2482</v>
      </c>
      <c r="B1528" s="52" t="s">
        <v>5876</v>
      </c>
      <c r="C1528" s="52" t="s">
        <v>722</v>
      </c>
    </row>
    <row r="1529" spans="1:3" hidden="1" x14ac:dyDescent="0.25">
      <c r="A1529" s="52" t="s">
        <v>2483</v>
      </c>
      <c r="B1529" s="52" t="s">
        <v>5534</v>
      </c>
      <c r="C1529" s="52" t="s">
        <v>722</v>
      </c>
    </row>
    <row r="1530" spans="1:3" hidden="1" x14ac:dyDescent="0.25">
      <c r="A1530" s="52" t="s">
        <v>2484</v>
      </c>
      <c r="B1530" s="52" t="s">
        <v>5877</v>
      </c>
      <c r="C1530" s="52" t="s">
        <v>722</v>
      </c>
    </row>
    <row r="1531" spans="1:3" hidden="1" x14ac:dyDescent="0.25">
      <c r="A1531" s="52" t="s">
        <v>2485</v>
      </c>
      <c r="B1531" s="52" t="s">
        <v>5878</v>
      </c>
      <c r="C1531" s="52" t="s">
        <v>722</v>
      </c>
    </row>
    <row r="1532" spans="1:3" hidden="1" x14ac:dyDescent="0.25">
      <c r="A1532" s="52" t="s">
        <v>2486</v>
      </c>
      <c r="B1532" s="52" t="s">
        <v>5879</v>
      </c>
      <c r="C1532" s="52" t="s">
        <v>722</v>
      </c>
    </row>
    <row r="1533" spans="1:3" hidden="1" x14ac:dyDescent="0.25">
      <c r="A1533" s="52" t="s">
        <v>2487</v>
      </c>
      <c r="B1533" s="52" t="s">
        <v>1057</v>
      </c>
      <c r="C1533" s="52" t="s">
        <v>722</v>
      </c>
    </row>
    <row r="1534" spans="1:3" hidden="1" x14ac:dyDescent="0.25">
      <c r="A1534" s="52" t="s">
        <v>2488</v>
      </c>
      <c r="B1534" s="52" t="s">
        <v>5880</v>
      </c>
      <c r="C1534" s="52" t="s">
        <v>722</v>
      </c>
    </row>
    <row r="1535" spans="1:3" hidden="1" x14ac:dyDescent="0.25">
      <c r="A1535" s="52" t="s">
        <v>2489</v>
      </c>
      <c r="B1535" s="52" t="s">
        <v>5881</v>
      </c>
      <c r="C1535" s="52" t="s">
        <v>722</v>
      </c>
    </row>
    <row r="1536" spans="1:3" hidden="1" x14ac:dyDescent="0.25">
      <c r="A1536" s="52" t="s">
        <v>2490</v>
      </c>
      <c r="B1536" s="52" t="s">
        <v>5882</v>
      </c>
      <c r="C1536" s="52" t="s">
        <v>722</v>
      </c>
    </row>
    <row r="1537" spans="1:3" hidden="1" x14ac:dyDescent="0.25">
      <c r="A1537" s="52" t="s">
        <v>2491</v>
      </c>
      <c r="B1537" s="52" t="s">
        <v>5883</v>
      </c>
      <c r="C1537" s="52" t="s">
        <v>741</v>
      </c>
    </row>
    <row r="1538" spans="1:3" hidden="1" x14ac:dyDescent="0.25">
      <c r="A1538" s="52" t="s">
        <v>2492</v>
      </c>
      <c r="B1538" s="52" t="s">
        <v>4578</v>
      </c>
      <c r="C1538" s="52" t="s">
        <v>741</v>
      </c>
    </row>
    <row r="1539" spans="1:3" hidden="1" x14ac:dyDescent="0.25">
      <c r="A1539" s="52" t="s">
        <v>2493</v>
      </c>
      <c r="B1539" s="52" t="s">
        <v>5884</v>
      </c>
      <c r="C1539" s="52" t="s">
        <v>741</v>
      </c>
    </row>
    <row r="1540" spans="1:3" hidden="1" x14ac:dyDescent="0.25">
      <c r="A1540" s="52" t="s">
        <v>2494</v>
      </c>
      <c r="B1540" s="52" t="s">
        <v>5885</v>
      </c>
      <c r="C1540" s="52" t="s">
        <v>741</v>
      </c>
    </row>
    <row r="1541" spans="1:3" hidden="1" x14ac:dyDescent="0.25">
      <c r="A1541" s="52" t="s">
        <v>2495</v>
      </c>
      <c r="B1541" s="52" t="s">
        <v>5886</v>
      </c>
      <c r="C1541" s="52" t="s">
        <v>741</v>
      </c>
    </row>
    <row r="1542" spans="1:3" hidden="1" x14ac:dyDescent="0.25">
      <c r="A1542" s="52" t="s">
        <v>2496</v>
      </c>
      <c r="B1542" s="52" t="s">
        <v>5887</v>
      </c>
      <c r="C1542" s="52" t="s">
        <v>741</v>
      </c>
    </row>
    <row r="1543" spans="1:3" hidden="1" x14ac:dyDescent="0.25">
      <c r="A1543" s="52" t="s">
        <v>2497</v>
      </c>
      <c r="B1543" s="52" t="s">
        <v>5888</v>
      </c>
      <c r="C1543" s="52" t="s">
        <v>741</v>
      </c>
    </row>
    <row r="1544" spans="1:3" hidden="1" x14ac:dyDescent="0.25">
      <c r="A1544" s="52" t="s">
        <v>2498</v>
      </c>
      <c r="B1544" s="52" t="s">
        <v>5889</v>
      </c>
      <c r="C1544" s="52" t="s">
        <v>741</v>
      </c>
    </row>
    <row r="1545" spans="1:3" hidden="1" x14ac:dyDescent="0.25">
      <c r="A1545" s="52" t="s">
        <v>2499</v>
      </c>
      <c r="B1545" s="52" t="s">
        <v>5890</v>
      </c>
      <c r="C1545" s="52" t="s">
        <v>741</v>
      </c>
    </row>
    <row r="1546" spans="1:3" hidden="1" x14ac:dyDescent="0.25">
      <c r="A1546" s="52" t="s">
        <v>2500</v>
      </c>
      <c r="B1546" s="52" t="s">
        <v>5891</v>
      </c>
      <c r="C1546" s="52" t="s">
        <v>741</v>
      </c>
    </row>
    <row r="1547" spans="1:3" hidden="1" x14ac:dyDescent="0.25">
      <c r="A1547" s="52" t="s">
        <v>2501</v>
      </c>
      <c r="B1547" s="52" t="s">
        <v>5892</v>
      </c>
      <c r="C1547" s="52" t="s">
        <v>741</v>
      </c>
    </row>
    <row r="1548" spans="1:3" hidden="1" x14ac:dyDescent="0.25">
      <c r="A1548" s="52" t="s">
        <v>2502</v>
      </c>
      <c r="B1548" s="52" t="s">
        <v>5893</v>
      </c>
      <c r="C1548" s="52" t="s">
        <v>741</v>
      </c>
    </row>
    <row r="1549" spans="1:3" hidden="1" x14ac:dyDescent="0.25">
      <c r="A1549" s="52" t="s">
        <v>2503</v>
      </c>
      <c r="B1549" s="52" t="s">
        <v>5894</v>
      </c>
      <c r="C1549" s="52" t="s">
        <v>741</v>
      </c>
    </row>
    <row r="1550" spans="1:3" hidden="1" x14ac:dyDescent="0.25">
      <c r="A1550" s="52" t="s">
        <v>2504</v>
      </c>
      <c r="B1550" s="52" t="s">
        <v>5895</v>
      </c>
      <c r="C1550" s="52" t="s">
        <v>741</v>
      </c>
    </row>
    <row r="1551" spans="1:3" hidden="1" x14ac:dyDescent="0.25">
      <c r="A1551" s="52" t="s">
        <v>2505</v>
      </c>
      <c r="B1551" s="52" t="s">
        <v>5664</v>
      </c>
      <c r="C1551" s="52" t="s">
        <v>741</v>
      </c>
    </row>
    <row r="1552" spans="1:3" hidden="1" x14ac:dyDescent="0.25">
      <c r="A1552" s="52" t="s">
        <v>2506</v>
      </c>
      <c r="B1552" s="52" t="s">
        <v>5896</v>
      </c>
      <c r="C1552" s="52" t="s">
        <v>741</v>
      </c>
    </row>
    <row r="1553" spans="1:3" hidden="1" x14ac:dyDescent="0.25">
      <c r="A1553" s="52" t="s">
        <v>2507</v>
      </c>
      <c r="B1553" s="52" t="s">
        <v>4646</v>
      </c>
      <c r="C1553" s="52" t="s">
        <v>741</v>
      </c>
    </row>
    <row r="1554" spans="1:3" hidden="1" x14ac:dyDescent="0.25">
      <c r="A1554" s="52" t="s">
        <v>2508</v>
      </c>
      <c r="B1554" s="52" t="s">
        <v>5897</v>
      </c>
      <c r="C1554" s="52" t="s">
        <v>741</v>
      </c>
    </row>
    <row r="1555" spans="1:3" hidden="1" x14ac:dyDescent="0.25">
      <c r="A1555" s="52" t="s">
        <v>2509</v>
      </c>
      <c r="B1555" s="52" t="s">
        <v>5898</v>
      </c>
      <c r="C1555" s="52" t="s">
        <v>741</v>
      </c>
    </row>
    <row r="1556" spans="1:3" hidden="1" x14ac:dyDescent="0.25">
      <c r="A1556" s="52" t="s">
        <v>2510</v>
      </c>
      <c r="B1556" s="52" t="s">
        <v>903</v>
      </c>
      <c r="C1556" s="52" t="s">
        <v>741</v>
      </c>
    </row>
    <row r="1557" spans="1:3" hidden="1" x14ac:dyDescent="0.25">
      <c r="A1557" s="52" t="s">
        <v>2511</v>
      </c>
      <c r="B1557" s="52" t="s">
        <v>5899</v>
      </c>
      <c r="C1557" s="52" t="s">
        <v>741</v>
      </c>
    </row>
    <row r="1558" spans="1:3" hidden="1" x14ac:dyDescent="0.25">
      <c r="A1558" s="52" t="s">
        <v>2512</v>
      </c>
      <c r="B1558" s="52" t="s">
        <v>5900</v>
      </c>
      <c r="C1558" s="52" t="s">
        <v>741</v>
      </c>
    </row>
    <row r="1559" spans="1:3" hidden="1" x14ac:dyDescent="0.25">
      <c r="A1559" s="52" t="s">
        <v>2513</v>
      </c>
      <c r="B1559" s="52" t="s">
        <v>5901</v>
      </c>
      <c r="C1559" s="52" t="s">
        <v>741</v>
      </c>
    </row>
    <row r="1560" spans="1:3" hidden="1" x14ac:dyDescent="0.25">
      <c r="A1560" s="52" t="s">
        <v>2514</v>
      </c>
      <c r="B1560" s="52" t="s">
        <v>5902</v>
      </c>
      <c r="C1560" s="52" t="s">
        <v>741</v>
      </c>
    </row>
    <row r="1561" spans="1:3" hidden="1" x14ac:dyDescent="0.25">
      <c r="A1561" s="52" t="s">
        <v>2515</v>
      </c>
      <c r="B1561" s="52" t="s">
        <v>5903</v>
      </c>
      <c r="C1561" s="52" t="s">
        <v>741</v>
      </c>
    </row>
    <row r="1562" spans="1:3" hidden="1" x14ac:dyDescent="0.25">
      <c r="A1562" s="52" t="s">
        <v>2516</v>
      </c>
      <c r="B1562" s="52" t="s">
        <v>5904</v>
      </c>
      <c r="C1562" s="52" t="s">
        <v>741</v>
      </c>
    </row>
    <row r="1563" spans="1:3" hidden="1" x14ac:dyDescent="0.25">
      <c r="A1563" s="52" t="s">
        <v>2517</v>
      </c>
      <c r="B1563" s="52" t="s">
        <v>5905</v>
      </c>
      <c r="C1563" s="52" t="s">
        <v>741</v>
      </c>
    </row>
    <row r="1564" spans="1:3" hidden="1" x14ac:dyDescent="0.25">
      <c r="A1564" s="52" t="s">
        <v>2518</v>
      </c>
      <c r="B1564" s="52" t="s">
        <v>5906</v>
      </c>
      <c r="C1564" s="52" t="s">
        <v>741</v>
      </c>
    </row>
    <row r="1565" spans="1:3" hidden="1" x14ac:dyDescent="0.25">
      <c r="A1565" s="52" t="s">
        <v>2519</v>
      </c>
      <c r="B1565" s="52" t="s">
        <v>5907</v>
      </c>
      <c r="C1565" s="52" t="s">
        <v>741</v>
      </c>
    </row>
    <row r="1566" spans="1:3" hidden="1" x14ac:dyDescent="0.25">
      <c r="A1566" s="52" t="s">
        <v>2520</v>
      </c>
      <c r="B1566" s="52" t="s">
        <v>5368</v>
      </c>
      <c r="C1566" s="52" t="s">
        <v>741</v>
      </c>
    </row>
    <row r="1567" spans="1:3" hidden="1" x14ac:dyDescent="0.25">
      <c r="A1567" s="52" t="s">
        <v>2521</v>
      </c>
      <c r="B1567" s="52" t="s">
        <v>5908</v>
      </c>
      <c r="C1567" s="52" t="s">
        <v>741</v>
      </c>
    </row>
    <row r="1568" spans="1:3" hidden="1" x14ac:dyDescent="0.25">
      <c r="A1568" s="52" t="s">
        <v>2522</v>
      </c>
      <c r="B1568" s="52" t="s">
        <v>5909</v>
      </c>
      <c r="C1568" s="52" t="s">
        <v>741</v>
      </c>
    </row>
    <row r="1569" spans="1:3" hidden="1" x14ac:dyDescent="0.25">
      <c r="A1569" s="52" t="s">
        <v>2523</v>
      </c>
      <c r="B1569" s="52" t="s">
        <v>5910</v>
      </c>
      <c r="C1569" s="52" t="s">
        <v>741</v>
      </c>
    </row>
    <row r="1570" spans="1:3" hidden="1" x14ac:dyDescent="0.25">
      <c r="A1570" s="52" t="s">
        <v>2524</v>
      </c>
      <c r="B1570" s="52" t="s">
        <v>5911</v>
      </c>
      <c r="C1570" s="52" t="s">
        <v>741</v>
      </c>
    </row>
    <row r="1571" spans="1:3" hidden="1" x14ac:dyDescent="0.25">
      <c r="A1571" s="52" t="s">
        <v>2525</v>
      </c>
      <c r="B1571" s="52" t="s">
        <v>5912</v>
      </c>
      <c r="C1571" s="52" t="s">
        <v>741</v>
      </c>
    </row>
    <row r="1572" spans="1:3" hidden="1" x14ac:dyDescent="0.25">
      <c r="A1572" s="52" t="s">
        <v>2526</v>
      </c>
      <c r="B1572" s="52" t="s">
        <v>5572</v>
      </c>
      <c r="C1572" s="52" t="s">
        <v>741</v>
      </c>
    </row>
    <row r="1573" spans="1:3" hidden="1" x14ac:dyDescent="0.25">
      <c r="A1573" s="52" t="s">
        <v>2527</v>
      </c>
      <c r="B1573" s="52" t="s">
        <v>5913</v>
      </c>
      <c r="C1573" s="52" t="s">
        <v>741</v>
      </c>
    </row>
    <row r="1574" spans="1:3" hidden="1" x14ac:dyDescent="0.25">
      <c r="A1574" s="52" t="s">
        <v>2528</v>
      </c>
      <c r="B1574" s="52" t="s">
        <v>5914</v>
      </c>
      <c r="C1574" s="52" t="s">
        <v>741</v>
      </c>
    </row>
    <row r="1575" spans="1:3" hidden="1" x14ac:dyDescent="0.25">
      <c r="A1575" s="52" t="s">
        <v>2529</v>
      </c>
      <c r="B1575" s="52" t="s">
        <v>5915</v>
      </c>
      <c r="C1575" s="52" t="s">
        <v>741</v>
      </c>
    </row>
    <row r="1576" spans="1:3" hidden="1" x14ac:dyDescent="0.25">
      <c r="A1576" s="52" t="s">
        <v>2530</v>
      </c>
      <c r="B1576" s="52" t="s">
        <v>5916</v>
      </c>
      <c r="C1576" s="52" t="s">
        <v>741</v>
      </c>
    </row>
    <row r="1577" spans="1:3" hidden="1" x14ac:dyDescent="0.25">
      <c r="A1577" s="52" t="s">
        <v>2531</v>
      </c>
      <c r="B1577" s="52" t="s">
        <v>5917</v>
      </c>
      <c r="C1577" s="52" t="s">
        <v>741</v>
      </c>
    </row>
    <row r="1578" spans="1:3" hidden="1" x14ac:dyDescent="0.25">
      <c r="A1578" s="52" t="s">
        <v>2532</v>
      </c>
      <c r="B1578" s="52" t="s">
        <v>5918</v>
      </c>
      <c r="C1578" s="52" t="s">
        <v>741</v>
      </c>
    </row>
    <row r="1579" spans="1:3" hidden="1" x14ac:dyDescent="0.25">
      <c r="A1579" s="52" t="s">
        <v>2533</v>
      </c>
      <c r="B1579" s="52" t="s">
        <v>5919</v>
      </c>
      <c r="C1579" s="52" t="s">
        <v>741</v>
      </c>
    </row>
    <row r="1580" spans="1:3" hidden="1" x14ac:dyDescent="0.25">
      <c r="A1580" s="52" t="s">
        <v>2534</v>
      </c>
      <c r="B1580" s="52" t="s">
        <v>5920</v>
      </c>
      <c r="C1580" s="52" t="s">
        <v>741</v>
      </c>
    </row>
    <row r="1581" spans="1:3" hidden="1" x14ac:dyDescent="0.25">
      <c r="A1581" s="52" t="s">
        <v>2535</v>
      </c>
      <c r="B1581" s="52" t="s">
        <v>5921</v>
      </c>
      <c r="C1581" s="52" t="s">
        <v>741</v>
      </c>
    </row>
    <row r="1582" spans="1:3" hidden="1" x14ac:dyDescent="0.25">
      <c r="A1582" s="52" t="s">
        <v>2536</v>
      </c>
      <c r="B1582" s="52" t="s">
        <v>5922</v>
      </c>
      <c r="C1582" s="52" t="s">
        <v>741</v>
      </c>
    </row>
    <row r="1583" spans="1:3" hidden="1" x14ac:dyDescent="0.25">
      <c r="A1583" s="52" t="s">
        <v>2537</v>
      </c>
      <c r="B1583" s="52" t="s">
        <v>5923</v>
      </c>
      <c r="C1583" s="52" t="s">
        <v>741</v>
      </c>
    </row>
    <row r="1584" spans="1:3" hidden="1" x14ac:dyDescent="0.25">
      <c r="A1584" s="52" t="s">
        <v>2538</v>
      </c>
      <c r="B1584" s="52" t="s">
        <v>5924</v>
      </c>
      <c r="C1584" s="52" t="s">
        <v>741</v>
      </c>
    </row>
    <row r="1585" spans="1:3" hidden="1" x14ac:dyDescent="0.25">
      <c r="A1585" s="52" t="s">
        <v>2539</v>
      </c>
      <c r="B1585" s="52" t="s">
        <v>5925</v>
      </c>
      <c r="C1585" s="52" t="s">
        <v>741</v>
      </c>
    </row>
    <row r="1586" spans="1:3" hidden="1" x14ac:dyDescent="0.25">
      <c r="A1586" s="52" t="s">
        <v>2540</v>
      </c>
      <c r="B1586" s="52" t="s">
        <v>5926</v>
      </c>
      <c r="C1586" s="52" t="s">
        <v>741</v>
      </c>
    </row>
    <row r="1587" spans="1:3" hidden="1" x14ac:dyDescent="0.25">
      <c r="A1587" s="52" t="s">
        <v>2541</v>
      </c>
      <c r="B1587" s="52" t="s">
        <v>5927</v>
      </c>
      <c r="C1587" s="52" t="s">
        <v>741</v>
      </c>
    </row>
    <row r="1588" spans="1:3" hidden="1" x14ac:dyDescent="0.25">
      <c r="A1588" s="52" t="s">
        <v>2542</v>
      </c>
      <c r="B1588" s="52" t="s">
        <v>5928</v>
      </c>
      <c r="C1588" s="52" t="s">
        <v>741</v>
      </c>
    </row>
    <row r="1589" spans="1:3" hidden="1" x14ac:dyDescent="0.25">
      <c r="A1589" s="52" t="s">
        <v>2543</v>
      </c>
      <c r="B1589" s="52" t="s">
        <v>5929</v>
      </c>
      <c r="C1589" s="52" t="s">
        <v>741</v>
      </c>
    </row>
    <row r="1590" spans="1:3" hidden="1" x14ac:dyDescent="0.25">
      <c r="A1590" s="52" t="s">
        <v>2544</v>
      </c>
      <c r="B1590" s="52" t="s">
        <v>5930</v>
      </c>
      <c r="C1590" s="52" t="s">
        <v>741</v>
      </c>
    </row>
    <row r="1591" spans="1:3" hidden="1" x14ac:dyDescent="0.25">
      <c r="A1591" s="52" t="s">
        <v>2545</v>
      </c>
      <c r="B1591" s="52" t="s">
        <v>5931</v>
      </c>
      <c r="C1591" s="52" t="s">
        <v>741</v>
      </c>
    </row>
    <row r="1592" spans="1:3" hidden="1" x14ac:dyDescent="0.25">
      <c r="A1592" s="52" t="s">
        <v>2546</v>
      </c>
      <c r="B1592" s="52" t="s">
        <v>5932</v>
      </c>
      <c r="C1592" s="52" t="s">
        <v>741</v>
      </c>
    </row>
    <row r="1593" spans="1:3" hidden="1" x14ac:dyDescent="0.25">
      <c r="A1593" s="52" t="s">
        <v>2547</v>
      </c>
      <c r="B1593" s="52" t="s">
        <v>5597</v>
      </c>
      <c r="C1593" s="52" t="s">
        <v>741</v>
      </c>
    </row>
    <row r="1594" spans="1:3" hidden="1" x14ac:dyDescent="0.25">
      <c r="A1594" s="52" t="s">
        <v>2548</v>
      </c>
      <c r="B1594" s="52" t="s">
        <v>5933</v>
      </c>
      <c r="C1594" s="52" t="s">
        <v>741</v>
      </c>
    </row>
    <row r="1595" spans="1:3" hidden="1" x14ac:dyDescent="0.25">
      <c r="A1595" s="52" t="s">
        <v>2549</v>
      </c>
      <c r="B1595" s="52" t="s">
        <v>943</v>
      </c>
      <c r="C1595" s="52" t="s">
        <v>741</v>
      </c>
    </row>
    <row r="1596" spans="1:3" hidden="1" x14ac:dyDescent="0.25">
      <c r="A1596" s="52" t="s">
        <v>2550</v>
      </c>
      <c r="B1596" s="52" t="s">
        <v>5934</v>
      </c>
      <c r="C1596" s="52" t="s">
        <v>741</v>
      </c>
    </row>
    <row r="1597" spans="1:3" hidden="1" x14ac:dyDescent="0.25">
      <c r="A1597" s="52" t="s">
        <v>2551</v>
      </c>
      <c r="B1597" s="52" t="s">
        <v>5935</v>
      </c>
      <c r="C1597" s="52" t="s">
        <v>741</v>
      </c>
    </row>
    <row r="1598" spans="1:3" hidden="1" x14ac:dyDescent="0.25">
      <c r="A1598" s="52" t="s">
        <v>2552</v>
      </c>
      <c r="B1598" s="52" t="s">
        <v>5936</v>
      </c>
      <c r="C1598" s="52" t="s">
        <v>741</v>
      </c>
    </row>
    <row r="1599" spans="1:3" hidden="1" x14ac:dyDescent="0.25">
      <c r="A1599" s="52" t="s">
        <v>2553</v>
      </c>
      <c r="B1599" s="52" t="s">
        <v>5937</v>
      </c>
      <c r="C1599" s="52" t="s">
        <v>741</v>
      </c>
    </row>
    <row r="1600" spans="1:3" hidden="1" x14ac:dyDescent="0.25">
      <c r="A1600" s="52" t="s">
        <v>2554</v>
      </c>
      <c r="B1600" s="52" t="s">
        <v>5938</v>
      </c>
      <c r="C1600" s="52" t="s">
        <v>741</v>
      </c>
    </row>
    <row r="1601" spans="1:3" hidden="1" x14ac:dyDescent="0.25">
      <c r="A1601" s="52" t="s">
        <v>2555</v>
      </c>
      <c r="B1601" s="52" t="s">
        <v>5939</v>
      </c>
      <c r="C1601" s="52" t="s">
        <v>741</v>
      </c>
    </row>
    <row r="1602" spans="1:3" hidden="1" x14ac:dyDescent="0.25">
      <c r="A1602" s="52" t="s">
        <v>2556</v>
      </c>
      <c r="B1602" s="52" t="s">
        <v>5940</v>
      </c>
      <c r="C1602" s="52" t="s">
        <v>741</v>
      </c>
    </row>
    <row r="1603" spans="1:3" hidden="1" x14ac:dyDescent="0.25">
      <c r="A1603" s="52" t="s">
        <v>2557</v>
      </c>
      <c r="B1603" s="52" t="s">
        <v>5941</v>
      </c>
      <c r="C1603" s="52" t="s">
        <v>741</v>
      </c>
    </row>
    <row r="1604" spans="1:3" hidden="1" x14ac:dyDescent="0.25">
      <c r="A1604" s="52" t="s">
        <v>2558</v>
      </c>
      <c r="B1604" s="52" t="s">
        <v>5942</v>
      </c>
      <c r="C1604" s="52" t="s">
        <v>741</v>
      </c>
    </row>
    <row r="1605" spans="1:3" hidden="1" x14ac:dyDescent="0.25">
      <c r="A1605" s="52" t="s">
        <v>2559</v>
      </c>
      <c r="B1605" s="52" t="s">
        <v>5943</v>
      </c>
      <c r="C1605" s="52" t="s">
        <v>741</v>
      </c>
    </row>
    <row r="1606" spans="1:3" hidden="1" x14ac:dyDescent="0.25">
      <c r="A1606" s="52" t="s">
        <v>2560</v>
      </c>
      <c r="B1606" s="52" t="s">
        <v>5944</v>
      </c>
      <c r="C1606" s="52" t="s">
        <v>741</v>
      </c>
    </row>
    <row r="1607" spans="1:3" hidden="1" x14ac:dyDescent="0.25">
      <c r="A1607" s="52" t="s">
        <v>2561</v>
      </c>
      <c r="B1607" s="52" t="s">
        <v>5945</v>
      </c>
      <c r="C1607" s="52" t="s">
        <v>741</v>
      </c>
    </row>
    <row r="1608" spans="1:3" hidden="1" x14ac:dyDescent="0.25">
      <c r="A1608" s="52" t="s">
        <v>2562</v>
      </c>
      <c r="B1608" s="52" t="s">
        <v>5946</v>
      </c>
      <c r="C1608" s="52" t="s">
        <v>741</v>
      </c>
    </row>
    <row r="1609" spans="1:3" hidden="1" x14ac:dyDescent="0.25">
      <c r="A1609" s="52" t="s">
        <v>2563</v>
      </c>
      <c r="B1609" s="52" t="s">
        <v>5947</v>
      </c>
      <c r="C1609" s="52" t="s">
        <v>741</v>
      </c>
    </row>
    <row r="1610" spans="1:3" hidden="1" x14ac:dyDescent="0.25">
      <c r="A1610" s="52" t="s">
        <v>2564</v>
      </c>
      <c r="B1610" s="52" t="s">
        <v>5948</v>
      </c>
      <c r="C1610" s="52" t="s">
        <v>741</v>
      </c>
    </row>
    <row r="1611" spans="1:3" hidden="1" x14ac:dyDescent="0.25">
      <c r="A1611" s="52" t="s">
        <v>2565</v>
      </c>
      <c r="B1611" s="52" t="s">
        <v>5949</v>
      </c>
      <c r="C1611" s="52" t="s">
        <v>741</v>
      </c>
    </row>
    <row r="1612" spans="1:3" hidden="1" x14ac:dyDescent="0.25">
      <c r="A1612" s="52" t="s">
        <v>2566</v>
      </c>
      <c r="B1612" s="52" t="s">
        <v>5950</v>
      </c>
      <c r="C1612" s="52" t="s">
        <v>741</v>
      </c>
    </row>
    <row r="1613" spans="1:3" hidden="1" x14ac:dyDescent="0.25">
      <c r="A1613" s="52" t="s">
        <v>2567</v>
      </c>
      <c r="B1613" s="52" t="s">
        <v>5951</v>
      </c>
      <c r="C1613" s="52" t="s">
        <v>741</v>
      </c>
    </row>
    <row r="1614" spans="1:3" hidden="1" x14ac:dyDescent="0.25">
      <c r="A1614" s="52" t="s">
        <v>2568</v>
      </c>
      <c r="B1614" s="52" t="s">
        <v>5713</v>
      </c>
      <c r="C1614" s="52" t="s">
        <v>741</v>
      </c>
    </row>
    <row r="1615" spans="1:3" hidden="1" x14ac:dyDescent="0.25">
      <c r="A1615" s="52" t="s">
        <v>2569</v>
      </c>
      <c r="B1615" s="52" t="s">
        <v>5952</v>
      </c>
      <c r="C1615" s="52" t="s">
        <v>741</v>
      </c>
    </row>
    <row r="1616" spans="1:3" hidden="1" x14ac:dyDescent="0.25">
      <c r="A1616" s="52" t="s">
        <v>2570</v>
      </c>
      <c r="B1616" s="52" t="s">
        <v>5714</v>
      </c>
      <c r="C1616" s="52" t="s">
        <v>741</v>
      </c>
    </row>
    <row r="1617" spans="1:3" hidden="1" x14ac:dyDescent="0.25">
      <c r="A1617" s="52" t="s">
        <v>2571</v>
      </c>
      <c r="B1617" s="52" t="s">
        <v>5953</v>
      </c>
      <c r="C1617" s="52" t="s">
        <v>741</v>
      </c>
    </row>
    <row r="1618" spans="1:3" hidden="1" x14ac:dyDescent="0.25">
      <c r="A1618" s="52" t="s">
        <v>2572</v>
      </c>
      <c r="B1618" s="52" t="s">
        <v>5954</v>
      </c>
      <c r="C1618" s="52" t="s">
        <v>741</v>
      </c>
    </row>
    <row r="1619" spans="1:3" hidden="1" x14ac:dyDescent="0.25">
      <c r="A1619" s="52" t="s">
        <v>2573</v>
      </c>
      <c r="B1619" s="52" t="s">
        <v>5955</v>
      </c>
      <c r="C1619" s="52" t="s">
        <v>741</v>
      </c>
    </row>
    <row r="1620" spans="1:3" hidden="1" x14ac:dyDescent="0.25">
      <c r="A1620" s="52" t="s">
        <v>2574</v>
      </c>
      <c r="B1620" s="52" t="s">
        <v>5956</v>
      </c>
      <c r="C1620" s="52" t="s">
        <v>741</v>
      </c>
    </row>
    <row r="1621" spans="1:3" hidden="1" x14ac:dyDescent="0.25">
      <c r="A1621" s="52" t="s">
        <v>2575</v>
      </c>
      <c r="B1621" s="52" t="s">
        <v>5957</v>
      </c>
      <c r="C1621" s="52" t="s">
        <v>741</v>
      </c>
    </row>
    <row r="1622" spans="1:3" hidden="1" x14ac:dyDescent="0.25">
      <c r="A1622" s="52" t="s">
        <v>2576</v>
      </c>
      <c r="B1622" s="52" t="s">
        <v>963</v>
      </c>
      <c r="C1622" s="52" t="s">
        <v>741</v>
      </c>
    </row>
    <row r="1623" spans="1:3" hidden="1" x14ac:dyDescent="0.25">
      <c r="A1623" s="52" t="s">
        <v>2577</v>
      </c>
      <c r="B1623" s="52" t="s">
        <v>5958</v>
      </c>
      <c r="C1623" s="52" t="s">
        <v>741</v>
      </c>
    </row>
    <row r="1624" spans="1:3" hidden="1" x14ac:dyDescent="0.25">
      <c r="A1624" s="52" t="s">
        <v>2578</v>
      </c>
      <c r="B1624" s="52" t="s">
        <v>5959</v>
      </c>
      <c r="C1624" s="52" t="s">
        <v>741</v>
      </c>
    </row>
    <row r="1625" spans="1:3" hidden="1" x14ac:dyDescent="0.25">
      <c r="A1625" s="52" t="s">
        <v>2579</v>
      </c>
      <c r="B1625" s="52" t="s">
        <v>5960</v>
      </c>
      <c r="C1625" s="52" t="s">
        <v>741</v>
      </c>
    </row>
    <row r="1626" spans="1:3" hidden="1" x14ac:dyDescent="0.25">
      <c r="A1626" s="52" t="s">
        <v>2580</v>
      </c>
      <c r="B1626" s="52" t="s">
        <v>5961</v>
      </c>
      <c r="C1626" s="52" t="s">
        <v>741</v>
      </c>
    </row>
    <row r="1627" spans="1:3" hidden="1" x14ac:dyDescent="0.25">
      <c r="A1627" s="52" t="s">
        <v>2581</v>
      </c>
      <c r="B1627" s="52" t="s">
        <v>5962</v>
      </c>
      <c r="C1627" s="52" t="s">
        <v>741</v>
      </c>
    </row>
    <row r="1628" spans="1:3" hidden="1" x14ac:dyDescent="0.25">
      <c r="A1628" s="52" t="s">
        <v>2582</v>
      </c>
      <c r="B1628" s="52" t="s">
        <v>5963</v>
      </c>
      <c r="C1628" s="52" t="s">
        <v>741</v>
      </c>
    </row>
    <row r="1629" spans="1:3" hidden="1" x14ac:dyDescent="0.25">
      <c r="A1629" s="52" t="s">
        <v>2583</v>
      </c>
      <c r="B1629" s="52" t="s">
        <v>5964</v>
      </c>
      <c r="C1629" s="52" t="s">
        <v>741</v>
      </c>
    </row>
    <row r="1630" spans="1:3" hidden="1" x14ac:dyDescent="0.25">
      <c r="A1630" s="52" t="s">
        <v>2584</v>
      </c>
      <c r="B1630" s="52" t="s">
        <v>5725</v>
      </c>
      <c r="C1630" s="52" t="s">
        <v>741</v>
      </c>
    </row>
    <row r="1631" spans="1:3" hidden="1" x14ac:dyDescent="0.25">
      <c r="A1631" s="52" t="s">
        <v>2585</v>
      </c>
      <c r="B1631" s="52" t="s">
        <v>5965</v>
      </c>
      <c r="C1631" s="52" t="s">
        <v>741</v>
      </c>
    </row>
    <row r="1632" spans="1:3" hidden="1" x14ac:dyDescent="0.25">
      <c r="A1632" s="52" t="s">
        <v>2586</v>
      </c>
      <c r="B1632" s="52" t="s">
        <v>5966</v>
      </c>
      <c r="C1632" s="52" t="s">
        <v>741</v>
      </c>
    </row>
    <row r="1633" spans="1:3" hidden="1" x14ac:dyDescent="0.25">
      <c r="A1633" s="52" t="s">
        <v>2587</v>
      </c>
      <c r="B1633" s="52" t="s">
        <v>5967</v>
      </c>
      <c r="C1633" s="52" t="s">
        <v>741</v>
      </c>
    </row>
    <row r="1634" spans="1:3" hidden="1" x14ac:dyDescent="0.25">
      <c r="A1634" s="52" t="s">
        <v>2588</v>
      </c>
      <c r="B1634" s="52" t="s">
        <v>5968</v>
      </c>
      <c r="C1634" s="52" t="s">
        <v>741</v>
      </c>
    </row>
    <row r="1635" spans="1:3" hidden="1" x14ac:dyDescent="0.25">
      <c r="A1635" s="52" t="s">
        <v>2589</v>
      </c>
      <c r="B1635" s="52" t="s">
        <v>5969</v>
      </c>
      <c r="C1635" s="52" t="s">
        <v>741</v>
      </c>
    </row>
    <row r="1636" spans="1:3" hidden="1" x14ac:dyDescent="0.25">
      <c r="A1636" s="52" t="s">
        <v>2590</v>
      </c>
      <c r="B1636" s="52" t="s">
        <v>5970</v>
      </c>
      <c r="C1636" s="52" t="s">
        <v>741</v>
      </c>
    </row>
    <row r="1637" spans="1:3" hidden="1" x14ac:dyDescent="0.25">
      <c r="A1637" s="52" t="s">
        <v>2591</v>
      </c>
      <c r="B1637" s="52" t="s">
        <v>5971</v>
      </c>
      <c r="C1637" s="52" t="s">
        <v>741</v>
      </c>
    </row>
    <row r="1638" spans="1:3" hidden="1" x14ac:dyDescent="0.25">
      <c r="A1638" s="52" t="s">
        <v>2592</v>
      </c>
      <c r="B1638" s="52" t="s">
        <v>5972</v>
      </c>
      <c r="C1638" s="52" t="s">
        <v>741</v>
      </c>
    </row>
    <row r="1639" spans="1:3" hidden="1" x14ac:dyDescent="0.25">
      <c r="A1639" s="52" t="s">
        <v>2593</v>
      </c>
      <c r="B1639" s="52" t="s">
        <v>5973</v>
      </c>
      <c r="C1639" s="52" t="s">
        <v>741</v>
      </c>
    </row>
    <row r="1640" spans="1:3" hidden="1" x14ac:dyDescent="0.25">
      <c r="A1640" s="52" t="s">
        <v>2594</v>
      </c>
      <c r="B1640" s="52" t="s">
        <v>5974</v>
      </c>
      <c r="C1640" s="52" t="s">
        <v>741</v>
      </c>
    </row>
    <row r="1641" spans="1:3" hidden="1" x14ac:dyDescent="0.25">
      <c r="A1641" s="52" t="s">
        <v>2595</v>
      </c>
      <c r="B1641" s="52" t="s">
        <v>4716</v>
      </c>
      <c r="C1641" s="52" t="s">
        <v>741</v>
      </c>
    </row>
    <row r="1642" spans="1:3" hidden="1" x14ac:dyDescent="0.25">
      <c r="A1642" s="52" t="s">
        <v>2596</v>
      </c>
      <c r="B1642" s="52" t="s">
        <v>5975</v>
      </c>
      <c r="C1642" s="52" t="s">
        <v>741</v>
      </c>
    </row>
    <row r="1643" spans="1:3" hidden="1" x14ac:dyDescent="0.25">
      <c r="A1643" s="52" t="s">
        <v>2597</v>
      </c>
      <c r="B1643" s="52" t="s">
        <v>4936</v>
      </c>
      <c r="C1643" s="52" t="s">
        <v>741</v>
      </c>
    </row>
    <row r="1644" spans="1:3" hidden="1" x14ac:dyDescent="0.25">
      <c r="A1644" s="52" t="s">
        <v>2598</v>
      </c>
      <c r="B1644" s="52" t="s">
        <v>5976</v>
      </c>
      <c r="C1644" s="52" t="s">
        <v>741</v>
      </c>
    </row>
    <row r="1645" spans="1:3" hidden="1" x14ac:dyDescent="0.25">
      <c r="A1645" s="52" t="s">
        <v>2599</v>
      </c>
      <c r="B1645" s="52" t="s">
        <v>5977</v>
      </c>
      <c r="C1645" s="52" t="s">
        <v>741</v>
      </c>
    </row>
    <row r="1646" spans="1:3" hidden="1" x14ac:dyDescent="0.25">
      <c r="A1646" s="52" t="s">
        <v>2600</v>
      </c>
      <c r="B1646" s="52" t="s">
        <v>5978</v>
      </c>
      <c r="C1646" s="52" t="s">
        <v>741</v>
      </c>
    </row>
    <row r="1647" spans="1:3" hidden="1" x14ac:dyDescent="0.25">
      <c r="A1647" s="52" t="s">
        <v>2601</v>
      </c>
      <c r="B1647" s="52" t="s">
        <v>5979</v>
      </c>
      <c r="C1647" s="52" t="s">
        <v>741</v>
      </c>
    </row>
    <row r="1648" spans="1:3" hidden="1" x14ac:dyDescent="0.25">
      <c r="A1648" s="52" t="s">
        <v>2602</v>
      </c>
      <c r="B1648" s="52" t="s">
        <v>5980</v>
      </c>
      <c r="C1648" s="52" t="s">
        <v>741</v>
      </c>
    </row>
    <row r="1649" spans="1:3" hidden="1" x14ac:dyDescent="0.25">
      <c r="A1649" s="52" t="s">
        <v>2603</v>
      </c>
      <c r="B1649" s="52" t="s">
        <v>5981</v>
      </c>
      <c r="C1649" s="52" t="s">
        <v>741</v>
      </c>
    </row>
    <row r="1650" spans="1:3" hidden="1" x14ac:dyDescent="0.25">
      <c r="A1650" s="52" t="s">
        <v>2604</v>
      </c>
      <c r="B1650" s="52" t="s">
        <v>5982</v>
      </c>
      <c r="C1650" s="52" t="s">
        <v>741</v>
      </c>
    </row>
    <row r="1651" spans="1:3" hidden="1" x14ac:dyDescent="0.25">
      <c r="A1651" s="52" t="s">
        <v>2605</v>
      </c>
      <c r="B1651" s="52" t="s">
        <v>1104</v>
      </c>
      <c r="C1651" s="52" t="s">
        <v>741</v>
      </c>
    </row>
    <row r="1652" spans="1:3" hidden="1" x14ac:dyDescent="0.25">
      <c r="A1652" s="52" t="s">
        <v>2606</v>
      </c>
      <c r="B1652" s="52" t="s">
        <v>4862</v>
      </c>
      <c r="C1652" s="52" t="s">
        <v>741</v>
      </c>
    </row>
    <row r="1653" spans="1:3" hidden="1" x14ac:dyDescent="0.25">
      <c r="A1653" s="52" t="s">
        <v>2607</v>
      </c>
      <c r="B1653" s="52" t="s">
        <v>5983</v>
      </c>
      <c r="C1653" s="52" t="s">
        <v>741</v>
      </c>
    </row>
    <row r="1654" spans="1:3" hidden="1" x14ac:dyDescent="0.25">
      <c r="A1654" s="52" t="s">
        <v>2608</v>
      </c>
      <c r="B1654" s="52" t="s">
        <v>5984</v>
      </c>
      <c r="C1654" s="52" t="s">
        <v>741</v>
      </c>
    </row>
    <row r="1655" spans="1:3" hidden="1" x14ac:dyDescent="0.25">
      <c r="A1655" s="52" t="s">
        <v>2609</v>
      </c>
      <c r="B1655" s="52" t="s">
        <v>5985</v>
      </c>
      <c r="C1655" s="52" t="s">
        <v>741</v>
      </c>
    </row>
    <row r="1656" spans="1:3" hidden="1" x14ac:dyDescent="0.25">
      <c r="A1656" s="52" t="s">
        <v>2610</v>
      </c>
      <c r="B1656" s="52" t="s">
        <v>5866</v>
      </c>
      <c r="C1656" s="52" t="s">
        <v>741</v>
      </c>
    </row>
    <row r="1657" spans="1:3" hidden="1" x14ac:dyDescent="0.25">
      <c r="A1657" s="52" t="s">
        <v>2611</v>
      </c>
      <c r="B1657" s="52" t="s">
        <v>5986</v>
      </c>
      <c r="C1657" s="52" t="s">
        <v>741</v>
      </c>
    </row>
    <row r="1658" spans="1:3" hidden="1" x14ac:dyDescent="0.25">
      <c r="A1658" s="52" t="s">
        <v>2612</v>
      </c>
      <c r="B1658" s="52" t="s">
        <v>5987</v>
      </c>
      <c r="C1658" s="52" t="s">
        <v>741</v>
      </c>
    </row>
    <row r="1659" spans="1:3" hidden="1" x14ac:dyDescent="0.25">
      <c r="A1659" s="52" t="s">
        <v>2613</v>
      </c>
      <c r="B1659" s="52" t="s">
        <v>5988</v>
      </c>
      <c r="C1659" s="52" t="s">
        <v>741</v>
      </c>
    </row>
    <row r="1660" spans="1:3" hidden="1" x14ac:dyDescent="0.25">
      <c r="A1660" s="52" t="s">
        <v>2614</v>
      </c>
      <c r="B1660" s="52" t="s">
        <v>5624</v>
      </c>
      <c r="C1660" s="52" t="s">
        <v>741</v>
      </c>
    </row>
    <row r="1661" spans="1:3" hidden="1" x14ac:dyDescent="0.25">
      <c r="A1661" s="52" t="s">
        <v>2615</v>
      </c>
      <c r="B1661" s="52" t="s">
        <v>5989</v>
      </c>
      <c r="C1661" s="52" t="s">
        <v>741</v>
      </c>
    </row>
    <row r="1662" spans="1:3" hidden="1" x14ac:dyDescent="0.25">
      <c r="A1662" s="52" t="s">
        <v>2616</v>
      </c>
      <c r="B1662" s="52" t="s">
        <v>5990</v>
      </c>
      <c r="C1662" s="52" t="s">
        <v>741</v>
      </c>
    </row>
    <row r="1663" spans="1:3" hidden="1" x14ac:dyDescent="0.25">
      <c r="A1663" s="52" t="s">
        <v>2617</v>
      </c>
      <c r="B1663" s="52" t="s">
        <v>5991</v>
      </c>
      <c r="C1663" s="52" t="s">
        <v>741</v>
      </c>
    </row>
    <row r="1664" spans="1:3" hidden="1" x14ac:dyDescent="0.25">
      <c r="A1664" s="52" t="s">
        <v>2618</v>
      </c>
      <c r="B1664" s="52" t="s">
        <v>4755</v>
      </c>
      <c r="C1664" s="52" t="s">
        <v>741</v>
      </c>
    </row>
    <row r="1665" spans="1:3" hidden="1" x14ac:dyDescent="0.25">
      <c r="A1665" s="52" t="s">
        <v>2619</v>
      </c>
      <c r="B1665" s="52" t="s">
        <v>5536</v>
      </c>
      <c r="C1665" s="52" t="s">
        <v>741</v>
      </c>
    </row>
    <row r="1666" spans="1:3" hidden="1" x14ac:dyDescent="0.25">
      <c r="A1666" s="52" t="s">
        <v>2620</v>
      </c>
      <c r="B1666" s="52" t="s">
        <v>1018</v>
      </c>
      <c r="C1666" s="52" t="s">
        <v>741</v>
      </c>
    </row>
    <row r="1667" spans="1:3" hidden="1" x14ac:dyDescent="0.25">
      <c r="A1667" s="52" t="s">
        <v>2621</v>
      </c>
      <c r="B1667" s="52" t="s">
        <v>5992</v>
      </c>
      <c r="C1667" s="52" t="s">
        <v>753</v>
      </c>
    </row>
    <row r="1668" spans="1:3" hidden="1" x14ac:dyDescent="0.25">
      <c r="A1668" s="52" t="s">
        <v>2622</v>
      </c>
      <c r="B1668" s="52" t="s">
        <v>5993</v>
      </c>
      <c r="C1668" s="52" t="s">
        <v>753</v>
      </c>
    </row>
    <row r="1669" spans="1:3" hidden="1" x14ac:dyDescent="0.25">
      <c r="A1669" s="52" t="s">
        <v>2623</v>
      </c>
      <c r="B1669" s="52" t="s">
        <v>5994</v>
      </c>
      <c r="C1669" s="52" t="s">
        <v>753</v>
      </c>
    </row>
    <row r="1670" spans="1:3" hidden="1" x14ac:dyDescent="0.25">
      <c r="A1670" s="52" t="s">
        <v>2624</v>
      </c>
      <c r="B1670" s="52" t="s">
        <v>5995</v>
      </c>
      <c r="C1670" s="52" t="s">
        <v>753</v>
      </c>
    </row>
    <row r="1671" spans="1:3" hidden="1" x14ac:dyDescent="0.25">
      <c r="A1671" s="52" t="s">
        <v>2625</v>
      </c>
      <c r="B1671" s="52" t="s">
        <v>5996</v>
      </c>
      <c r="C1671" s="52" t="s">
        <v>753</v>
      </c>
    </row>
    <row r="1672" spans="1:3" hidden="1" x14ac:dyDescent="0.25">
      <c r="A1672" s="52" t="s">
        <v>2626</v>
      </c>
      <c r="B1672" s="52" t="s">
        <v>5997</v>
      </c>
      <c r="C1672" s="52" t="s">
        <v>753</v>
      </c>
    </row>
    <row r="1673" spans="1:3" hidden="1" x14ac:dyDescent="0.25">
      <c r="A1673" s="52" t="s">
        <v>2627</v>
      </c>
      <c r="B1673" s="52" t="s">
        <v>5998</v>
      </c>
      <c r="C1673" s="52" t="s">
        <v>753</v>
      </c>
    </row>
    <row r="1674" spans="1:3" hidden="1" x14ac:dyDescent="0.25">
      <c r="A1674" s="52" t="s">
        <v>2628</v>
      </c>
      <c r="B1674" s="52" t="s">
        <v>5999</v>
      </c>
      <c r="C1674" s="52" t="s">
        <v>753</v>
      </c>
    </row>
    <row r="1675" spans="1:3" hidden="1" x14ac:dyDescent="0.25">
      <c r="A1675" s="52" t="s">
        <v>2629</v>
      </c>
      <c r="B1675" s="52" t="s">
        <v>6000</v>
      </c>
      <c r="C1675" s="52" t="s">
        <v>753</v>
      </c>
    </row>
    <row r="1676" spans="1:3" hidden="1" x14ac:dyDescent="0.25">
      <c r="A1676" s="52" t="s">
        <v>2630</v>
      </c>
      <c r="B1676" s="52" t="s">
        <v>6001</v>
      </c>
      <c r="C1676" s="52" t="s">
        <v>753</v>
      </c>
    </row>
    <row r="1677" spans="1:3" hidden="1" x14ac:dyDescent="0.25">
      <c r="A1677" s="52" t="s">
        <v>2631</v>
      </c>
      <c r="B1677" s="52" t="s">
        <v>6002</v>
      </c>
      <c r="C1677" s="52" t="s">
        <v>753</v>
      </c>
    </row>
    <row r="1678" spans="1:3" hidden="1" x14ac:dyDescent="0.25">
      <c r="A1678" s="52" t="s">
        <v>2632</v>
      </c>
      <c r="B1678" s="52" t="s">
        <v>6003</v>
      </c>
      <c r="C1678" s="52" t="s">
        <v>753</v>
      </c>
    </row>
    <row r="1679" spans="1:3" hidden="1" x14ac:dyDescent="0.25">
      <c r="A1679" s="52" t="s">
        <v>2633</v>
      </c>
      <c r="B1679" s="52" t="s">
        <v>6004</v>
      </c>
      <c r="C1679" s="52" t="s">
        <v>753</v>
      </c>
    </row>
    <row r="1680" spans="1:3" hidden="1" x14ac:dyDescent="0.25">
      <c r="A1680" s="52" t="s">
        <v>2634</v>
      </c>
      <c r="B1680" s="52" t="s">
        <v>6005</v>
      </c>
      <c r="C1680" s="52" t="s">
        <v>753</v>
      </c>
    </row>
    <row r="1681" spans="1:3" hidden="1" x14ac:dyDescent="0.25">
      <c r="A1681" s="52" t="s">
        <v>2635</v>
      </c>
      <c r="B1681" s="52" t="s">
        <v>6006</v>
      </c>
      <c r="C1681" s="52" t="s">
        <v>753</v>
      </c>
    </row>
    <row r="1682" spans="1:3" hidden="1" x14ac:dyDescent="0.25">
      <c r="A1682" s="52" t="s">
        <v>2636</v>
      </c>
      <c r="B1682" s="52" t="s">
        <v>6007</v>
      </c>
      <c r="C1682" s="52" t="s">
        <v>753</v>
      </c>
    </row>
    <row r="1683" spans="1:3" hidden="1" x14ac:dyDescent="0.25">
      <c r="A1683" s="52" t="s">
        <v>2637</v>
      </c>
      <c r="B1683" s="52" t="s">
        <v>6008</v>
      </c>
      <c r="C1683" s="52" t="s">
        <v>753</v>
      </c>
    </row>
    <row r="1684" spans="1:3" hidden="1" x14ac:dyDescent="0.25">
      <c r="A1684" s="52" t="s">
        <v>2638</v>
      </c>
      <c r="B1684" s="52" t="s">
        <v>6009</v>
      </c>
      <c r="C1684" s="52" t="s">
        <v>753</v>
      </c>
    </row>
    <row r="1685" spans="1:3" hidden="1" x14ac:dyDescent="0.25">
      <c r="A1685" s="52" t="s">
        <v>2639</v>
      </c>
      <c r="B1685" s="52" t="s">
        <v>6010</v>
      </c>
      <c r="C1685" s="52" t="s">
        <v>753</v>
      </c>
    </row>
    <row r="1686" spans="1:3" hidden="1" x14ac:dyDescent="0.25">
      <c r="A1686" s="52" t="s">
        <v>2640</v>
      </c>
      <c r="B1686" s="52" t="s">
        <v>6011</v>
      </c>
      <c r="C1686" s="52" t="s">
        <v>753</v>
      </c>
    </row>
    <row r="1687" spans="1:3" hidden="1" x14ac:dyDescent="0.25">
      <c r="A1687" s="52" t="s">
        <v>2641</v>
      </c>
      <c r="B1687" s="52" t="s">
        <v>1120</v>
      </c>
      <c r="C1687" s="52" t="s">
        <v>753</v>
      </c>
    </row>
    <row r="1688" spans="1:3" hidden="1" x14ac:dyDescent="0.25">
      <c r="A1688" s="52" t="s">
        <v>2642</v>
      </c>
      <c r="B1688" s="52" t="s">
        <v>6012</v>
      </c>
      <c r="C1688" s="52" t="s">
        <v>753</v>
      </c>
    </row>
    <row r="1689" spans="1:3" hidden="1" x14ac:dyDescent="0.25">
      <c r="A1689" s="52" t="s">
        <v>2643</v>
      </c>
      <c r="B1689" s="52" t="s">
        <v>6013</v>
      </c>
      <c r="C1689" s="52" t="s">
        <v>753</v>
      </c>
    </row>
    <row r="1690" spans="1:3" hidden="1" x14ac:dyDescent="0.25">
      <c r="A1690" s="52" t="s">
        <v>2644</v>
      </c>
      <c r="B1690" s="52" t="s">
        <v>6014</v>
      </c>
      <c r="C1690" s="52" t="s">
        <v>753</v>
      </c>
    </row>
    <row r="1691" spans="1:3" hidden="1" x14ac:dyDescent="0.25">
      <c r="A1691" s="52" t="s">
        <v>2645</v>
      </c>
      <c r="B1691" s="52" t="s">
        <v>6015</v>
      </c>
      <c r="C1691" s="52" t="s">
        <v>753</v>
      </c>
    </row>
    <row r="1692" spans="1:3" hidden="1" x14ac:dyDescent="0.25">
      <c r="A1692" s="52" t="s">
        <v>2646</v>
      </c>
      <c r="B1692" s="52" t="s">
        <v>6016</v>
      </c>
      <c r="C1692" s="52" t="s">
        <v>753</v>
      </c>
    </row>
    <row r="1693" spans="1:3" hidden="1" x14ac:dyDescent="0.25">
      <c r="A1693" s="52" t="s">
        <v>2647</v>
      </c>
      <c r="B1693" s="52" t="s">
        <v>6017</v>
      </c>
      <c r="C1693" s="52" t="s">
        <v>753</v>
      </c>
    </row>
    <row r="1694" spans="1:3" hidden="1" x14ac:dyDescent="0.25">
      <c r="A1694" s="52" t="s">
        <v>2648</v>
      </c>
      <c r="B1694" s="52" t="s">
        <v>6018</v>
      </c>
      <c r="C1694" s="52" t="s">
        <v>753</v>
      </c>
    </row>
    <row r="1695" spans="1:3" hidden="1" x14ac:dyDescent="0.25">
      <c r="A1695" s="52" t="s">
        <v>2649</v>
      </c>
      <c r="B1695" s="52" t="s">
        <v>6019</v>
      </c>
      <c r="C1695" s="52" t="s">
        <v>753</v>
      </c>
    </row>
    <row r="1696" spans="1:3" hidden="1" x14ac:dyDescent="0.25">
      <c r="A1696" s="52" t="s">
        <v>2650</v>
      </c>
      <c r="B1696" s="52" t="s">
        <v>6020</v>
      </c>
      <c r="C1696" s="52" t="s">
        <v>753</v>
      </c>
    </row>
    <row r="1697" spans="1:3" hidden="1" x14ac:dyDescent="0.25">
      <c r="A1697" s="52" t="s">
        <v>2651</v>
      </c>
      <c r="B1697" s="52" t="s">
        <v>6021</v>
      </c>
      <c r="C1697" s="52" t="s">
        <v>753</v>
      </c>
    </row>
    <row r="1698" spans="1:3" hidden="1" x14ac:dyDescent="0.25">
      <c r="A1698" s="52" t="s">
        <v>2652</v>
      </c>
      <c r="B1698" s="52" t="s">
        <v>6022</v>
      </c>
      <c r="C1698" s="52" t="s">
        <v>753</v>
      </c>
    </row>
    <row r="1699" spans="1:3" hidden="1" x14ac:dyDescent="0.25">
      <c r="A1699" s="52" t="s">
        <v>2653</v>
      </c>
      <c r="B1699" s="52" t="s">
        <v>6023</v>
      </c>
      <c r="C1699" s="52" t="s">
        <v>753</v>
      </c>
    </row>
    <row r="1700" spans="1:3" hidden="1" x14ac:dyDescent="0.25">
      <c r="A1700" s="52" t="s">
        <v>2654</v>
      </c>
      <c r="B1700" s="52" t="s">
        <v>4624</v>
      </c>
      <c r="C1700" s="52" t="s">
        <v>753</v>
      </c>
    </row>
    <row r="1701" spans="1:3" hidden="1" x14ac:dyDescent="0.25">
      <c r="A1701" s="52" t="s">
        <v>2655</v>
      </c>
      <c r="B1701" s="52" t="s">
        <v>6024</v>
      </c>
      <c r="C1701" s="52" t="s">
        <v>753</v>
      </c>
    </row>
    <row r="1702" spans="1:3" hidden="1" x14ac:dyDescent="0.25">
      <c r="A1702" s="52" t="s">
        <v>2656</v>
      </c>
      <c r="B1702" s="52" t="s">
        <v>6025</v>
      </c>
      <c r="C1702" s="52" t="s">
        <v>753</v>
      </c>
    </row>
    <row r="1703" spans="1:3" hidden="1" x14ac:dyDescent="0.25">
      <c r="A1703" s="52" t="s">
        <v>2657</v>
      </c>
      <c r="B1703" s="52" t="s">
        <v>6026</v>
      </c>
      <c r="C1703" s="52" t="s">
        <v>753</v>
      </c>
    </row>
    <row r="1704" spans="1:3" hidden="1" x14ac:dyDescent="0.25">
      <c r="A1704" s="52" t="s">
        <v>2658</v>
      </c>
      <c r="B1704" s="52" t="s">
        <v>6027</v>
      </c>
      <c r="C1704" s="52" t="s">
        <v>753</v>
      </c>
    </row>
    <row r="1705" spans="1:3" hidden="1" x14ac:dyDescent="0.25">
      <c r="A1705" s="52" t="s">
        <v>2659</v>
      </c>
      <c r="B1705" s="52" t="s">
        <v>6028</v>
      </c>
      <c r="C1705" s="52" t="s">
        <v>753</v>
      </c>
    </row>
    <row r="1706" spans="1:3" hidden="1" x14ac:dyDescent="0.25">
      <c r="A1706" s="52" t="s">
        <v>2660</v>
      </c>
      <c r="B1706" s="52" t="s">
        <v>6029</v>
      </c>
      <c r="C1706" s="52" t="s">
        <v>753</v>
      </c>
    </row>
    <row r="1707" spans="1:3" hidden="1" x14ac:dyDescent="0.25">
      <c r="A1707" s="52" t="s">
        <v>2661</v>
      </c>
      <c r="B1707" s="52" t="s">
        <v>5247</v>
      </c>
      <c r="C1707" s="52" t="s">
        <v>753</v>
      </c>
    </row>
    <row r="1708" spans="1:3" hidden="1" x14ac:dyDescent="0.25">
      <c r="A1708" s="52" t="s">
        <v>2662</v>
      </c>
      <c r="B1708" s="52" t="s">
        <v>6030</v>
      </c>
      <c r="C1708" s="52" t="s">
        <v>753</v>
      </c>
    </row>
    <row r="1709" spans="1:3" hidden="1" x14ac:dyDescent="0.25">
      <c r="A1709" s="52" t="s">
        <v>2663</v>
      </c>
      <c r="B1709" s="52" t="s">
        <v>6031</v>
      </c>
      <c r="C1709" s="52" t="s">
        <v>753</v>
      </c>
    </row>
    <row r="1710" spans="1:3" hidden="1" x14ac:dyDescent="0.25">
      <c r="A1710" s="52" t="s">
        <v>2664</v>
      </c>
      <c r="B1710" s="52" t="s">
        <v>6032</v>
      </c>
      <c r="C1710" s="52" t="s">
        <v>753</v>
      </c>
    </row>
    <row r="1711" spans="1:3" hidden="1" x14ac:dyDescent="0.25">
      <c r="A1711" s="52" t="s">
        <v>2665</v>
      </c>
      <c r="B1711" s="52" t="s">
        <v>6033</v>
      </c>
      <c r="C1711" s="52" t="s">
        <v>753</v>
      </c>
    </row>
    <row r="1712" spans="1:3" hidden="1" x14ac:dyDescent="0.25">
      <c r="A1712" s="52" t="s">
        <v>2666</v>
      </c>
      <c r="B1712" s="52" t="s">
        <v>6034</v>
      </c>
      <c r="C1712" s="52" t="s">
        <v>753</v>
      </c>
    </row>
    <row r="1713" spans="1:3" hidden="1" x14ac:dyDescent="0.25">
      <c r="A1713" s="52" t="s">
        <v>2667</v>
      </c>
      <c r="B1713" s="52" t="s">
        <v>6035</v>
      </c>
      <c r="C1713" s="52" t="s">
        <v>753</v>
      </c>
    </row>
    <row r="1714" spans="1:3" hidden="1" x14ac:dyDescent="0.25">
      <c r="A1714" s="52" t="s">
        <v>2668</v>
      </c>
      <c r="B1714" s="52" t="s">
        <v>6036</v>
      </c>
      <c r="C1714" s="52" t="s">
        <v>753</v>
      </c>
    </row>
    <row r="1715" spans="1:3" hidden="1" x14ac:dyDescent="0.25">
      <c r="A1715" s="52" t="s">
        <v>2669</v>
      </c>
      <c r="B1715" s="52" t="s">
        <v>6037</v>
      </c>
      <c r="C1715" s="52" t="s">
        <v>753</v>
      </c>
    </row>
    <row r="1716" spans="1:3" hidden="1" x14ac:dyDescent="0.25">
      <c r="A1716" s="52" t="s">
        <v>2670</v>
      </c>
      <c r="B1716" s="52" t="s">
        <v>6038</v>
      </c>
      <c r="C1716" s="52" t="s">
        <v>753</v>
      </c>
    </row>
    <row r="1717" spans="1:3" hidden="1" x14ac:dyDescent="0.25">
      <c r="A1717" s="52" t="s">
        <v>2671</v>
      </c>
      <c r="B1717" s="52" t="s">
        <v>6039</v>
      </c>
      <c r="C1717" s="52" t="s">
        <v>753</v>
      </c>
    </row>
    <row r="1718" spans="1:3" hidden="1" x14ac:dyDescent="0.25">
      <c r="A1718" s="52" t="s">
        <v>2672</v>
      </c>
      <c r="B1718" s="52" t="s">
        <v>6040</v>
      </c>
      <c r="C1718" s="52" t="s">
        <v>753</v>
      </c>
    </row>
    <row r="1719" spans="1:3" hidden="1" x14ac:dyDescent="0.25">
      <c r="A1719" s="52" t="s">
        <v>2673</v>
      </c>
      <c r="B1719" s="52" t="s">
        <v>6041</v>
      </c>
      <c r="C1719" s="52" t="s">
        <v>753</v>
      </c>
    </row>
    <row r="1720" spans="1:3" hidden="1" x14ac:dyDescent="0.25">
      <c r="A1720" s="52" t="s">
        <v>2674</v>
      </c>
      <c r="B1720" s="52" t="s">
        <v>6042</v>
      </c>
      <c r="C1720" s="52" t="s">
        <v>753</v>
      </c>
    </row>
    <row r="1721" spans="1:3" hidden="1" x14ac:dyDescent="0.25">
      <c r="A1721" s="52" t="s">
        <v>2675</v>
      </c>
      <c r="B1721" s="52" t="s">
        <v>6043</v>
      </c>
      <c r="C1721" s="52" t="s">
        <v>753</v>
      </c>
    </row>
    <row r="1722" spans="1:3" hidden="1" x14ac:dyDescent="0.25">
      <c r="A1722" s="52" t="s">
        <v>2676</v>
      </c>
      <c r="B1722" s="52" t="s">
        <v>6044</v>
      </c>
      <c r="C1722" s="52" t="s">
        <v>753</v>
      </c>
    </row>
    <row r="1723" spans="1:3" hidden="1" x14ac:dyDescent="0.25">
      <c r="A1723" s="52" t="s">
        <v>2677</v>
      </c>
      <c r="B1723" s="52" t="s">
        <v>6045</v>
      </c>
      <c r="C1723" s="52" t="s">
        <v>753</v>
      </c>
    </row>
    <row r="1724" spans="1:3" hidden="1" x14ac:dyDescent="0.25">
      <c r="A1724" s="52" t="s">
        <v>2678</v>
      </c>
      <c r="B1724" s="52" t="s">
        <v>6046</v>
      </c>
      <c r="C1724" s="52" t="s">
        <v>753</v>
      </c>
    </row>
    <row r="1725" spans="1:3" hidden="1" x14ac:dyDescent="0.25">
      <c r="A1725" s="52" t="s">
        <v>2679</v>
      </c>
      <c r="B1725" s="52" t="s">
        <v>6047</v>
      </c>
      <c r="C1725" s="52" t="s">
        <v>753</v>
      </c>
    </row>
    <row r="1726" spans="1:3" hidden="1" x14ac:dyDescent="0.25">
      <c r="A1726" s="52" t="s">
        <v>2680</v>
      </c>
      <c r="B1726" s="52" t="s">
        <v>6048</v>
      </c>
      <c r="C1726" s="52" t="s">
        <v>753</v>
      </c>
    </row>
    <row r="1727" spans="1:3" hidden="1" x14ac:dyDescent="0.25">
      <c r="A1727" s="52" t="s">
        <v>2681</v>
      </c>
      <c r="B1727" s="52" t="s">
        <v>6049</v>
      </c>
      <c r="C1727" s="52" t="s">
        <v>753</v>
      </c>
    </row>
    <row r="1728" spans="1:3" hidden="1" x14ac:dyDescent="0.25">
      <c r="A1728" s="52" t="s">
        <v>2682</v>
      </c>
      <c r="B1728" s="52" t="s">
        <v>6050</v>
      </c>
      <c r="C1728" s="52" t="s">
        <v>753</v>
      </c>
    </row>
    <row r="1729" spans="1:3" hidden="1" x14ac:dyDescent="0.25">
      <c r="A1729" s="52" t="s">
        <v>2683</v>
      </c>
      <c r="B1729" s="52" t="s">
        <v>6051</v>
      </c>
      <c r="C1729" s="52" t="s">
        <v>753</v>
      </c>
    </row>
    <row r="1730" spans="1:3" hidden="1" x14ac:dyDescent="0.25">
      <c r="A1730" s="52" t="s">
        <v>2684</v>
      </c>
      <c r="B1730" s="52" t="s">
        <v>6052</v>
      </c>
      <c r="C1730" s="52" t="s">
        <v>753</v>
      </c>
    </row>
    <row r="1731" spans="1:3" hidden="1" x14ac:dyDescent="0.25">
      <c r="A1731" s="52" t="s">
        <v>2685</v>
      </c>
      <c r="B1731" s="52" t="s">
        <v>6053</v>
      </c>
      <c r="C1731" s="52" t="s">
        <v>753</v>
      </c>
    </row>
    <row r="1732" spans="1:3" hidden="1" x14ac:dyDescent="0.25">
      <c r="A1732" s="52" t="s">
        <v>2686</v>
      </c>
      <c r="B1732" s="52" t="s">
        <v>6054</v>
      </c>
      <c r="C1732" s="52" t="s">
        <v>753</v>
      </c>
    </row>
    <row r="1733" spans="1:3" hidden="1" x14ac:dyDescent="0.25">
      <c r="A1733" s="52" t="s">
        <v>2687</v>
      </c>
      <c r="B1733" s="52" t="s">
        <v>6055</v>
      </c>
      <c r="C1733" s="52" t="s">
        <v>753</v>
      </c>
    </row>
    <row r="1734" spans="1:3" hidden="1" x14ac:dyDescent="0.25">
      <c r="A1734" s="52" t="s">
        <v>2688</v>
      </c>
      <c r="B1734" s="52" t="s">
        <v>6056</v>
      </c>
      <c r="C1734" s="52" t="s">
        <v>753</v>
      </c>
    </row>
    <row r="1735" spans="1:3" hidden="1" x14ac:dyDescent="0.25">
      <c r="A1735" s="52" t="s">
        <v>2689</v>
      </c>
      <c r="B1735" s="52" t="s">
        <v>5990</v>
      </c>
      <c r="C1735" s="52" t="s">
        <v>753</v>
      </c>
    </row>
    <row r="1736" spans="1:3" hidden="1" x14ac:dyDescent="0.25">
      <c r="A1736" s="52" t="s">
        <v>2690</v>
      </c>
      <c r="B1736" s="52" t="s">
        <v>6057</v>
      </c>
      <c r="C1736" s="52" t="s">
        <v>811</v>
      </c>
    </row>
    <row r="1737" spans="1:3" hidden="1" x14ac:dyDescent="0.25">
      <c r="A1737" s="52" t="s">
        <v>2691</v>
      </c>
      <c r="B1737" s="52" t="s">
        <v>6058</v>
      </c>
      <c r="C1737" s="52" t="s">
        <v>811</v>
      </c>
    </row>
    <row r="1738" spans="1:3" hidden="1" x14ac:dyDescent="0.25">
      <c r="A1738" s="52" t="s">
        <v>2692</v>
      </c>
      <c r="B1738" s="52" t="s">
        <v>6059</v>
      </c>
      <c r="C1738" s="52" t="s">
        <v>811</v>
      </c>
    </row>
    <row r="1739" spans="1:3" hidden="1" x14ac:dyDescent="0.25">
      <c r="A1739" s="52" t="s">
        <v>2693</v>
      </c>
      <c r="B1739" s="52" t="s">
        <v>6060</v>
      </c>
      <c r="C1739" s="52" t="s">
        <v>811</v>
      </c>
    </row>
    <row r="1740" spans="1:3" hidden="1" x14ac:dyDescent="0.25">
      <c r="A1740" s="52" t="s">
        <v>2694</v>
      </c>
      <c r="B1740" s="52" t="s">
        <v>6061</v>
      </c>
      <c r="C1740" s="52" t="s">
        <v>811</v>
      </c>
    </row>
    <row r="1741" spans="1:3" hidden="1" x14ac:dyDescent="0.25">
      <c r="A1741" s="52" t="s">
        <v>2695</v>
      </c>
      <c r="B1741" s="52" t="s">
        <v>6062</v>
      </c>
      <c r="C1741" s="52" t="s">
        <v>811</v>
      </c>
    </row>
    <row r="1742" spans="1:3" hidden="1" x14ac:dyDescent="0.25">
      <c r="A1742" s="52" t="s">
        <v>2696</v>
      </c>
      <c r="B1742" s="52" t="s">
        <v>6063</v>
      </c>
      <c r="C1742" s="52" t="s">
        <v>811</v>
      </c>
    </row>
    <row r="1743" spans="1:3" hidden="1" x14ac:dyDescent="0.25">
      <c r="A1743" s="52" t="s">
        <v>2697</v>
      </c>
      <c r="B1743" s="52" t="s">
        <v>6064</v>
      </c>
      <c r="C1743" s="52" t="s">
        <v>811</v>
      </c>
    </row>
    <row r="1744" spans="1:3" hidden="1" x14ac:dyDescent="0.25">
      <c r="A1744" s="52" t="s">
        <v>2698</v>
      </c>
      <c r="B1744" s="52" t="s">
        <v>6065</v>
      </c>
      <c r="C1744" s="52" t="s">
        <v>811</v>
      </c>
    </row>
    <row r="1745" spans="1:3" hidden="1" x14ac:dyDescent="0.25">
      <c r="A1745" s="52" t="s">
        <v>2699</v>
      </c>
      <c r="B1745" s="52" t="s">
        <v>6066</v>
      </c>
      <c r="C1745" s="52" t="s">
        <v>811</v>
      </c>
    </row>
    <row r="1746" spans="1:3" hidden="1" x14ac:dyDescent="0.25">
      <c r="A1746" s="52" t="s">
        <v>2700</v>
      </c>
      <c r="B1746" s="52" t="s">
        <v>6067</v>
      </c>
      <c r="C1746" s="52" t="s">
        <v>811</v>
      </c>
    </row>
    <row r="1747" spans="1:3" hidden="1" x14ac:dyDescent="0.25">
      <c r="A1747" s="52" t="s">
        <v>2701</v>
      </c>
      <c r="B1747" s="52" t="s">
        <v>6068</v>
      </c>
      <c r="C1747" s="52" t="s">
        <v>811</v>
      </c>
    </row>
    <row r="1748" spans="1:3" hidden="1" x14ac:dyDescent="0.25">
      <c r="A1748" s="52" t="s">
        <v>2702</v>
      </c>
      <c r="B1748" s="52" t="s">
        <v>6069</v>
      </c>
      <c r="C1748" s="52" t="s">
        <v>811</v>
      </c>
    </row>
    <row r="1749" spans="1:3" hidden="1" x14ac:dyDescent="0.25">
      <c r="A1749" s="52" t="s">
        <v>2703</v>
      </c>
      <c r="B1749" s="52" t="s">
        <v>6070</v>
      </c>
      <c r="C1749" s="52" t="s">
        <v>811</v>
      </c>
    </row>
    <row r="1750" spans="1:3" hidden="1" x14ac:dyDescent="0.25">
      <c r="A1750" s="52" t="s">
        <v>2704</v>
      </c>
      <c r="B1750" s="52" t="s">
        <v>6071</v>
      </c>
      <c r="C1750" s="52" t="s">
        <v>811</v>
      </c>
    </row>
    <row r="1751" spans="1:3" hidden="1" x14ac:dyDescent="0.25">
      <c r="A1751" s="52" t="s">
        <v>2705</v>
      </c>
      <c r="B1751" s="52" t="s">
        <v>6072</v>
      </c>
      <c r="C1751" s="52" t="s">
        <v>811</v>
      </c>
    </row>
    <row r="1752" spans="1:3" hidden="1" x14ac:dyDescent="0.25">
      <c r="A1752" s="52" t="s">
        <v>2706</v>
      </c>
      <c r="B1752" s="52" t="s">
        <v>6073</v>
      </c>
      <c r="C1752" s="52" t="s">
        <v>811</v>
      </c>
    </row>
    <row r="1753" spans="1:3" hidden="1" x14ac:dyDescent="0.25">
      <c r="A1753" s="52" t="s">
        <v>2707</v>
      </c>
      <c r="B1753" s="52" t="s">
        <v>6074</v>
      </c>
      <c r="C1753" s="52" t="s">
        <v>811</v>
      </c>
    </row>
    <row r="1754" spans="1:3" hidden="1" x14ac:dyDescent="0.25">
      <c r="A1754" s="52" t="s">
        <v>2708</v>
      </c>
      <c r="B1754" s="52" t="s">
        <v>6075</v>
      </c>
      <c r="C1754" s="52" t="s">
        <v>811</v>
      </c>
    </row>
    <row r="1755" spans="1:3" hidden="1" x14ac:dyDescent="0.25">
      <c r="A1755" s="52" t="s">
        <v>2709</v>
      </c>
      <c r="B1755" s="52" t="s">
        <v>6076</v>
      </c>
      <c r="C1755" s="52" t="s">
        <v>811</v>
      </c>
    </row>
    <row r="1756" spans="1:3" hidden="1" x14ac:dyDescent="0.25">
      <c r="A1756" s="52" t="s">
        <v>2710</v>
      </c>
      <c r="B1756" s="52" t="s">
        <v>6077</v>
      </c>
      <c r="C1756" s="52" t="s">
        <v>811</v>
      </c>
    </row>
    <row r="1757" spans="1:3" hidden="1" x14ac:dyDescent="0.25">
      <c r="A1757" s="52" t="s">
        <v>2711</v>
      </c>
      <c r="B1757" s="52" t="s">
        <v>6078</v>
      </c>
      <c r="C1757" s="52" t="s">
        <v>811</v>
      </c>
    </row>
    <row r="1758" spans="1:3" hidden="1" x14ac:dyDescent="0.25">
      <c r="A1758" s="52" t="s">
        <v>2712</v>
      </c>
      <c r="B1758" s="52" t="s">
        <v>6079</v>
      </c>
      <c r="C1758" s="52" t="s">
        <v>811</v>
      </c>
    </row>
    <row r="1759" spans="1:3" hidden="1" x14ac:dyDescent="0.25">
      <c r="A1759" s="52" t="s">
        <v>2713</v>
      </c>
      <c r="B1759" s="52" t="s">
        <v>6080</v>
      </c>
      <c r="C1759" s="52" t="s">
        <v>811</v>
      </c>
    </row>
    <row r="1760" spans="1:3" hidden="1" x14ac:dyDescent="0.25">
      <c r="A1760" s="52" t="s">
        <v>2714</v>
      </c>
      <c r="B1760" s="52" t="s">
        <v>6081</v>
      </c>
      <c r="C1760" s="52" t="s">
        <v>811</v>
      </c>
    </row>
    <row r="1761" spans="1:3" hidden="1" x14ac:dyDescent="0.25">
      <c r="A1761" s="52" t="s">
        <v>2715</v>
      </c>
      <c r="B1761" s="52" t="s">
        <v>6082</v>
      </c>
      <c r="C1761" s="52" t="s">
        <v>811</v>
      </c>
    </row>
    <row r="1762" spans="1:3" hidden="1" x14ac:dyDescent="0.25">
      <c r="A1762" s="52" t="s">
        <v>2716</v>
      </c>
      <c r="B1762" s="52" t="s">
        <v>6083</v>
      </c>
      <c r="C1762" s="52" t="s">
        <v>811</v>
      </c>
    </row>
    <row r="1763" spans="1:3" hidden="1" x14ac:dyDescent="0.25">
      <c r="A1763" s="52" t="s">
        <v>2717</v>
      </c>
      <c r="B1763" s="52" t="s">
        <v>6084</v>
      </c>
      <c r="C1763" s="52" t="s">
        <v>811</v>
      </c>
    </row>
    <row r="1764" spans="1:3" hidden="1" x14ac:dyDescent="0.25">
      <c r="A1764" s="52" t="s">
        <v>2718</v>
      </c>
      <c r="B1764" s="52" t="s">
        <v>6085</v>
      </c>
      <c r="C1764" s="52" t="s">
        <v>811</v>
      </c>
    </row>
    <row r="1765" spans="1:3" hidden="1" x14ac:dyDescent="0.25">
      <c r="A1765" s="52" t="s">
        <v>2719</v>
      </c>
      <c r="B1765" s="52" t="s">
        <v>6086</v>
      </c>
      <c r="C1765" s="52" t="s">
        <v>811</v>
      </c>
    </row>
    <row r="1766" spans="1:3" hidden="1" x14ac:dyDescent="0.25">
      <c r="A1766" s="52" t="s">
        <v>2720</v>
      </c>
      <c r="B1766" s="52" t="s">
        <v>6087</v>
      </c>
      <c r="C1766" s="52" t="s">
        <v>811</v>
      </c>
    </row>
    <row r="1767" spans="1:3" hidden="1" x14ac:dyDescent="0.25">
      <c r="A1767" s="52" t="s">
        <v>2721</v>
      </c>
      <c r="B1767" s="52" t="s">
        <v>6088</v>
      </c>
      <c r="C1767" s="52" t="s">
        <v>811</v>
      </c>
    </row>
    <row r="1768" spans="1:3" hidden="1" x14ac:dyDescent="0.25">
      <c r="A1768" s="52" t="s">
        <v>2722</v>
      </c>
      <c r="B1768" s="52" t="s">
        <v>6089</v>
      </c>
      <c r="C1768" s="52" t="s">
        <v>811</v>
      </c>
    </row>
    <row r="1769" spans="1:3" hidden="1" x14ac:dyDescent="0.25">
      <c r="A1769" s="52" t="s">
        <v>2723</v>
      </c>
      <c r="B1769" s="52" t="s">
        <v>6090</v>
      </c>
      <c r="C1769" s="52" t="s">
        <v>811</v>
      </c>
    </row>
    <row r="1770" spans="1:3" hidden="1" x14ac:dyDescent="0.25">
      <c r="A1770" s="52" t="s">
        <v>2724</v>
      </c>
      <c r="B1770" s="52" t="s">
        <v>6091</v>
      </c>
      <c r="C1770" s="52" t="s">
        <v>811</v>
      </c>
    </row>
    <row r="1771" spans="1:3" hidden="1" x14ac:dyDescent="0.25">
      <c r="A1771" s="52" t="s">
        <v>2725</v>
      </c>
      <c r="B1771" s="52" t="s">
        <v>6092</v>
      </c>
      <c r="C1771" s="52" t="s">
        <v>811</v>
      </c>
    </row>
    <row r="1772" spans="1:3" hidden="1" x14ac:dyDescent="0.25">
      <c r="A1772" s="52" t="s">
        <v>2726</v>
      </c>
      <c r="B1772" s="52" t="s">
        <v>6093</v>
      </c>
      <c r="C1772" s="52" t="s">
        <v>811</v>
      </c>
    </row>
    <row r="1773" spans="1:3" hidden="1" x14ac:dyDescent="0.25">
      <c r="A1773" s="52" t="s">
        <v>2727</v>
      </c>
      <c r="B1773" s="52" t="s">
        <v>6094</v>
      </c>
      <c r="C1773" s="52" t="s">
        <v>811</v>
      </c>
    </row>
    <row r="1774" spans="1:3" hidden="1" x14ac:dyDescent="0.25">
      <c r="A1774" s="52" t="s">
        <v>2728</v>
      </c>
      <c r="B1774" s="52" t="s">
        <v>6095</v>
      </c>
      <c r="C1774" s="52" t="s">
        <v>811</v>
      </c>
    </row>
    <row r="1775" spans="1:3" hidden="1" x14ac:dyDescent="0.25">
      <c r="A1775" s="52" t="s">
        <v>2729</v>
      </c>
      <c r="B1775" s="52" t="s">
        <v>6096</v>
      </c>
      <c r="C1775" s="52" t="s">
        <v>811</v>
      </c>
    </row>
    <row r="1776" spans="1:3" hidden="1" x14ac:dyDescent="0.25">
      <c r="A1776" s="52" t="s">
        <v>2730</v>
      </c>
      <c r="B1776" s="52" t="s">
        <v>6097</v>
      </c>
      <c r="C1776" s="52" t="s">
        <v>811</v>
      </c>
    </row>
    <row r="1777" spans="1:3" hidden="1" x14ac:dyDescent="0.25">
      <c r="A1777" s="52" t="s">
        <v>2731</v>
      </c>
      <c r="B1777" s="52" t="s">
        <v>6098</v>
      </c>
      <c r="C1777" s="52" t="s">
        <v>811</v>
      </c>
    </row>
    <row r="1778" spans="1:3" hidden="1" x14ac:dyDescent="0.25">
      <c r="A1778" s="52" t="s">
        <v>2732</v>
      </c>
      <c r="B1778" s="52" t="s">
        <v>6099</v>
      </c>
      <c r="C1778" s="52" t="s">
        <v>811</v>
      </c>
    </row>
    <row r="1779" spans="1:3" hidden="1" x14ac:dyDescent="0.25">
      <c r="A1779" s="52" t="s">
        <v>2733</v>
      </c>
      <c r="B1779" s="52" t="s">
        <v>6100</v>
      </c>
      <c r="C1779" s="52" t="s">
        <v>811</v>
      </c>
    </row>
    <row r="1780" spans="1:3" hidden="1" x14ac:dyDescent="0.25">
      <c r="A1780" s="52" t="s">
        <v>2734</v>
      </c>
      <c r="B1780" s="52" t="s">
        <v>6101</v>
      </c>
      <c r="C1780" s="52" t="s">
        <v>811</v>
      </c>
    </row>
    <row r="1781" spans="1:3" hidden="1" x14ac:dyDescent="0.25">
      <c r="A1781" s="52" t="s">
        <v>2735</v>
      </c>
      <c r="B1781" s="52" t="s">
        <v>6102</v>
      </c>
      <c r="C1781" s="52" t="s">
        <v>811</v>
      </c>
    </row>
    <row r="1782" spans="1:3" hidden="1" x14ac:dyDescent="0.25">
      <c r="A1782" s="52" t="s">
        <v>2736</v>
      </c>
      <c r="B1782" s="52" t="s">
        <v>6103</v>
      </c>
      <c r="C1782" s="52" t="s">
        <v>811</v>
      </c>
    </row>
    <row r="1783" spans="1:3" hidden="1" x14ac:dyDescent="0.25">
      <c r="A1783" s="52" t="s">
        <v>2737</v>
      </c>
      <c r="B1783" s="52" t="s">
        <v>6104</v>
      </c>
      <c r="C1783" s="52" t="s">
        <v>811</v>
      </c>
    </row>
    <row r="1784" spans="1:3" hidden="1" x14ac:dyDescent="0.25">
      <c r="A1784" s="52" t="s">
        <v>2738</v>
      </c>
      <c r="B1784" s="52" t="s">
        <v>6105</v>
      </c>
      <c r="C1784" s="52" t="s">
        <v>811</v>
      </c>
    </row>
    <row r="1785" spans="1:3" hidden="1" x14ac:dyDescent="0.25">
      <c r="A1785" s="52" t="s">
        <v>2739</v>
      </c>
      <c r="B1785" s="52" t="s">
        <v>6106</v>
      </c>
      <c r="C1785" s="52" t="s">
        <v>811</v>
      </c>
    </row>
    <row r="1786" spans="1:3" hidden="1" x14ac:dyDescent="0.25">
      <c r="A1786" s="52" t="s">
        <v>2740</v>
      </c>
      <c r="B1786" s="52" t="s">
        <v>6107</v>
      </c>
      <c r="C1786" s="52" t="s">
        <v>811</v>
      </c>
    </row>
    <row r="1787" spans="1:3" hidden="1" x14ac:dyDescent="0.25">
      <c r="A1787" s="52" t="s">
        <v>2741</v>
      </c>
      <c r="B1787" s="52" t="s">
        <v>6108</v>
      </c>
      <c r="C1787" s="52" t="s">
        <v>811</v>
      </c>
    </row>
    <row r="1788" spans="1:3" hidden="1" x14ac:dyDescent="0.25">
      <c r="A1788" s="52" t="s">
        <v>2742</v>
      </c>
      <c r="B1788" s="52" t="s">
        <v>6109</v>
      </c>
      <c r="C1788" s="52" t="s">
        <v>811</v>
      </c>
    </row>
    <row r="1789" spans="1:3" hidden="1" x14ac:dyDescent="0.25">
      <c r="A1789" s="52" t="s">
        <v>2743</v>
      </c>
      <c r="B1789" s="52" t="s">
        <v>5821</v>
      </c>
      <c r="C1789" s="52" t="s">
        <v>811</v>
      </c>
    </row>
    <row r="1790" spans="1:3" hidden="1" x14ac:dyDescent="0.25">
      <c r="A1790" s="52" t="s">
        <v>2744</v>
      </c>
      <c r="B1790" s="52" t="s">
        <v>6110</v>
      </c>
      <c r="C1790" s="52" t="s">
        <v>811</v>
      </c>
    </row>
    <row r="1791" spans="1:3" hidden="1" x14ac:dyDescent="0.25">
      <c r="A1791" s="52" t="s">
        <v>2745</v>
      </c>
      <c r="B1791" s="52" t="s">
        <v>6111</v>
      </c>
      <c r="C1791" s="52" t="s">
        <v>811</v>
      </c>
    </row>
    <row r="1792" spans="1:3" hidden="1" x14ac:dyDescent="0.25">
      <c r="A1792" s="52" t="s">
        <v>2746</v>
      </c>
      <c r="B1792" s="52" t="s">
        <v>6112</v>
      </c>
      <c r="C1792" s="52" t="s">
        <v>811</v>
      </c>
    </row>
    <row r="1793" spans="1:3" hidden="1" x14ac:dyDescent="0.25">
      <c r="A1793" s="52" t="s">
        <v>2747</v>
      </c>
      <c r="B1793" s="52" t="s">
        <v>6113</v>
      </c>
      <c r="C1793" s="52" t="s">
        <v>811</v>
      </c>
    </row>
    <row r="1794" spans="1:3" hidden="1" x14ac:dyDescent="0.25">
      <c r="A1794" s="52" t="s">
        <v>2748</v>
      </c>
      <c r="B1794" s="52" t="s">
        <v>6114</v>
      </c>
      <c r="C1794" s="52" t="s">
        <v>811</v>
      </c>
    </row>
    <row r="1795" spans="1:3" hidden="1" x14ac:dyDescent="0.25">
      <c r="A1795" s="52" t="s">
        <v>2749</v>
      </c>
      <c r="B1795" s="52" t="s">
        <v>4718</v>
      </c>
      <c r="C1795" s="52" t="s">
        <v>811</v>
      </c>
    </row>
    <row r="1796" spans="1:3" hidden="1" x14ac:dyDescent="0.25">
      <c r="A1796" s="52" t="s">
        <v>2750</v>
      </c>
      <c r="B1796" s="52" t="s">
        <v>6115</v>
      </c>
      <c r="C1796" s="52" t="s">
        <v>811</v>
      </c>
    </row>
    <row r="1797" spans="1:3" hidden="1" x14ac:dyDescent="0.25">
      <c r="A1797" s="52" t="s">
        <v>2751</v>
      </c>
      <c r="B1797" s="52" t="s">
        <v>6116</v>
      </c>
      <c r="C1797" s="52" t="s">
        <v>811</v>
      </c>
    </row>
    <row r="1798" spans="1:3" hidden="1" x14ac:dyDescent="0.25">
      <c r="A1798" s="52" t="s">
        <v>2752</v>
      </c>
      <c r="B1798" s="52" t="s">
        <v>6117</v>
      </c>
      <c r="C1798" s="52" t="s">
        <v>811</v>
      </c>
    </row>
    <row r="1799" spans="1:3" hidden="1" x14ac:dyDescent="0.25">
      <c r="A1799" s="52" t="s">
        <v>2753</v>
      </c>
      <c r="B1799" s="52" t="s">
        <v>6118</v>
      </c>
      <c r="C1799" s="52" t="s">
        <v>811</v>
      </c>
    </row>
    <row r="1800" spans="1:3" hidden="1" x14ac:dyDescent="0.25">
      <c r="A1800" s="52" t="s">
        <v>2754</v>
      </c>
      <c r="B1800" s="52" t="s">
        <v>6119</v>
      </c>
      <c r="C1800" s="52" t="s">
        <v>811</v>
      </c>
    </row>
    <row r="1801" spans="1:3" hidden="1" x14ac:dyDescent="0.25">
      <c r="A1801" s="52" t="s">
        <v>2755</v>
      </c>
      <c r="B1801" s="52" t="s">
        <v>6120</v>
      </c>
      <c r="C1801" s="52" t="s">
        <v>811</v>
      </c>
    </row>
    <row r="1802" spans="1:3" hidden="1" x14ac:dyDescent="0.25">
      <c r="A1802" s="52" t="s">
        <v>2756</v>
      </c>
      <c r="B1802" s="52" t="s">
        <v>6121</v>
      </c>
      <c r="C1802" s="52" t="s">
        <v>811</v>
      </c>
    </row>
    <row r="1803" spans="1:3" hidden="1" x14ac:dyDescent="0.25">
      <c r="A1803" s="52" t="s">
        <v>2757</v>
      </c>
      <c r="B1803" s="52" t="s">
        <v>6122</v>
      </c>
      <c r="C1803" s="52" t="s">
        <v>811</v>
      </c>
    </row>
    <row r="1804" spans="1:3" hidden="1" x14ac:dyDescent="0.25">
      <c r="A1804" s="52" t="s">
        <v>2758</v>
      </c>
      <c r="B1804" s="52" t="s">
        <v>5528</v>
      </c>
      <c r="C1804" s="52" t="s">
        <v>811</v>
      </c>
    </row>
    <row r="1805" spans="1:3" hidden="1" x14ac:dyDescent="0.25">
      <c r="A1805" s="52" t="s">
        <v>2759</v>
      </c>
      <c r="B1805" s="52" t="s">
        <v>6123</v>
      </c>
      <c r="C1805" s="52" t="s">
        <v>811</v>
      </c>
    </row>
    <row r="1806" spans="1:3" hidden="1" x14ac:dyDescent="0.25">
      <c r="A1806" s="52" t="s">
        <v>2760</v>
      </c>
      <c r="B1806" s="52" t="s">
        <v>6124</v>
      </c>
      <c r="C1806" s="52" t="s">
        <v>811</v>
      </c>
    </row>
    <row r="1807" spans="1:3" hidden="1" x14ac:dyDescent="0.25">
      <c r="A1807" s="52" t="s">
        <v>2761</v>
      </c>
      <c r="B1807" s="52" t="s">
        <v>6125</v>
      </c>
      <c r="C1807" s="52" t="s">
        <v>811</v>
      </c>
    </row>
    <row r="1808" spans="1:3" hidden="1" x14ac:dyDescent="0.25">
      <c r="A1808" s="52" t="s">
        <v>2762</v>
      </c>
      <c r="B1808" s="52" t="s">
        <v>6126</v>
      </c>
      <c r="C1808" s="52" t="s">
        <v>811</v>
      </c>
    </row>
    <row r="1809" spans="1:3" hidden="1" x14ac:dyDescent="0.25">
      <c r="A1809" s="52" t="s">
        <v>2763</v>
      </c>
      <c r="B1809" s="52" t="s">
        <v>6127</v>
      </c>
      <c r="C1809" s="52" t="s">
        <v>811</v>
      </c>
    </row>
    <row r="1810" spans="1:3" hidden="1" x14ac:dyDescent="0.25">
      <c r="A1810" s="52" t="s">
        <v>2764</v>
      </c>
      <c r="B1810" s="52" t="s">
        <v>6128</v>
      </c>
      <c r="C1810" s="52" t="s">
        <v>811</v>
      </c>
    </row>
    <row r="1811" spans="1:3" hidden="1" x14ac:dyDescent="0.25">
      <c r="A1811" s="52" t="s">
        <v>2765</v>
      </c>
      <c r="B1811" s="52" t="s">
        <v>6129</v>
      </c>
      <c r="C1811" s="52" t="s">
        <v>811</v>
      </c>
    </row>
    <row r="1812" spans="1:3" hidden="1" x14ac:dyDescent="0.25">
      <c r="A1812" s="52" t="s">
        <v>2766</v>
      </c>
      <c r="B1812" s="52" t="s">
        <v>6130</v>
      </c>
      <c r="C1812" s="52" t="s">
        <v>811</v>
      </c>
    </row>
    <row r="1813" spans="1:3" hidden="1" x14ac:dyDescent="0.25">
      <c r="A1813" s="52" t="s">
        <v>2767</v>
      </c>
      <c r="B1813" s="52" t="s">
        <v>6131</v>
      </c>
      <c r="C1813" s="52" t="s">
        <v>811</v>
      </c>
    </row>
    <row r="1814" spans="1:3" hidden="1" x14ac:dyDescent="0.25">
      <c r="A1814" s="52" t="s">
        <v>2768</v>
      </c>
      <c r="B1814" s="52" t="s">
        <v>6132</v>
      </c>
      <c r="C1814" s="52" t="s">
        <v>813</v>
      </c>
    </row>
    <row r="1815" spans="1:3" hidden="1" x14ac:dyDescent="0.25">
      <c r="A1815" s="52" t="s">
        <v>2769</v>
      </c>
      <c r="B1815" s="52" t="s">
        <v>6133</v>
      </c>
      <c r="C1815" s="52" t="s">
        <v>813</v>
      </c>
    </row>
    <row r="1816" spans="1:3" hidden="1" x14ac:dyDescent="0.25">
      <c r="A1816" s="52" t="s">
        <v>2770</v>
      </c>
      <c r="B1816" s="52" t="s">
        <v>6134</v>
      </c>
      <c r="C1816" s="52" t="s">
        <v>813</v>
      </c>
    </row>
    <row r="1817" spans="1:3" hidden="1" x14ac:dyDescent="0.25">
      <c r="A1817" s="52" t="s">
        <v>2771</v>
      </c>
      <c r="B1817" s="52" t="s">
        <v>6135</v>
      </c>
      <c r="C1817" s="52" t="s">
        <v>813</v>
      </c>
    </row>
    <row r="1818" spans="1:3" hidden="1" x14ac:dyDescent="0.25">
      <c r="A1818" s="52" t="s">
        <v>2772</v>
      </c>
      <c r="B1818" s="52" t="s">
        <v>6136</v>
      </c>
      <c r="C1818" s="52" t="s">
        <v>813</v>
      </c>
    </row>
    <row r="1819" spans="1:3" hidden="1" x14ac:dyDescent="0.25">
      <c r="A1819" s="52" t="s">
        <v>2773</v>
      </c>
      <c r="B1819" s="52" t="s">
        <v>6137</v>
      </c>
      <c r="C1819" s="52" t="s">
        <v>813</v>
      </c>
    </row>
    <row r="1820" spans="1:3" hidden="1" x14ac:dyDescent="0.25">
      <c r="A1820" s="52" t="s">
        <v>2774</v>
      </c>
      <c r="B1820" s="52" t="s">
        <v>6138</v>
      </c>
      <c r="C1820" s="52" t="s">
        <v>813</v>
      </c>
    </row>
    <row r="1821" spans="1:3" hidden="1" x14ac:dyDescent="0.25">
      <c r="A1821" s="52" t="s">
        <v>2775</v>
      </c>
      <c r="B1821" s="52" t="s">
        <v>6139</v>
      </c>
      <c r="C1821" s="52" t="s">
        <v>813</v>
      </c>
    </row>
    <row r="1822" spans="1:3" hidden="1" x14ac:dyDescent="0.25">
      <c r="A1822" s="52" t="s">
        <v>2776</v>
      </c>
      <c r="B1822" s="52" t="s">
        <v>6140</v>
      </c>
      <c r="C1822" s="52" t="s">
        <v>813</v>
      </c>
    </row>
    <row r="1823" spans="1:3" hidden="1" x14ac:dyDescent="0.25">
      <c r="A1823" s="52" t="s">
        <v>2777</v>
      </c>
      <c r="B1823" s="52" t="s">
        <v>6141</v>
      </c>
      <c r="C1823" s="52" t="s">
        <v>813</v>
      </c>
    </row>
    <row r="1824" spans="1:3" hidden="1" x14ac:dyDescent="0.25">
      <c r="A1824" s="52" t="s">
        <v>2778</v>
      </c>
      <c r="B1824" s="52" t="s">
        <v>6142</v>
      </c>
      <c r="C1824" s="52" t="s">
        <v>813</v>
      </c>
    </row>
    <row r="1825" spans="1:3" hidden="1" x14ac:dyDescent="0.25">
      <c r="A1825" s="52" t="s">
        <v>2779</v>
      </c>
      <c r="B1825" s="52" t="s">
        <v>6143</v>
      </c>
      <c r="C1825" s="52" t="s">
        <v>813</v>
      </c>
    </row>
    <row r="1826" spans="1:3" hidden="1" x14ac:dyDescent="0.25">
      <c r="A1826" s="52" t="s">
        <v>2780</v>
      </c>
      <c r="B1826" s="52" t="s">
        <v>6144</v>
      </c>
      <c r="C1826" s="52" t="s">
        <v>813</v>
      </c>
    </row>
    <row r="1827" spans="1:3" hidden="1" x14ac:dyDescent="0.25">
      <c r="A1827" s="52" t="s">
        <v>2781</v>
      </c>
      <c r="B1827" s="52" t="s">
        <v>6145</v>
      </c>
      <c r="C1827" s="52" t="s">
        <v>813</v>
      </c>
    </row>
    <row r="1828" spans="1:3" hidden="1" x14ac:dyDescent="0.25">
      <c r="A1828" s="52" t="s">
        <v>2782</v>
      </c>
      <c r="B1828" s="52" t="s">
        <v>6146</v>
      </c>
      <c r="C1828" s="52" t="s">
        <v>813</v>
      </c>
    </row>
    <row r="1829" spans="1:3" hidden="1" x14ac:dyDescent="0.25">
      <c r="A1829" s="52" t="s">
        <v>2783</v>
      </c>
      <c r="B1829" s="52" t="s">
        <v>6147</v>
      </c>
      <c r="C1829" s="52" t="s">
        <v>813</v>
      </c>
    </row>
    <row r="1830" spans="1:3" hidden="1" x14ac:dyDescent="0.25">
      <c r="A1830" s="52" t="s">
        <v>2784</v>
      </c>
      <c r="B1830" s="52" t="s">
        <v>6148</v>
      </c>
      <c r="C1830" s="52" t="s">
        <v>813</v>
      </c>
    </row>
    <row r="1831" spans="1:3" hidden="1" x14ac:dyDescent="0.25">
      <c r="A1831" s="52" t="s">
        <v>2785</v>
      </c>
      <c r="B1831" s="52" t="s">
        <v>6149</v>
      </c>
      <c r="C1831" s="52" t="s">
        <v>813</v>
      </c>
    </row>
    <row r="1832" spans="1:3" hidden="1" x14ac:dyDescent="0.25">
      <c r="A1832" s="52" t="s">
        <v>2786</v>
      </c>
      <c r="B1832" s="52" t="s">
        <v>6150</v>
      </c>
      <c r="C1832" s="52" t="s">
        <v>813</v>
      </c>
    </row>
    <row r="1833" spans="1:3" hidden="1" x14ac:dyDescent="0.25">
      <c r="A1833" s="52" t="s">
        <v>2787</v>
      </c>
      <c r="B1833" s="52" t="s">
        <v>6151</v>
      </c>
      <c r="C1833" s="52" t="s">
        <v>813</v>
      </c>
    </row>
    <row r="1834" spans="1:3" hidden="1" x14ac:dyDescent="0.25">
      <c r="A1834" s="52" t="s">
        <v>2788</v>
      </c>
      <c r="B1834" s="52" t="s">
        <v>6152</v>
      </c>
      <c r="C1834" s="52" t="s">
        <v>813</v>
      </c>
    </row>
    <row r="1835" spans="1:3" hidden="1" x14ac:dyDescent="0.25">
      <c r="A1835" s="52" t="s">
        <v>2789</v>
      </c>
      <c r="B1835" s="52" t="s">
        <v>6153</v>
      </c>
      <c r="C1835" s="52" t="s">
        <v>813</v>
      </c>
    </row>
    <row r="1836" spans="1:3" hidden="1" x14ac:dyDescent="0.25">
      <c r="A1836" s="52" t="s">
        <v>2790</v>
      </c>
      <c r="B1836" s="52" t="s">
        <v>6154</v>
      </c>
      <c r="C1836" s="52" t="s">
        <v>813</v>
      </c>
    </row>
    <row r="1837" spans="1:3" hidden="1" x14ac:dyDescent="0.25">
      <c r="A1837" s="52" t="s">
        <v>2791</v>
      </c>
      <c r="B1837" s="52" t="s">
        <v>6155</v>
      </c>
      <c r="C1837" s="52" t="s">
        <v>813</v>
      </c>
    </row>
    <row r="1838" spans="1:3" hidden="1" x14ac:dyDescent="0.25">
      <c r="A1838" s="52" t="s">
        <v>2792</v>
      </c>
      <c r="B1838" s="52" t="s">
        <v>6156</v>
      </c>
      <c r="C1838" s="52" t="s">
        <v>813</v>
      </c>
    </row>
    <row r="1839" spans="1:3" hidden="1" x14ac:dyDescent="0.25">
      <c r="A1839" s="52" t="s">
        <v>2793</v>
      </c>
      <c r="B1839" s="52" t="s">
        <v>6157</v>
      </c>
      <c r="C1839" s="52" t="s">
        <v>813</v>
      </c>
    </row>
    <row r="1840" spans="1:3" hidden="1" x14ac:dyDescent="0.25">
      <c r="A1840" s="52" t="s">
        <v>2794</v>
      </c>
      <c r="B1840" s="52" t="s">
        <v>6158</v>
      </c>
      <c r="C1840" s="52" t="s">
        <v>813</v>
      </c>
    </row>
    <row r="1841" spans="1:3" hidden="1" x14ac:dyDescent="0.25">
      <c r="A1841" s="52" t="s">
        <v>2795</v>
      </c>
      <c r="B1841" s="52" t="s">
        <v>6159</v>
      </c>
      <c r="C1841" s="52" t="s">
        <v>813</v>
      </c>
    </row>
    <row r="1842" spans="1:3" hidden="1" x14ac:dyDescent="0.25">
      <c r="A1842" s="52" t="s">
        <v>2796</v>
      </c>
      <c r="B1842" s="52" t="s">
        <v>6160</v>
      </c>
      <c r="C1842" s="52" t="s">
        <v>813</v>
      </c>
    </row>
    <row r="1843" spans="1:3" hidden="1" x14ac:dyDescent="0.25">
      <c r="A1843" s="52" t="s">
        <v>2797</v>
      </c>
      <c r="B1843" s="52" t="s">
        <v>6161</v>
      </c>
      <c r="C1843" s="52" t="s">
        <v>813</v>
      </c>
    </row>
    <row r="1844" spans="1:3" hidden="1" x14ac:dyDescent="0.25">
      <c r="A1844" s="52" t="s">
        <v>2798</v>
      </c>
      <c r="B1844" s="52" t="s">
        <v>6162</v>
      </c>
      <c r="C1844" s="52" t="s">
        <v>813</v>
      </c>
    </row>
    <row r="1845" spans="1:3" hidden="1" x14ac:dyDescent="0.25">
      <c r="A1845" s="52" t="s">
        <v>2799</v>
      </c>
      <c r="B1845" s="52" t="s">
        <v>6163</v>
      </c>
      <c r="C1845" s="52" t="s">
        <v>813</v>
      </c>
    </row>
    <row r="1846" spans="1:3" hidden="1" x14ac:dyDescent="0.25">
      <c r="A1846" s="52" t="s">
        <v>2800</v>
      </c>
      <c r="B1846" s="52" t="s">
        <v>6164</v>
      </c>
      <c r="C1846" s="52" t="s">
        <v>813</v>
      </c>
    </row>
    <row r="1847" spans="1:3" hidden="1" x14ac:dyDescent="0.25">
      <c r="A1847" s="52" t="s">
        <v>2801</v>
      </c>
      <c r="B1847" s="52" t="s">
        <v>6165</v>
      </c>
      <c r="C1847" s="52" t="s">
        <v>813</v>
      </c>
    </row>
    <row r="1848" spans="1:3" hidden="1" x14ac:dyDescent="0.25">
      <c r="A1848" s="52" t="s">
        <v>2802</v>
      </c>
      <c r="B1848" s="52" t="s">
        <v>6166</v>
      </c>
      <c r="C1848" s="52" t="s">
        <v>813</v>
      </c>
    </row>
    <row r="1849" spans="1:3" hidden="1" x14ac:dyDescent="0.25">
      <c r="A1849" s="52" t="s">
        <v>2803</v>
      </c>
      <c r="B1849" s="52" t="s">
        <v>6167</v>
      </c>
      <c r="C1849" s="52" t="s">
        <v>813</v>
      </c>
    </row>
    <row r="1850" spans="1:3" hidden="1" x14ac:dyDescent="0.25">
      <c r="A1850" s="52" t="s">
        <v>2804</v>
      </c>
      <c r="B1850" s="52" t="s">
        <v>6168</v>
      </c>
      <c r="C1850" s="52" t="s">
        <v>813</v>
      </c>
    </row>
    <row r="1851" spans="1:3" hidden="1" x14ac:dyDescent="0.25">
      <c r="A1851" s="52" t="s">
        <v>2805</v>
      </c>
      <c r="B1851" s="52" t="s">
        <v>6169</v>
      </c>
      <c r="C1851" s="52" t="s">
        <v>813</v>
      </c>
    </row>
    <row r="1852" spans="1:3" hidden="1" x14ac:dyDescent="0.25">
      <c r="A1852" s="52" t="s">
        <v>2806</v>
      </c>
      <c r="B1852" s="52" t="s">
        <v>6170</v>
      </c>
      <c r="C1852" s="52" t="s">
        <v>813</v>
      </c>
    </row>
    <row r="1853" spans="1:3" hidden="1" x14ac:dyDescent="0.25">
      <c r="A1853" s="52" t="s">
        <v>4552</v>
      </c>
      <c r="B1853" s="52" t="s">
        <v>6171</v>
      </c>
      <c r="C1853" s="52" t="s">
        <v>813</v>
      </c>
    </row>
    <row r="1854" spans="1:3" hidden="1" x14ac:dyDescent="0.25">
      <c r="A1854" s="52" t="s">
        <v>2807</v>
      </c>
      <c r="B1854" s="52" t="s">
        <v>6172</v>
      </c>
      <c r="C1854" s="52" t="s">
        <v>815</v>
      </c>
    </row>
    <row r="1855" spans="1:3" hidden="1" x14ac:dyDescent="0.25">
      <c r="A1855" s="52" t="s">
        <v>2808</v>
      </c>
      <c r="B1855" s="52" t="s">
        <v>5260</v>
      </c>
      <c r="C1855" s="52" t="s">
        <v>815</v>
      </c>
    </row>
    <row r="1856" spans="1:3" hidden="1" x14ac:dyDescent="0.25">
      <c r="A1856" s="52" t="s">
        <v>2809</v>
      </c>
      <c r="B1856" s="52" t="s">
        <v>6173</v>
      </c>
      <c r="C1856" s="52" t="s">
        <v>815</v>
      </c>
    </row>
    <row r="1857" spans="1:3" hidden="1" x14ac:dyDescent="0.25">
      <c r="A1857" s="52" t="s">
        <v>2810</v>
      </c>
      <c r="B1857" s="52" t="s">
        <v>6174</v>
      </c>
      <c r="C1857" s="52" t="s">
        <v>815</v>
      </c>
    </row>
    <row r="1858" spans="1:3" hidden="1" x14ac:dyDescent="0.25">
      <c r="A1858" s="52" t="s">
        <v>2811</v>
      </c>
      <c r="B1858" s="52" t="s">
        <v>6175</v>
      </c>
      <c r="C1858" s="52" t="s">
        <v>815</v>
      </c>
    </row>
    <row r="1859" spans="1:3" hidden="1" x14ac:dyDescent="0.25">
      <c r="A1859" s="52" t="s">
        <v>2812</v>
      </c>
      <c r="B1859" s="52" t="s">
        <v>6176</v>
      </c>
      <c r="C1859" s="52" t="s">
        <v>815</v>
      </c>
    </row>
    <row r="1860" spans="1:3" hidden="1" x14ac:dyDescent="0.25">
      <c r="A1860" s="52" t="s">
        <v>2813</v>
      </c>
      <c r="B1860" s="52" t="s">
        <v>6177</v>
      </c>
      <c r="C1860" s="52" t="s">
        <v>815</v>
      </c>
    </row>
    <row r="1861" spans="1:3" hidden="1" x14ac:dyDescent="0.25">
      <c r="A1861" s="52" t="s">
        <v>2814</v>
      </c>
      <c r="B1861" s="52" t="s">
        <v>6178</v>
      </c>
      <c r="C1861" s="52" t="s">
        <v>815</v>
      </c>
    </row>
    <row r="1862" spans="1:3" hidden="1" x14ac:dyDescent="0.25">
      <c r="A1862" s="52" t="s">
        <v>2815</v>
      </c>
      <c r="B1862" s="52" t="s">
        <v>6179</v>
      </c>
      <c r="C1862" s="52" t="s">
        <v>815</v>
      </c>
    </row>
    <row r="1863" spans="1:3" hidden="1" x14ac:dyDescent="0.25">
      <c r="A1863" s="52" t="s">
        <v>2816</v>
      </c>
      <c r="B1863" s="52" t="s">
        <v>6180</v>
      </c>
      <c r="C1863" s="52" t="s">
        <v>815</v>
      </c>
    </row>
    <row r="1864" spans="1:3" hidden="1" x14ac:dyDescent="0.25">
      <c r="A1864" s="52" t="s">
        <v>2817</v>
      </c>
      <c r="B1864" s="52" t="s">
        <v>6181</v>
      </c>
      <c r="C1864" s="52" t="s">
        <v>815</v>
      </c>
    </row>
    <row r="1865" spans="1:3" hidden="1" x14ac:dyDescent="0.25">
      <c r="A1865" s="52" t="s">
        <v>2818</v>
      </c>
      <c r="B1865" s="52" t="s">
        <v>6182</v>
      </c>
      <c r="C1865" s="52" t="s">
        <v>815</v>
      </c>
    </row>
    <row r="1866" spans="1:3" hidden="1" x14ac:dyDescent="0.25">
      <c r="A1866" s="52" t="s">
        <v>2819</v>
      </c>
      <c r="B1866" s="52" t="s">
        <v>6183</v>
      </c>
      <c r="C1866" s="52" t="s">
        <v>815</v>
      </c>
    </row>
    <row r="1867" spans="1:3" hidden="1" x14ac:dyDescent="0.25">
      <c r="A1867" s="52" t="s">
        <v>2820</v>
      </c>
      <c r="B1867" s="52" t="s">
        <v>6184</v>
      </c>
      <c r="C1867" s="52" t="s">
        <v>815</v>
      </c>
    </row>
    <row r="1868" spans="1:3" hidden="1" x14ac:dyDescent="0.25">
      <c r="A1868" s="52" t="s">
        <v>2821</v>
      </c>
      <c r="B1868" s="52" t="s">
        <v>6185</v>
      </c>
      <c r="C1868" s="52" t="s">
        <v>815</v>
      </c>
    </row>
    <row r="1869" spans="1:3" hidden="1" x14ac:dyDescent="0.25">
      <c r="A1869" s="52" t="s">
        <v>2822</v>
      </c>
      <c r="B1869" s="52" t="s">
        <v>6186</v>
      </c>
      <c r="C1869" s="52" t="s">
        <v>815</v>
      </c>
    </row>
    <row r="1870" spans="1:3" hidden="1" x14ac:dyDescent="0.25">
      <c r="A1870" s="52" t="s">
        <v>2823</v>
      </c>
      <c r="B1870" s="52" t="s">
        <v>6187</v>
      </c>
      <c r="C1870" s="52" t="s">
        <v>815</v>
      </c>
    </row>
    <row r="1871" spans="1:3" hidden="1" x14ac:dyDescent="0.25">
      <c r="A1871" s="52" t="s">
        <v>2824</v>
      </c>
      <c r="B1871" s="52" t="s">
        <v>6136</v>
      </c>
      <c r="C1871" s="52" t="s">
        <v>815</v>
      </c>
    </row>
    <row r="1872" spans="1:3" hidden="1" x14ac:dyDescent="0.25">
      <c r="A1872" s="52" t="s">
        <v>2825</v>
      </c>
      <c r="B1872" s="52" t="s">
        <v>6188</v>
      </c>
      <c r="C1872" s="52" t="s">
        <v>815</v>
      </c>
    </row>
    <row r="1873" spans="1:3" hidden="1" x14ac:dyDescent="0.25">
      <c r="A1873" s="52" t="s">
        <v>2826</v>
      </c>
      <c r="B1873" s="52" t="s">
        <v>6189</v>
      </c>
      <c r="C1873" s="52" t="s">
        <v>815</v>
      </c>
    </row>
    <row r="1874" spans="1:3" hidden="1" x14ac:dyDescent="0.25">
      <c r="A1874" s="52" t="s">
        <v>2827</v>
      </c>
      <c r="B1874" s="52" t="s">
        <v>5757</v>
      </c>
      <c r="C1874" s="52" t="s">
        <v>815</v>
      </c>
    </row>
    <row r="1875" spans="1:3" hidden="1" x14ac:dyDescent="0.25">
      <c r="A1875" s="52" t="s">
        <v>2828</v>
      </c>
      <c r="B1875" s="52" t="s">
        <v>6190</v>
      </c>
      <c r="C1875" s="52" t="s">
        <v>815</v>
      </c>
    </row>
    <row r="1876" spans="1:3" hidden="1" x14ac:dyDescent="0.25">
      <c r="A1876" s="52" t="s">
        <v>2829</v>
      </c>
      <c r="B1876" s="52" t="s">
        <v>6191</v>
      </c>
      <c r="C1876" s="52" t="s">
        <v>815</v>
      </c>
    </row>
    <row r="1877" spans="1:3" hidden="1" x14ac:dyDescent="0.25">
      <c r="A1877" s="52" t="s">
        <v>2830</v>
      </c>
      <c r="B1877" s="52" t="s">
        <v>6192</v>
      </c>
      <c r="C1877" s="52" t="s">
        <v>815</v>
      </c>
    </row>
    <row r="1878" spans="1:3" hidden="1" x14ac:dyDescent="0.25">
      <c r="A1878" s="52" t="s">
        <v>2831</v>
      </c>
      <c r="B1878" s="52" t="s">
        <v>6193</v>
      </c>
      <c r="C1878" s="52" t="s">
        <v>815</v>
      </c>
    </row>
    <row r="1879" spans="1:3" hidden="1" x14ac:dyDescent="0.25">
      <c r="A1879" s="52" t="s">
        <v>2832</v>
      </c>
      <c r="B1879" s="52" t="s">
        <v>6194</v>
      </c>
      <c r="C1879" s="52" t="s">
        <v>815</v>
      </c>
    </row>
    <row r="1880" spans="1:3" hidden="1" x14ac:dyDescent="0.25">
      <c r="A1880" s="52" t="s">
        <v>2833</v>
      </c>
      <c r="B1880" s="52" t="s">
        <v>6195</v>
      </c>
      <c r="C1880" s="52" t="s">
        <v>815</v>
      </c>
    </row>
    <row r="1881" spans="1:3" hidden="1" x14ac:dyDescent="0.25">
      <c r="A1881" s="52" t="s">
        <v>2834</v>
      </c>
      <c r="B1881" s="52" t="s">
        <v>6196</v>
      </c>
      <c r="C1881" s="52" t="s">
        <v>815</v>
      </c>
    </row>
    <row r="1882" spans="1:3" hidden="1" x14ac:dyDescent="0.25">
      <c r="A1882" s="52" t="s">
        <v>2835</v>
      </c>
      <c r="B1882" s="52" t="s">
        <v>6197</v>
      </c>
      <c r="C1882" s="52" t="s">
        <v>815</v>
      </c>
    </row>
    <row r="1883" spans="1:3" hidden="1" x14ac:dyDescent="0.25">
      <c r="A1883" s="52" t="s">
        <v>2836</v>
      </c>
      <c r="B1883" s="52" t="s">
        <v>6198</v>
      </c>
      <c r="C1883" s="52" t="s">
        <v>815</v>
      </c>
    </row>
    <row r="1884" spans="1:3" hidden="1" x14ac:dyDescent="0.25">
      <c r="A1884" s="52" t="s">
        <v>2837</v>
      </c>
      <c r="B1884" s="52" t="s">
        <v>6199</v>
      </c>
      <c r="C1884" s="52" t="s">
        <v>815</v>
      </c>
    </row>
    <row r="1885" spans="1:3" hidden="1" x14ac:dyDescent="0.25">
      <c r="A1885" s="52" t="s">
        <v>2838</v>
      </c>
      <c r="B1885" s="52" t="s">
        <v>6200</v>
      </c>
      <c r="C1885" s="52" t="s">
        <v>815</v>
      </c>
    </row>
    <row r="1886" spans="1:3" hidden="1" x14ac:dyDescent="0.25">
      <c r="A1886" s="52" t="s">
        <v>2839</v>
      </c>
      <c r="B1886" s="52" t="s">
        <v>6201</v>
      </c>
      <c r="C1886" s="52" t="s">
        <v>815</v>
      </c>
    </row>
    <row r="1887" spans="1:3" hidden="1" x14ac:dyDescent="0.25">
      <c r="A1887" s="52" t="s">
        <v>2840</v>
      </c>
      <c r="B1887" s="52" t="s">
        <v>6202</v>
      </c>
      <c r="C1887" s="52" t="s">
        <v>815</v>
      </c>
    </row>
    <row r="1888" spans="1:3" hidden="1" x14ac:dyDescent="0.25">
      <c r="A1888" s="52" t="s">
        <v>2841</v>
      </c>
      <c r="B1888" s="52" t="s">
        <v>6203</v>
      </c>
      <c r="C1888" s="52" t="s">
        <v>815</v>
      </c>
    </row>
    <row r="1889" spans="1:3" hidden="1" x14ac:dyDescent="0.25">
      <c r="A1889" s="52" t="s">
        <v>2842</v>
      </c>
      <c r="B1889" s="52" t="s">
        <v>6204</v>
      </c>
      <c r="C1889" s="52" t="s">
        <v>815</v>
      </c>
    </row>
    <row r="1890" spans="1:3" hidden="1" x14ac:dyDescent="0.25">
      <c r="A1890" s="52" t="s">
        <v>2843</v>
      </c>
      <c r="B1890" s="52" t="s">
        <v>6205</v>
      </c>
      <c r="C1890" s="52" t="s">
        <v>815</v>
      </c>
    </row>
    <row r="1891" spans="1:3" hidden="1" x14ac:dyDescent="0.25">
      <c r="A1891" s="52" t="s">
        <v>2844</v>
      </c>
      <c r="B1891" s="52" t="s">
        <v>6206</v>
      </c>
      <c r="C1891" s="52" t="s">
        <v>815</v>
      </c>
    </row>
    <row r="1892" spans="1:3" hidden="1" x14ac:dyDescent="0.25">
      <c r="A1892" s="52" t="s">
        <v>2845</v>
      </c>
      <c r="B1892" s="52" t="s">
        <v>6207</v>
      </c>
      <c r="C1892" s="52" t="s">
        <v>815</v>
      </c>
    </row>
    <row r="1893" spans="1:3" hidden="1" x14ac:dyDescent="0.25">
      <c r="A1893" s="52" t="s">
        <v>2846</v>
      </c>
      <c r="B1893" s="52" t="s">
        <v>6208</v>
      </c>
      <c r="C1893" s="52" t="s">
        <v>815</v>
      </c>
    </row>
    <row r="1894" spans="1:3" hidden="1" x14ac:dyDescent="0.25">
      <c r="A1894" s="52" t="s">
        <v>2847</v>
      </c>
      <c r="B1894" s="52" t="s">
        <v>6209</v>
      </c>
      <c r="C1894" s="52" t="s">
        <v>815</v>
      </c>
    </row>
    <row r="1895" spans="1:3" hidden="1" x14ac:dyDescent="0.25">
      <c r="A1895" s="52" t="s">
        <v>2848</v>
      </c>
      <c r="B1895" s="52" t="s">
        <v>6210</v>
      </c>
      <c r="C1895" s="52" t="s">
        <v>815</v>
      </c>
    </row>
    <row r="1896" spans="1:3" hidden="1" x14ac:dyDescent="0.25">
      <c r="A1896" s="52" t="s">
        <v>2849</v>
      </c>
      <c r="B1896" s="52" t="s">
        <v>6211</v>
      </c>
      <c r="C1896" s="52" t="s">
        <v>815</v>
      </c>
    </row>
    <row r="1897" spans="1:3" hidden="1" x14ac:dyDescent="0.25">
      <c r="A1897" s="52" t="s">
        <v>2850</v>
      </c>
      <c r="B1897" s="52" t="s">
        <v>6212</v>
      </c>
      <c r="C1897" s="52" t="s">
        <v>815</v>
      </c>
    </row>
    <row r="1898" spans="1:3" hidden="1" x14ac:dyDescent="0.25">
      <c r="A1898" s="52" t="s">
        <v>2851</v>
      </c>
      <c r="B1898" s="52" t="s">
        <v>6213</v>
      </c>
      <c r="C1898" s="52" t="s">
        <v>815</v>
      </c>
    </row>
    <row r="1899" spans="1:3" hidden="1" x14ac:dyDescent="0.25">
      <c r="A1899" s="52" t="s">
        <v>2852</v>
      </c>
      <c r="B1899" s="52" t="s">
        <v>6214</v>
      </c>
      <c r="C1899" s="52" t="s">
        <v>815</v>
      </c>
    </row>
    <row r="1900" spans="1:3" hidden="1" x14ac:dyDescent="0.25">
      <c r="A1900" s="52" t="s">
        <v>2853</v>
      </c>
      <c r="B1900" s="52" t="s">
        <v>6215</v>
      </c>
      <c r="C1900" s="52" t="s">
        <v>815</v>
      </c>
    </row>
    <row r="1901" spans="1:3" hidden="1" x14ac:dyDescent="0.25">
      <c r="A1901" s="52" t="s">
        <v>2854</v>
      </c>
      <c r="B1901" s="52" t="s">
        <v>6216</v>
      </c>
      <c r="C1901" s="52" t="s">
        <v>815</v>
      </c>
    </row>
    <row r="1902" spans="1:3" hidden="1" x14ac:dyDescent="0.25">
      <c r="A1902" s="52" t="s">
        <v>2855</v>
      </c>
      <c r="B1902" s="52" t="s">
        <v>6217</v>
      </c>
      <c r="C1902" s="52" t="s">
        <v>815</v>
      </c>
    </row>
    <row r="1903" spans="1:3" hidden="1" x14ac:dyDescent="0.25">
      <c r="A1903" s="52" t="s">
        <v>2856</v>
      </c>
      <c r="B1903" s="52" t="s">
        <v>6218</v>
      </c>
      <c r="C1903" s="52" t="s">
        <v>815</v>
      </c>
    </row>
    <row r="1904" spans="1:3" hidden="1" x14ac:dyDescent="0.25">
      <c r="A1904" s="52" t="s">
        <v>2857</v>
      </c>
      <c r="B1904" s="52" t="s">
        <v>6219</v>
      </c>
      <c r="C1904" s="52" t="s">
        <v>815</v>
      </c>
    </row>
    <row r="1905" spans="1:3" hidden="1" x14ac:dyDescent="0.25">
      <c r="A1905" s="52" t="s">
        <v>2858</v>
      </c>
      <c r="B1905" s="52" t="s">
        <v>6220</v>
      </c>
      <c r="C1905" s="52" t="s">
        <v>815</v>
      </c>
    </row>
    <row r="1906" spans="1:3" hidden="1" x14ac:dyDescent="0.25">
      <c r="A1906" s="52" t="s">
        <v>2859</v>
      </c>
      <c r="B1906" s="52" t="s">
        <v>6221</v>
      </c>
      <c r="C1906" s="52" t="s">
        <v>815</v>
      </c>
    </row>
    <row r="1907" spans="1:3" hidden="1" x14ac:dyDescent="0.25">
      <c r="A1907" s="52" t="s">
        <v>2860</v>
      </c>
      <c r="B1907" s="52" t="s">
        <v>6222</v>
      </c>
      <c r="C1907" s="52" t="s">
        <v>815</v>
      </c>
    </row>
    <row r="1908" spans="1:3" hidden="1" x14ac:dyDescent="0.25">
      <c r="A1908" s="52" t="s">
        <v>2861</v>
      </c>
      <c r="B1908" s="52" t="s">
        <v>6223</v>
      </c>
      <c r="C1908" s="52" t="s">
        <v>815</v>
      </c>
    </row>
    <row r="1909" spans="1:3" hidden="1" x14ac:dyDescent="0.25">
      <c r="A1909" s="52" t="s">
        <v>2862</v>
      </c>
      <c r="B1909" s="52" t="s">
        <v>6224</v>
      </c>
      <c r="C1909" s="52" t="s">
        <v>815</v>
      </c>
    </row>
    <row r="1910" spans="1:3" hidden="1" x14ac:dyDescent="0.25">
      <c r="A1910" s="52" t="s">
        <v>2863</v>
      </c>
      <c r="B1910" s="52" t="s">
        <v>6225</v>
      </c>
      <c r="C1910" s="52" t="s">
        <v>815</v>
      </c>
    </row>
    <row r="1911" spans="1:3" hidden="1" x14ac:dyDescent="0.25">
      <c r="A1911" s="52" t="s">
        <v>2864</v>
      </c>
      <c r="B1911" s="52" t="s">
        <v>6226</v>
      </c>
      <c r="C1911" s="52" t="s">
        <v>815</v>
      </c>
    </row>
    <row r="1912" spans="1:3" hidden="1" x14ac:dyDescent="0.25">
      <c r="A1912" s="52" t="s">
        <v>2865</v>
      </c>
      <c r="B1912" s="52" t="s">
        <v>6227</v>
      </c>
      <c r="C1912" s="52" t="s">
        <v>815</v>
      </c>
    </row>
    <row r="1913" spans="1:3" hidden="1" x14ac:dyDescent="0.25">
      <c r="A1913" s="52" t="s">
        <v>2866</v>
      </c>
      <c r="B1913" s="52" t="s">
        <v>6228</v>
      </c>
      <c r="C1913" s="52" t="s">
        <v>815</v>
      </c>
    </row>
    <row r="1914" spans="1:3" hidden="1" x14ac:dyDescent="0.25">
      <c r="A1914" s="52" t="s">
        <v>2867</v>
      </c>
      <c r="B1914" s="52" t="s">
        <v>6229</v>
      </c>
      <c r="C1914" s="52" t="s">
        <v>815</v>
      </c>
    </row>
    <row r="1915" spans="1:3" hidden="1" x14ac:dyDescent="0.25">
      <c r="A1915" s="52" t="s">
        <v>2868</v>
      </c>
      <c r="B1915" s="52" t="s">
        <v>6230</v>
      </c>
      <c r="C1915" s="52" t="s">
        <v>815</v>
      </c>
    </row>
    <row r="1916" spans="1:3" hidden="1" x14ac:dyDescent="0.25">
      <c r="A1916" s="52" t="s">
        <v>2869</v>
      </c>
      <c r="B1916" s="52" t="s">
        <v>6231</v>
      </c>
      <c r="C1916" s="52" t="s">
        <v>815</v>
      </c>
    </row>
    <row r="1917" spans="1:3" hidden="1" x14ac:dyDescent="0.25">
      <c r="A1917" s="52" t="s">
        <v>2870</v>
      </c>
      <c r="B1917" s="52" t="s">
        <v>6232</v>
      </c>
      <c r="C1917" s="52" t="s">
        <v>815</v>
      </c>
    </row>
    <row r="1918" spans="1:3" hidden="1" x14ac:dyDescent="0.25">
      <c r="A1918" s="52" t="s">
        <v>2871</v>
      </c>
      <c r="B1918" s="52" t="s">
        <v>6233</v>
      </c>
      <c r="C1918" s="52" t="s">
        <v>815</v>
      </c>
    </row>
    <row r="1919" spans="1:3" hidden="1" x14ac:dyDescent="0.25">
      <c r="A1919" s="52" t="s">
        <v>2872</v>
      </c>
      <c r="B1919" s="52" t="s">
        <v>6234</v>
      </c>
      <c r="C1919" s="52" t="s">
        <v>815</v>
      </c>
    </row>
    <row r="1920" spans="1:3" hidden="1" x14ac:dyDescent="0.25">
      <c r="A1920" s="52" t="s">
        <v>2873</v>
      </c>
      <c r="B1920" s="52" t="s">
        <v>6235</v>
      </c>
      <c r="C1920" s="52" t="s">
        <v>815</v>
      </c>
    </row>
    <row r="1921" spans="1:3" hidden="1" x14ac:dyDescent="0.25">
      <c r="A1921" s="52" t="s">
        <v>2874</v>
      </c>
      <c r="B1921" s="52" t="s">
        <v>6236</v>
      </c>
      <c r="C1921" s="52" t="s">
        <v>815</v>
      </c>
    </row>
    <row r="1922" spans="1:3" hidden="1" x14ac:dyDescent="0.25">
      <c r="A1922" s="52" t="s">
        <v>2875</v>
      </c>
      <c r="B1922" s="52" t="s">
        <v>6237</v>
      </c>
      <c r="C1922" s="52" t="s">
        <v>815</v>
      </c>
    </row>
    <row r="1923" spans="1:3" hidden="1" x14ac:dyDescent="0.25">
      <c r="A1923" s="52" t="s">
        <v>2876</v>
      </c>
      <c r="B1923" s="52" t="s">
        <v>6238</v>
      </c>
      <c r="C1923" s="52" t="s">
        <v>815</v>
      </c>
    </row>
    <row r="1924" spans="1:3" hidden="1" x14ac:dyDescent="0.25">
      <c r="A1924" s="52" t="s">
        <v>2877</v>
      </c>
      <c r="B1924" s="52" t="s">
        <v>6239</v>
      </c>
      <c r="C1924" s="52" t="s">
        <v>815</v>
      </c>
    </row>
    <row r="1925" spans="1:3" hidden="1" x14ac:dyDescent="0.25">
      <c r="A1925" s="52" t="s">
        <v>2878</v>
      </c>
      <c r="B1925" s="52" t="s">
        <v>6240</v>
      </c>
      <c r="C1925" s="52" t="s">
        <v>815</v>
      </c>
    </row>
    <row r="1926" spans="1:3" hidden="1" x14ac:dyDescent="0.25">
      <c r="A1926" s="52" t="s">
        <v>2879</v>
      </c>
      <c r="B1926" s="52" t="s">
        <v>6241</v>
      </c>
      <c r="C1926" s="52" t="s">
        <v>815</v>
      </c>
    </row>
    <row r="1927" spans="1:3" hidden="1" x14ac:dyDescent="0.25">
      <c r="A1927" s="52" t="s">
        <v>2880</v>
      </c>
      <c r="B1927" s="52" t="s">
        <v>5834</v>
      </c>
      <c r="C1927" s="52" t="s">
        <v>815</v>
      </c>
    </row>
    <row r="1928" spans="1:3" hidden="1" x14ac:dyDescent="0.25">
      <c r="A1928" s="52" t="s">
        <v>2881</v>
      </c>
      <c r="B1928" s="52" t="s">
        <v>6242</v>
      </c>
      <c r="C1928" s="52" t="s">
        <v>815</v>
      </c>
    </row>
    <row r="1929" spans="1:3" hidden="1" x14ac:dyDescent="0.25">
      <c r="A1929" s="52" t="s">
        <v>2882</v>
      </c>
      <c r="B1929" s="52" t="s">
        <v>6243</v>
      </c>
      <c r="C1929" s="52" t="s">
        <v>815</v>
      </c>
    </row>
    <row r="1930" spans="1:3" hidden="1" x14ac:dyDescent="0.25">
      <c r="A1930" s="52" t="s">
        <v>2883</v>
      </c>
      <c r="B1930" s="52" t="s">
        <v>6244</v>
      </c>
      <c r="C1930" s="52" t="s">
        <v>815</v>
      </c>
    </row>
    <row r="1931" spans="1:3" hidden="1" x14ac:dyDescent="0.25">
      <c r="A1931" s="52" t="s">
        <v>2884</v>
      </c>
      <c r="B1931" s="52" t="s">
        <v>6245</v>
      </c>
      <c r="C1931" s="52" t="s">
        <v>815</v>
      </c>
    </row>
    <row r="1932" spans="1:3" hidden="1" x14ac:dyDescent="0.25">
      <c r="A1932" s="52" t="s">
        <v>2885</v>
      </c>
      <c r="B1932" s="52" t="s">
        <v>6246</v>
      </c>
      <c r="C1932" s="52" t="s">
        <v>815</v>
      </c>
    </row>
    <row r="1933" spans="1:3" hidden="1" x14ac:dyDescent="0.25">
      <c r="A1933" s="52" t="s">
        <v>2886</v>
      </c>
      <c r="B1933" s="52" t="s">
        <v>6247</v>
      </c>
      <c r="C1933" s="52" t="s">
        <v>815</v>
      </c>
    </row>
    <row r="1934" spans="1:3" hidden="1" x14ac:dyDescent="0.25">
      <c r="A1934" s="52" t="s">
        <v>2887</v>
      </c>
      <c r="B1934" s="52" t="s">
        <v>6048</v>
      </c>
      <c r="C1934" s="52" t="s">
        <v>815</v>
      </c>
    </row>
    <row r="1935" spans="1:3" hidden="1" x14ac:dyDescent="0.25">
      <c r="A1935" s="52" t="s">
        <v>2888</v>
      </c>
      <c r="B1935" s="52" t="s">
        <v>6248</v>
      </c>
      <c r="C1935" s="52" t="s">
        <v>815</v>
      </c>
    </row>
    <row r="1936" spans="1:3" hidden="1" x14ac:dyDescent="0.25">
      <c r="A1936" s="52" t="s">
        <v>2889</v>
      </c>
      <c r="B1936" s="52" t="s">
        <v>6249</v>
      </c>
      <c r="C1936" s="52" t="s">
        <v>815</v>
      </c>
    </row>
    <row r="1937" spans="1:3" hidden="1" x14ac:dyDescent="0.25">
      <c r="A1937" s="52" t="s">
        <v>2890</v>
      </c>
      <c r="B1937" s="52" t="s">
        <v>6250</v>
      </c>
      <c r="C1937" s="52" t="s">
        <v>815</v>
      </c>
    </row>
    <row r="1938" spans="1:3" hidden="1" x14ac:dyDescent="0.25">
      <c r="A1938" s="52" t="s">
        <v>2891</v>
      </c>
      <c r="B1938" s="52" t="s">
        <v>6251</v>
      </c>
      <c r="C1938" s="52" t="s">
        <v>815</v>
      </c>
    </row>
    <row r="1939" spans="1:3" hidden="1" x14ac:dyDescent="0.25">
      <c r="A1939" s="52" t="s">
        <v>2892</v>
      </c>
      <c r="B1939" s="52" t="s">
        <v>6252</v>
      </c>
      <c r="C1939" s="52" t="s">
        <v>815</v>
      </c>
    </row>
    <row r="1940" spans="1:3" hidden="1" x14ac:dyDescent="0.25">
      <c r="A1940" s="52" t="s">
        <v>2893</v>
      </c>
      <c r="B1940" s="52" t="s">
        <v>6253</v>
      </c>
      <c r="C1940" s="52" t="s">
        <v>815</v>
      </c>
    </row>
    <row r="1941" spans="1:3" hidden="1" x14ac:dyDescent="0.25">
      <c r="A1941" s="52" t="s">
        <v>2894</v>
      </c>
      <c r="B1941" s="52" t="s">
        <v>6254</v>
      </c>
      <c r="C1941" s="52" t="s">
        <v>815</v>
      </c>
    </row>
    <row r="1942" spans="1:3" hidden="1" x14ac:dyDescent="0.25">
      <c r="A1942" s="52" t="s">
        <v>2895</v>
      </c>
      <c r="B1942" s="52" t="s">
        <v>6255</v>
      </c>
      <c r="C1942" s="52" t="s">
        <v>815</v>
      </c>
    </row>
    <row r="1943" spans="1:3" hidden="1" x14ac:dyDescent="0.25">
      <c r="A1943" s="52" t="s">
        <v>2896</v>
      </c>
      <c r="B1943" s="52" t="s">
        <v>6256</v>
      </c>
      <c r="C1943" s="52" t="s">
        <v>815</v>
      </c>
    </row>
    <row r="1944" spans="1:3" hidden="1" x14ac:dyDescent="0.25">
      <c r="A1944" s="52" t="s">
        <v>2897</v>
      </c>
      <c r="B1944" s="52" t="s">
        <v>6257</v>
      </c>
      <c r="C1944" s="52" t="s">
        <v>815</v>
      </c>
    </row>
    <row r="1945" spans="1:3" hidden="1" x14ac:dyDescent="0.25">
      <c r="A1945" s="52" t="s">
        <v>2898</v>
      </c>
      <c r="B1945" s="52" t="s">
        <v>6258</v>
      </c>
      <c r="C1945" s="52" t="s">
        <v>815</v>
      </c>
    </row>
    <row r="1946" spans="1:3" hidden="1" x14ac:dyDescent="0.25">
      <c r="A1946" s="52" t="s">
        <v>2899</v>
      </c>
      <c r="B1946" s="52" t="s">
        <v>6259</v>
      </c>
      <c r="C1946" s="52" t="s">
        <v>815</v>
      </c>
    </row>
    <row r="1947" spans="1:3" hidden="1" x14ac:dyDescent="0.25">
      <c r="A1947" s="52" t="s">
        <v>2900</v>
      </c>
      <c r="B1947" s="52" t="s">
        <v>6260</v>
      </c>
      <c r="C1947" s="52" t="s">
        <v>815</v>
      </c>
    </row>
    <row r="1948" spans="1:3" hidden="1" x14ac:dyDescent="0.25">
      <c r="A1948" s="52" t="s">
        <v>2901</v>
      </c>
      <c r="B1948" s="52" t="s">
        <v>6261</v>
      </c>
      <c r="C1948" s="52" t="s">
        <v>817</v>
      </c>
    </row>
    <row r="1949" spans="1:3" hidden="1" x14ac:dyDescent="0.25">
      <c r="A1949" s="52" t="s">
        <v>2902</v>
      </c>
      <c r="B1949" s="52" t="s">
        <v>6262</v>
      </c>
      <c r="C1949" s="52" t="s">
        <v>817</v>
      </c>
    </row>
    <row r="1950" spans="1:3" hidden="1" x14ac:dyDescent="0.25">
      <c r="A1950" s="52" t="s">
        <v>2903</v>
      </c>
      <c r="B1950" s="52" t="s">
        <v>6263</v>
      </c>
      <c r="C1950" s="52" t="s">
        <v>817</v>
      </c>
    </row>
    <row r="1951" spans="1:3" hidden="1" x14ac:dyDescent="0.25">
      <c r="A1951" s="52" t="s">
        <v>2904</v>
      </c>
      <c r="B1951" s="52" t="s">
        <v>6264</v>
      </c>
      <c r="C1951" s="52" t="s">
        <v>817</v>
      </c>
    </row>
    <row r="1952" spans="1:3" hidden="1" x14ac:dyDescent="0.25">
      <c r="A1952" s="52" t="s">
        <v>2905</v>
      </c>
      <c r="B1952" s="52" t="s">
        <v>6265</v>
      </c>
      <c r="C1952" s="52" t="s">
        <v>817</v>
      </c>
    </row>
    <row r="1953" spans="1:3" hidden="1" x14ac:dyDescent="0.25">
      <c r="A1953" s="52" t="s">
        <v>2906</v>
      </c>
      <c r="B1953" s="52" t="s">
        <v>6266</v>
      </c>
      <c r="C1953" s="52" t="s">
        <v>817</v>
      </c>
    </row>
    <row r="1954" spans="1:3" hidden="1" x14ac:dyDescent="0.25">
      <c r="A1954" s="52" t="s">
        <v>2907</v>
      </c>
      <c r="B1954" s="52" t="s">
        <v>4960</v>
      </c>
      <c r="C1954" s="52" t="s">
        <v>817</v>
      </c>
    </row>
    <row r="1955" spans="1:3" hidden="1" x14ac:dyDescent="0.25">
      <c r="A1955" s="52" t="s">
        <v>2908</v>
      </c>
      <c r="B1955" s="52" t="s">
        <v>6267</v>
      </c>
      <c r="C1955" s="52" t="s">
        <v>817</v>
      </c>
    </row>
    <row r="1956" spans="1:3" hidden="1" x14ac:dyDescent="0.25">
      <c r="A1956" s="52" t="s">
        <v>2909</v>
      </c>
      <c r="B1956" s="52" t="s">
        <v>6268</v>
      </c>
      <c r="C1956" s="52" t="s">
        <v>817</v>
      </c>
    </row>
    <row r="1957" spans="1:3" hidden="1" x14ac:dyDescent="0.25">
      <c r="A1957" s="52" t="s">
        <v>2910</v>
      </c>
      <c r="B1957" s="52" t="s">
        <v>6269</v>
      </c>
      <c r="C1957" s="52" t="s">
        <v>817</v>
      </c>
    </row>
    <row r="1958" spans="1:3" hidden="1" x14ac:dyDescent="0.25">
      <c r="A1958" s="52" t="s">
        <v>2911</v>
      </c>
      <c r="B1958" s="52" t="s">
        <v>5304</v>
      </c>
      <c r="C1958" s="52" t="s">
        <v>817</v>
      </c>
    </row>
    <row r="1959" spans="1:3" hidden="1" x14ac:dyDescent="0.25">
      <c r="A1959" s="52" t="s">
        <v>2912</v>
      </c>
      <c r="B1959" s="52" t="s">
        <v>6270</v>
      </c>
      <c r="C1959" s="52" t="s">
        <v>817</v>
      </c>
    </row>
    <row r="1960" spans="1:3" hidden="1" x14ac:dyDescent="0.25">
      <c r="A1960" s="52" t="s">
        <v>2913</v>
      </c>
      <c r="B1960" s="52" t="s">
        <v>6271</v>
      </c>
      <c r="C1960" s="52" t="s">
        <v>817</v>
      </c>
    </row>
    <row r="1961" spans="1:3" hidden="1" x14ac:dyDescent="0.25">
      <c r="A1961" s="52" t="s">
        <v>2914</v>
      </c>
      <c r="B1961" s="52" t="s">
        <v>6272</v>
      </c>
      <c r="C1961" s="52" t="s">
        <v>817</v>
      </c>
    </row>
    <row r="1962" spans="1:3" hidden="1" x14ac:dyDescent="0.25">
      <c r="A1962" s="52" t="s">
        <v>2915</v>
      </c>
      <c r="B1962" s="52" t="s">
        <v>6273</v>
      </c>
      <c r="C1962" s="52" t="s">
        <v>817</v>
      </c>
    </row>
    <row r="1963" spans="1:3" hidden="1" x14ac:dyDescent="0.25">
      <c r="A1963" s="52" t="s">
        <v>2916</v>
      </c>
      <c r="B1963" s="52" t="s">
        <v>6274</v>
      </c>
      <c r="C1963" s="52" t="s">
        <v>817</v>
      </c>
    </row>
    <row r="1964" spans="1:3" hidden="1" x14ac:dyDescent="0.25">
      <c r="A1964" s="52" t="s">
        <v>2917</v>
      </c>
      <c r="B1964" s="52" t="s">
        <v>897</v>
      </c>
      <c r="C1964" s="52" t="s">
        <v>817</v>
      </c>
    </row>
    <row r="1965" spans="1:3" hidden="1" x14ac:dyDescent="0.25">
      <c r="A1965" s="52" t="s">
        <v>2918</v>
      </c>
      <c r="B1965" s="52" t="s">
        <v>6275</v>
      </c>
      <c r="C1965" s="52" t="s">
        <v>817</v>
      </c>
    </row>
    <row r="1966" spans="1:3" hidden="1" x14ac:dyDescent="0.25">
      <c r="A1966" s="52" t="s">
        <v>2919</v>
      </c>
      <c r="B1966" s="52" t="s">
        <v>6276</v>
      </c>
      <c r="C1966" s="52" t="s">
        <v>817</v>
      </c>
    </row>
    <row r="1967" spans="1:3" hidden="1" x14ac:dyDescent="0.25">
      <c r="A1967" s="52" t="s">
        <v>2920</v>
      </c>
      <c r="B1967" s="52" t="s">
        <v>6277</v>
      </c>
      <c r="C1967" s="52" t="s">
        <v>817</v>
      </c>
    </row>
    <row r="1968" spans="1:3" hidden="1" x14ac:dyDescent="0.25">
      <c r="A1968" s="52" t="s">
        <v>2921</v>
      </c>
      <c r="B1968" s="52" t="s">
        <v>903</v>
      </c>
      <c r="C1968" s="52" t="s">
        <v>817</v>
      </c>
    </row>
    <row r="1969" spans="1:3" hidden="1" x14ac:dyDescent="0.25">
      <c r="A1969" s="52" t="s">
        <v>2922</v>
      </c>
      <c r="B1969" s="52" t="s">
        <v>5667</v>
      </c>
      <c r="C1969" s="52" t="s">
        <v>817</v>
      </c>
    </row>
    <row r="1970" spans="1:3" hidden="1" x14ac:dyDescent="0.25">
      <c r="A1970" s="52" t="s">
        <v>2923</v>
      </c>
      <c r="B1970" s="52" t="s">
        <v>6278</v>
      </c>
      <c r="C1970" s="52" t="s">
        <v>817</v>
      </c>
    </row>
    <row r="1971" spans="1:3" hidden="1" x14ac:dyDescent="0.25">
      <c r="A1971" s="52" t="s">
        <v>2924</v>
      </c>
      <c r="B1971" s="52" t="s">
        <v>6279</v>
      </c>
      <c r="C1971" s="52" t="s">
        <v>817</v>
      </c>
    </row>
    <row r="1972" spans="1:3" hidden="1" x14ac:dyDescent="0.25">
      <c r="A1972" s="52" t="s">
        <v>2925</v>
      </c>
      <c r="B1972" s="52" t="s">
        <v>6280</v>
      </c>
      <c r="C1972" s="52" t="s">
        <v>817</v>
      </c>
    </row>
    <row r="1973" spans="1:3" hidden="1" x14ac:dyDescent="0.25">
      <c r="A1973" s="52" t="s">
        <v>2926</v>
      </c>
      <c r="B1973" s="52" t="s">
        <v>6281</v>
      </c>
      <c r="C1973" s="52" t="s">
        <v>817</v>
      </c>
    </row>
    <row r="1974" spans="1:3" hidden="1" x14ac:dyDescent="0.25">
      <c r="A1974" s="52" t="s">
        <v>2927</v>
      </c>
      <c r="B1974" s="52" t="s">
        <v>6282</v>
      </c>
      <c r="C1974" s="52" t="s">
        <v>817</v>
      </c>
    </row>
    <row r="1975" spans="1:3" hidden="1" x14ac:dyDescent="0.25">
      <c r="A1975" s="52" t="s">
        <v>2928</v>
      </c>
      <c r="B1975" s="52" t="s">
        <v>6283</v>
      </c>
      <c r="C1975" s="52" t="s">
        <v>817</v>
      </c>
    </row>
    <row r="1976" spans="1:3" hidden="1" x14ac:dyDescent="0.25">
      <c r="A1976" s="52" t="s">
        <v>2929</v>
      </c>
      <c r="B1976" s="52" t="s">
        <v>6284</v>
      </c>
      <c r="C1976" s="52" t="s">
        <v>817</v>
      </c>
    </row>
    <row r="1977" spans="1:3" hidden="1" x14ac:dyDescent="0.25">
      <c r="A1977" s="52" t="s">
        <v>2930</v>
      </c>
      <c r="B1977" s="52" t="s">
        <v>6285</v>
      </c>
      <c r="C1977" s="52" t="s">
        <v>817</v>
      </c>
    </row>
    <row r="1978" spans="1:3" hidden="1" x14ac:dyDescent="0.25">
      <c r="A1978" s="52" t="s">
        <v>2931</v>
      </c>
      <c r="B1978" s="52" t="s">
        <v>6286</v>
      </c>
      <c r="C1978" s="52" t="s">
        <v>817</v>
      </c>
    </row>
    <row r="1979" spans="1:3" hidden="1" x14ac:dyDescent="0.25">
      <c r="A1979" s="52" t="s">
        <v>2932</v>
      </c>
      <c r="B1979" s="52" t="s">
        <v>6287</v>
      </c>
      <c r="C1979" s="52" t="s">
        <v>817</v>
      </c>
    </row>
    <row r="1980" spans="1:3" hidden="1" x14ac:dyDescent="0.25">
      <c r="A1980" s="52" t="s">
        <v>2933</v>
      </c>
      <c r="B1980" s="52" t="s">
        <v>6288</v>
      </c>
      <c r="C1980" s="52" t="s">
        <v>817</v>
      </c>
    </row>
    <row r="1981" spans="1:3" hidden="1" x14ac:dyDescent="0.25">
      <c r="A1981" s="52" t="s">
        <v>2934</v>
      </c>
      <c r="B1981" s="52" t="s">
        <v>6289</v>
      </c>
      <c r="C1981" s="52" t="s">
        <v>817</v>
      </c>
    </row>
    <row r="1982" spans="1:3" hidden="1" x14ac:dyDescent="0.25">
      <c r="A1982" s="52" t="s">
        <v>2935</v>
      </c>
      <c r="B1982" s="52" t="s">
        <v>6290</v>
      </c>
      <c r="C1982" s="52" t="s">
        <v>817</v>
      </c>
    </row>
    <row r="1983" spans="1:3" hidden="1" x14ac:dyDescent="0.25">
      <c r="A1983" s="52" t="s">
        <v>2936</v>
      </c>
      <c r="B1983" s="52" t="s">
        <v>6291</v>
      </c>
      <c r="C1983" s="52" t="s">
        <v>817</v>
      </c>
    </row>
    <row r="1984" spans="1:3" hidden="1" x14ac:dyDescent="0.25">
      <c r="A1984" s="52" t="s">
        <v>2937</v>
      </c>
      <c r="B1984" s="52" t="s">
        <v>6292</v>
      </c>
      <c r="C1984" s="52" t="s">
        <v>817</v>
      </c>
    </row>
    <row r="1985" spans="1:3" hidden="1" x14ac:dyDescent="0.25">
      <c r="A1985" s="52" t="s">
        <v>2938</v>
      </c>
      <c r="B1985" s="52" t="s">
        <v>6293</v>
      </c>
      <c r="C1985" s="52" t="s">
        <v>817</v>
      </c>
    </row>
    <row r="1986" spans="1:3" hidden="1" x14ac:dyDescent="0.25">
      <c r="A1986" s="52" t="s">
        <v>2939</v>
      </c>
      <c r="B1986" s="52" t="s">
        <v>6294</v>
      </c>
      <c r="C1986" s="52" t="s">
        <v>817</v>
      </c>
    </row>
    <row r="1987" spans="1:3" hidden="1" x14ac:dyDescent="0.25">
      <c r="A1987" s="52" t="s">
        <v>2940</v>
      </c>
      <c r="B1987" s="52" t="s">
        <v>6295</v>
      </c>
      <c r="C1987" s="52" t="s">
        <v>817</v>
      </c>
    </row>
    <row r="1988" spans="1:3" hidden="1" x14ac:dyDescent="0.25">
      <c r="A1988" s="52" t="s">
        <v>2941</v>
      </c>
      <c r="B1988" s="52" t="s">
        <v>6296</v>
      </c>
      <c r="C1988" s="52" t="s">
        <v>817</v>
      </c>
    </row>
    <row r="1989" spans="1:3" hidden="1" x14ac:dyDescent="0.25">
      <c r="A1989" s="52" t="s">
        <v>2942</v>
      </c>
      <c r="B1989" s="52" t="s">
        <v>6297</v>
      </c>
      <c r="C1989" s="52" t="s">
        <v>817</v>
      </c>
    </row>
    <row r="1990" spans="1:3" hidden="1" x14ac:dyDescent="0.25">
      <c r="A1990" s="52" t="s">
        <v>2943</v>
      </c>
      <c r="B1990" s="52" t="s">
        <v>6298</v>
      </c>
      <c r="C1990" s="52" t="s">
        <v>817</v>
      </c>
    </row>
    <row r="1991" spans="1:3" hidden="1" x14ac:dyDescent="0.25">
      <c r="A1991" s="52" t="s">
        <v>2944</v>
      </c>
      <c r="B1991" s="52" t="s">
        <v>6299</v>
      </c>
      <c r="C1991" s="52" t="s">
        <v>817</v>
      </c>
    </row>
    <row r="1992" spans="1:3" hidden="1" x14ac:dyDescent="0.25">
      <c r="A1992" s="52" t="s">
        <v>2945</v>
      </c>
      <c r="B1992" s="52" t="s">
        <v>6300</v>
      </c>
      <c r="C1992" s="52" t="s">
        <v>817</v>
      </c>
    </row>
    <row r="1993" spans="1:3" hidden="1" x14ac:dyDescent="0.25">
      <c r="A1993" s="52" t="s">
        <v>2946</v>
      </c>
      <c r="B1993" s="52" t="s">
        <v>6301</v>
      </c>
      <c r="C1993" s="52" t="s">
        <v>817</v>
      </c>
    </row>
    <row r="1994" spans="1:3" hidden="1" x14ac:dyDescent="0.25">
      <c r="A1994" s="52" t="s">
        <v>2947</v>
      </c>
      <c r="B1994" s="52" t="s">
        <v>6302</v>
      </c>
      <c r="C1994" s="52" t="s">
        <v>817</v>
      </c>
    </row>
    <row r="1995" spans="1:3" hidden="1" x14ac:dyDescent="0.25">
      <c r="A1995" s="52" t="s">
        <v>2948</v>
      </c>
      <c r="B1995" s="52" t="s">
        <v>6303</v>
      </c>
      <c r="C1995" s="52" t="s">
        <v>817</v>
      </c>
    </row>
    <row r="1996" spans="1:3" hidden="1" x14ac:dyDescent="0.25">
      <c r="A1996" s="52" t="s">
        <v>2949</v>
      </c>
      <c r="B1996" s="52" t="s">
        <v>6304</v>
      </c>
      <c r="C1996" s="52" t="s">
        <v>817</v>
      </c>
    </row>
    <row r="1997" spans="1:3" hidden="1" x14ac:dyDescent="0.25">
      <c r="A1997" s="52" t="s">
        <v>2950</v>
      </c>
      <c r="B1997" s="52" t="s">
        <v>6305</v>
      </c>
      <c r="C1997" s="52" t="s">
        <v>817</v>
      </c>
    </row>
    <row r="1998" spans="1:3" hidden="1" x14ac:dyDescent="0.25">
      <c r="A1998" s="52" t="s">
        <v>2951</v>
      </c>
      <c r="B1998" s="52" t="s">
        <v>6306</v>
      </c>
      <c r="C1998" s="52" t="s">
        <v>817</v>
      </c>
    </row>
    <row r="1999" spans="1:3" hidden="1" x14ac:dyDescent="0.25">
      <c r="A1999" s="52" t="s">
        <v>2952</v>
      </c>
      <c r="B1999" s="52" t="s">
        <v>6307</v>
      </c>
      <c r="C1999" s="52" t="s">
        <v>817</v>
      </c>
    </row>
    <row r="2000" spans="1:3" hidden="1" x14ac:dyDescent="0.25">
      <c r="A2000" s="52" t="s">
        <v>2953</v>
      </c>
      <c r="B2000" s="52" t="s">
        <v>6308</v>
      </c>
      <c r="C2000" s="52" t="s">
        <v>817</v>
      </c>
    </row>
    <row r="2001" spans="1:3" hidden="1" x14ac:dyDescent="0.25">
      <c r="A2001" s="52" t="s">
        <v>2954</v>
      </c>
      <c r="B2001" s="52" t="s">
        <v>6309</v>
      </c>
      <c r="C2001" s="52" t="s">
        <v>817</v>
      </c>
    </row>
    <row r="2002" spans="1:3" hidden="1" x14ac:dyDescent="0.25">
      <c r="A2002" s="52" t="s">
        <v>2955</v>
      </c>
      <c r="B2002" s="52" t="s">
        <v>6310</v>
      </c>
      <c r="C2002" s="52" t="s">
        <v>817</v>
      </c>
    </row>
    <row r="2003" spans="1:3" hidden="1" x14ac:dyDescent="0.25">
      <c r="A2003" s="52" t="s">
        <v>2956</v>
      </c>
      <c r="B2003" s="52" t="s">
        <v>6311</v>
      </c>
      <c r="C2003" s="52" t="s">
        <v>817</v>
      </c>
    </row>
    <row r="2004" spans="1:3" hidden="1" x14ac:dyDescent="0.25">
      <c r="A2004" s="52" t="s">
        <v>2957</v>
      </c>
      <c r="B2004" s="52" t="s">
        <v>6312</v>
      </c>
      <c r="C2004" s="52" t="s">
        <v>817</v>
      </c>
    </row>
    <row r="2005" spans="1:3" hidden="1" x14ac:dyDescent="0.25">
      <c r="A2005" s="52" t="s">
        <v>2958</v>
      </c>
      <c r="B2005" s="52" t="s">
        <v>6313</v>
      </c>
      <c r="C2005" s="52" t="s">
        <v>817</v>
      </c>
    </row>
    <row r="2006" spans="1:3" hidden="1" x14ac:dyDescent="0.25">
      <c r="A2006" s="52" t="s">
        <v>2959</v>
      </c>
      <c r="B2006" s="52" t="s">
        <v>6314</v>
      </c>
      <c r="C2006" s="52" t="s">
        <v>817</v>
      </c>
    </row>
    <row r="2007" spans="1:3" hidden="1" x14ac:dyDescent="0.25">
      <c r="A2007" s="52" t="s">
        <v>2960</v>
      </c>
      <c r="B2007" s="52" t="s">
        <v>6315</v>
      </c>
      <c r="C2007" s="52" t="s">
        <v>817</v>
      </c>
    </row>
    <row r="2008" spans="1:3" hidden="1" x14ac:dyDescent="0.25">
      <c r="A2008" s="52" t="s">
        <v>2961</v>
      </c>
      <c r="B2008" s="52" t="s">
        <v>5951</v>
      </c>
      <c r="C2008" s="52" t="s">
        <v>817</v>
      </c>
    </row>
    <row r="2009" spans="1:3" hidden="1" x14ac:dyDescent="0.25">
      <c r="A2009" s="52" t="s">
        <v>2962</v>
      </c>
      <c r="B2009" s="52" t="s">
        <v>6316</v>
      </c>
      <c r="C2009" s="52" t="s">
        <v>817</v>
      </c>
    </row>
    <row r="2010" spans="1:3" hidden="1" x14ac:dyDescent="0.25">
      <c r="A2010" s="52" t="s">
        <v>2963</v>
      </c>
      <c r="B2010" s="52" t="s">
        <v>6317</v>
      </c>
      <c r="C2010" s="52" t="s">
        <v>817</v>
      </c>
    </row>
    <row r="2011" spans="1:3" hidden="1" x14ac:dyDescent="0.25">
      <c r="A2011" s="52" t="s">
        <v>2964</v>
      </c>
      <c r="B2011" s="52" t="s">
        <v>6318</v>
      </c>
      <c r="C2011" s="52" t="s">
        <v>817</v>
      </c>
    </row>
    <row r="2012" spans="1:3" hidden="1" x14ac:dyDescent="0.25">
      <c r="A2012" s="52" t="s">
        <v>2965</v>
      </c>
      <c r="B2012" s="52" t="s">
        <v>6319</v>
      </c>
      <c r="C2012" s="52" t="s">
        <v>817</v>
      </c>
    </row>
    <row r="2013" spans="1:3" hidden="1" x14ac:dyDescent="0.25">
      <c r="A2013" s="52" t="s">
        <v>2966</v>
      </c>
      <c r="B2013" s="52" t="s">
        <v>6320</v>
      </c>
      <c r="C2013" s="52" t="s">
        <v>817</v>
      </c>
    </row>
    <row r="2014" spans="1:3" hidden="1" x14ac:dyDescent="0.25">
      <c r="A2014" s="52" t="s">
        <v>2967</v>
      </c>
      <c r="B2014" s="52" t="s">
        <v>6321</v>
      </c>
      <c r="C2014" s="52" t="s">
        <v>817</v>
      </c>
    </row>
    <row r="2015" spans="1:3" hidden="1" x14ac:dyDescent="0.25">
      <c r="A2015" s="52" t="s">
        <v>2968</v>
      </c>
      <c r="B2015" s="52" t="s">
        <v>6322</v>
      </c>
      <c r="C2015" s="52" t="s">
        <v>817</v>
      </c>
    </row>
    <row r="2016" spans="1:3" hidden="1" x14ac:dyDescent="0.25">
      <c r="A2016" s="52" t="s">
        <v>2969</v>
      </c>
      <c r="B2016" s="52" t="s">
        <v>6323</v>
      </c>
      <c r="C2016" s="52" t="s">
        <v>817</v>
      </c>
    </row>
    <row r="2017" spans="1:3" hidden="1" x14ac:dyDescent="0.25">
      <c r="A2017" s="52" t="s">
        <v>2970</v>
      </c>
      <c r="B2017" s="52" t="s">
        <v>6324</v>
      </c>
      <c r="C2017" s="52" t="s">
        <v>817</v>
      </c>
    </row>
    <row r="2018" spans="1:3" hidden="1" x14ac:dyDescent="0.25">
      <c r="A2018" s="52" t="s">
        <v>2971</v>
      </c>
      <c r="B2018" s="52" t="s">
        <v>6325</v>
      </c>
      <c r="C2018" s="52" t="s">
        <v>817</v>
      </c>
    </row>
    <row r="2019" spans="1:3" hidden="1" x14ac:dyDescent="0.25">
      <c r="A2019" s="52" t="s">
        <v>2972</v>
      </c>
      <c r="B2019" s="52" t="s">
        <v>6326</v>
      </c>
      <c r="C2019" s="52" t="s">
        <v>817</v>
      </c>
    </row>
    <row r="2020" spans="1:3" hidden="1" x14ac:dyDescent="0.25">
      <c r="A2020" s="52" t="s">
        <v>2973</v>
      </c>
      <c r="B2020" s="52" t="s">
        <v>6327</v>
      </c>
      <c r="C2020" s="52" t="s">
        <v>817</v>
      </c>
    </row>
    <row r="2021" spans="1:3" hidden="1" x14ac:dyDescent="0.25">
      <c r="A2021" s="52" t="s">
        <v>2974</v>
      </c>
      <c r="B2021" s="52" t="s">
        <v>6328</v>
      </c>
      <c r="C2021" s="52" t="s">
        <v>817</v>
      </c>
    </row>
    <row r="2022" spans="1:3" hidden="1" x14ac:dyDescent="0.25">
      <c r="A2022" s="52" t="s">
        <v>2975</v>
      </c>
      <c r="B2022" s="52" t="s">
        <v>6329</v>
      </c>
      <c r="C2022" s="52" t="s">
        <v>817</v>
      </c>
    </row>
    <row r="2023" spans="1:3" hidden="1" x14ac:dyDescent="0.25">
      <c r="A2023" s="52" t="s">
        <v>2976</v>
      </c>
      <c r="B2023" s="52" t="s">
        <v>6330</v>
      </c>
      <c r="C2023" s="52" t="s">
        <v>817</v>
      </c>
    </row>
    <row r="2024" spans="1:3" hidden="1" x14ac:dyDescent="0.25">
      <c r="A2024" s="52" t="s">
        <v>2977</v>
      </c>
      <c r="B2024" s="52" t="s">
        <v>6041</v>
      </c>
      <c r="C2024" s="52" t="s">
        <v>817</v>
      </c>
    </row>
    <row r="2025" spans="1:3" hidden="1" x14ac:dyDescent="0.25">
      <c r="A2025" s="52" t="s">
        <v>2978</v>
      </c>
      <c r="B2025" s="52" t="s">
        <v>6331</v>
      </c>
      <c r="C2025" s="52" t="s">
        <v>817</v>
      </c>
    </row>
    <row r="2026" spans="1:3" hidden="1" x14ac:dyDescent="0.25">
      <c r="A2026" s="52" t="s">
        <v>2979</v>
      </c>
      <c r="B2026" s="52" t="s">
        <v>6332</v>
      </c>
      <c r="C2026" s="52" t="s">
        <v>817</v>
      </c>
    </row>
    <row r="2027" spans="1:3" hidden="1" x14ac:dyDescent="0.25">
      <c r="A2027" s="52" t="s">
        <v>2980</v>
      </c>
      <c r="B2027" s="52" t="s">
        <v>4713</v>
      </c>
      <c r="C2027" s="52" t="s">
        <v>817</v>
      </c>
    </row>
    <row r="2028" spans="1:3" hidden="1" x14ac:dyDescent="0.25">
      <c r="A2028" s="52" t="s">
        <v>2981</v>
      </c>
      <c r="B2028" s="52" t="s">
        <v>6333</v>
      </c>
      <c r="C2028" s="52" t="s">
        <v>817</v>
      </c>
    </row>
    <row r="2029" spans="1:3" hidden="1" x14ac:dyDescent="0.25">
      <c r="A2029" s="52" t="s">
        <v>2982</v>
      </c>
      <c r="B2029" s="52" t="s">
        <v>6334</v>
      </c>
      <c r="C2029" s="52" t="s">
        <v>817</v>
      </c>
    </row>
    <row r="2030" spans="1:3" hidden="1" x14ac:dyDescent="0.25">
      <c r="A2030" s="52" t="s">
        <v>2983</v>
      </c>
      <c r="B2030" s="52" t="s">
        <v>6335</v>
      </c>
      <c r="C2030" s="52" t="s">
        <v>817</v>
      </c>
    </row>
    <row r="2031" spans="1:3" hidden="1" x14ac:dyDescent="0.25">
      <c r="A2031" s="52" t="s">
        <v>2984</v>
      </c>
      <c r="B2031" s="52" t="s">
        <v>6336</v>
      </c>
      <c r="C2031" s="52" t="s">
        <v>817</v>
      </c>
    </row>
    <row r="2032" spans="1:3" hidden="1" x14ac:dyDescent="0.25">
      <c r="A2032" s="52" t="s">
        <v>2985</v>
      </c>
      <c r="B2032" s="52" t="s">
        <v>6337</v>
      </c>
      <c r="C2032" s="52" t="s">
        <v>817</v>
      </c>
    </row>
    <row r="2033" spans="1:3" hidden="1" x14ac:dyDescent="0.25">
      <c r="A2033" s="52" t="s">
        <v>2986</v>
      </c>
      <c r="B2033" s="52" t="s">
        <v>6338</v>
      </c>
      <c r="C2033" s="52" t="s">
        <v>817</v>
      </c>
    </row>
    <row r="2034" spans="1:3" hidden="1" x14ac:dyDescent="0.25">
      <c r="A2034" s="52" t="s">
        <v>2987</v>
      </c>
      <c r="B2034" s="52" t="s">
        <v>6339</v>
      </c>
      <c r="C2034" s="52" t="s">
        <v>817</v>
      </c>
    </row>
    <row r="2035" spans="1:3" hidden="1" x14ac:dyDescent="0.25">
      <c r="A2035" s="52" t="s">
        <v>2988</v>
      </c>
      <c r="B2035" s="52" t="s">
        <v>6340</v>
      </c>
      <c r="C2035" s="52" t="s">
        <v>817</v>
      </c>
    </row>
    <row r="2036" spans="1:3" hidden="1" x14ac:dyDescent="0.25">
      <c r="A2036" s="52" t="s">
        <v>2989</v>
      </c>
      <c r="B2036" s="52" t="s">
        <v>5433</v>
      </c>
      <c r="C2036" s="52" t="s">
        <v>817</v>
      </c>
    </row>
    <row r="2037" spans="1:3" hidden="1" x14ac:dyDescent="0.25">
      <c r="A2037" s="52" t="s">
        <v>2990</v>
      </c>
      <c r="B2037" s="52" t="s">
        <v>6341</v>
      </c>
      <c r="C2037" s="52" t="s">
        <v>817</v>
      </c>
    </row>
    <row r="2038" spans="1:3" hidden="1" x14ac:dyDescent="0.25">
      <c r="A2038" s="52" t="s">
        <v>2991</v>
      </c>
      <c r="B2038" s="52" t="s">
        <v>6342</v>
      </c>
      <c r="C2038" s="52" t="s">
        <v>817</v>
      </c>
    </row>
    <row r="2039" spans="1:3" hidden="1" x14ac:dyDescent="0.25">
      <c r="A2039" s="52" t="s">
        <v>2992</v>
      </c>
      <c r="B2039" s="52" t="s">
        <v>6343</v>
      </c>
      <c r="C2039" s="52" t="s">
        <v>817</v>
      </c>
    </row>
    <row r="2040" spans="1:3" hidden="1" x14ac:dyDescent="0.25">
      <c r="A2040" s="52" t="s">
        <v>2993</v>
      </c>
      <c r="B2040" s="52" t="s">
        <v>6344</v>
      </c>
      <c r="C2040" s="52" t="s">
        <v>817</v>
      </c>
    </row>
    <row r="2041" spans="1:3" hidden="1" x14ac:dyDescent="0.25">
      <c r="A2041" s="52" t="s">
        <v>2994</v>
      </c>
      <c r="B2041" s="52" t="s">
        <v>6345</v>
      </c>
      <c r="C2041" s="52" t="s">
        <v>817</v>
      </c>
    </row>
    <row r="2042" spans="1:3" hidden="1" x14ac:dyDescent="0.25">
      <c r="A2042" s="52" t="s">
        <v>2995</v>
      </c>
      <c r="B2042" s="52" t="s">
        <v>6346</v>
      </c>
      <c r="C2042" s="52" t="s">
        <v>817</v>
      </c>
    </row>
    <row r="2043" spans="1:3" hidden="1" x14ac:dyDescent="0.25">
      <c r="A2043" s="52" t="s">
        <v>2996</v>
      </c>
      <c r="B2043" s="52" t="s">
        <v>6347</v>
      </c>
      <c r="C2043" s="52" t="s">
        <v>817</v>
      </c>
    </row>
    <row r="2044" spans="1:3" hidden="1" x14ac:dyDescent="0.25">
      <c r="A2044" s="52" t="s">
        <v>2997</v>
      </c>
      <c r="B2044" s="52" t="s">
        <v>6348</v>
      </c>
      <c r="C2044" s="52" t="s">
        <v>819</v>
      </c>
    </row>
    <row r="2045" spans="1:3" hidden="1" x14ac:dyDescent="0.25">
      <c r="A2045" s="52" t="s">
        <v>2998</v>
      </c>
      <c r="B2045" s="52" t="s">
        <v>6349</v>
      </c>
      <c r="C2045" s="52" t="s">
        <v>819</v>
      </c>
    </row>
    <row r="2046" spans="1:3" hidden="1" x14ac:dyDescent="0.25">
      <c r="A2046" s="52" t="s">
        <v>2999</v>
      </c>
      <c r="B2046" s="52" t="s">
        <v>6350</v>
      </c>
      <c r="C2046" s="52" t="s">
        <v>819</v>
      </c>
    </row>
    <row r="2047" spans="1:3" hidden="1" x14ac:dyDescent="0.25">
      <c r="A2047" s="52" t="s">
        <v>3000</v>
      </c>
      <c r="B2047" s="52" t="s">
        <v>6351</v>
      </c>
      <c r="C2047" s="52" t="s">
        <v>819</v>
      </c>
    </row>
    <row r="2048" spans="1:3" hidden="1" x14ac:dyDescent="0.25">
      <c r="A2048" s="52" t="s">
        <v>3001</v>
      </c>
      <c r="B2048" s="52" t="s">
        <v>6352</v>
      </c>
      <c r="C2048" s="52" t="s">
        <v>819</v>
      </c>
    </row>
    <row r="2049" spans="1:3" hidden="1" x14ac:dyDescent="0.25">
      <c r="A2049" s="52" t="s">
        <v>3002</v>
      </c>
      <c r="B2049" s="52" t="s">
        <v>6353</v>
      </c>
      <c r="C2049" s="52" t="s">
        <v>819</v>
      </c>
    </row>
    <row r="2050" spans="1:3" hidden="1" x14ac:dyDescent="0.25">
      <c r="A2050" s="52" t="s">
        <v>3003</v>
      </c>
      <c r="B2050" s="52" t="s">
        <v>6354</v>
      </c>
      <c r="C2050" s="52" t="s">
        <v>819</v>
      </c>
    </row>
    <row r="2051" spans="1:3" hidden="1" x14ac:dyDescent="0.25">
      <c r="A2051" s="52" t="s">
        <v>3004</v>
      </c>
      <c r="B2051" s="52" t="s">
        <v>6355</v>
      </c>
      <c r="C2051" s="52" t="s">
        <v>819</v>
      </c>
    </row>
    <row r="2052" spans="1:3" hidden="1" x14ac:dyDescent="0.25">
      <c r="A2052" s="52" t="s">
        <v>3005</v>
      </c>
      <c r="B2052" s="52" t="s">
        <v>5267</v>
      </c>
      <c r="C2052" s="52" t="s">
        <v>819</v>
      </c>
    </row>
    <row r="2053" spans="1:3" hidden="1" x14ac:dyDescent="0.25">
      <c r="A2053" s="52" t="s">
        <v>3006</v>
      </c>
      <c r="B2053" s="52" t="s">
        <v>6356</v>
      </c>
      <c r="C2053" s="52" t="s">
        <v>819</v>
      </c>
    </row>
    <row r="2054" spans="1:3" hidden="1" x14ac:dyDescent="0.25">
      <c r="A2054" s="52" t="s">
        <v>3007</v>
      </c>
      <c r="B2054" s="52" t="s">
        <v>6357</v>
      </c>
      <c r="C2054" s="52" t="s">
        <v>819</v>
      </c>
    </row>
    <row r="2055" spans="1:3" hidden="1" x14ac:dyDescent="0.25">
      <c r="A2055" s="52" t="s">
        <v>3008</v>
      </c>
      <c r="B2055" s="52" t="s">
        <v>6358</v>
      </c>
      <c r="C2055" s="52" t="s">
        <v>819</v>
      </c>
    </row>
    <row r="2056" spans="1:3" hidden="1" x14ac:dyDescent="0.25">
      <c r="A2056" s="52" t="s">
        <v>3009</v>
      </c>
      <c r="B2056" s="52" t="s">
        <v>6359</v>
      </c>
      <c r="C2056" s="52" t="s">
        <v>819</v>
      </c>
    </row>
    <row r="2057" spans="1:3" hidden="1" x14ac:dyDescent="0.25">
      <c r="A2057" s="52" t="s">
        <v>3010</v>
      </c>
      <c r="B2057" s="52" t="s">
        <v>6360</v>
      </c>
      <c r="C2057" s="52" t="s">
        <v>819</v>
      </c>
    </row>
    <row r="2058" spans="1:3" hidden="1" x14ac:dyDescent="0.25">
      <c r="A2058" s="52" t="s">
        <v>3011</v>
      </c>
      <c r="B2058" s="52" t="s">
        <v>6361</v>
      </c>
      <c r="C2058" s="52" t="s">
        <v>819</v>
      </c>
    </row>
    <row r="2059" spans="1:3" hidden="1" x14ac:dyDescent="0.25">
      <c r="A2059" s="52" t="s">
        <v>3012</v>
      </c>
      <c r="B2059" s="52" t="s">
        <v>6362</v>
      </c>
      <c r="C2059" s="52" t="s">
        <v>819</v>
      </c>
    </row>
    <row r="2060" spans="1:3" hidden="1" x14ac:dyDescent="0.25">
      <c r="A2060" s="52" t="s">
        <v>3013</v>
      </c>
      <c r="B2060" s="52" t="s">
        <v>6363</v>
      </c>
      <c r="C2060" s="52" t="s">
        <v>819</v>
      </c>
    </row>
    <row r="2061" spans="1:3" hidden="1" x14ac:dyDescent="0.25">
      <c r="A2061" s="52" t="s">
        <v>3014</v>
      </c>
      <c r="B2061" s="52" t="s">
        <v>6364</v>
      </c>
      <c r="C2061" s="52" t="s">
        <v>819</v>
      </c>
    </row>
    <row r="2062" spans="1:3" hidden="1" x14ac:dyDescent="0.25">
      <c r="A2062" s="52" t="s">
        <v>3015</v>
      </c>
      <c r="B2062" s="52" t="s">
        <v>6365</v>
      </c>
      <c r="C2062" s="52" t="s">
        <v>819</v>
      </c>
    </row>
    <row r="2063" spans="1:3" hidden="1" x14ac:dyDescent="0.25">
      <c r="A2063" s="52" t="s">
        <v>3016</v>
      </c>
      <c r="B2063" s="52" t="s">
        <v>6366</v>
      </c>
      <c r="C2063" s="52" t="s">
        <v>819</v>
      </c>
    </row>
    <row r="2064" spans="1:3" hidden="1" x14ac:dyDescent="0.25">
      <c r="A2064" s="52" t="s">
        <v>3017</v>
      </c>
      <c r="B2064" s="52" t="s">
        <v>6367</v>
      </c>
      <c r="C2064" s="52" t="s">
        <v>819</v>
      </c>
    </row>
    <row r="2065" spans="1:3" hidden="1" x14ac:dyDescent="0.25">
      <c r="A2065" s="52" t="s">
        <v>3018</v>
      </c>
      <c r="B2065" s="52" t="s">
        <v>6368</v>
      </c>
      <c r="C2065" s="52" t="s">
        <v>819</v>
      </c>
    </row>
    <row r="2066" spans="1:3" hidden="1" x14ac:dyDescent="0.25">
      <c r="A2066" s="52" t="s">
        <v>3019</v>
      </c>
      <c r="B2066" s="52" t="s">
        <v>6369</v>
      </c>
      <c r="C2066" s="52" t="s">
        <v>819</v>
      </c>
    </row>
    <row r="2067" spans="1:3" hidden="1" x14ac:dyDescent="0.25">
      <c r="A2067" s="52" t="s">
        <v>3020</v>
      </c>
      <c r="B2067" s="52" t="s">
        <v>6370</v>
      </c>
      <c r="C2067" s="52" t="s">
        <v>819</v>
      </c>
    </row>
    <row r="2068" spans="1:3" hidden="1" x14ac:dyDescent="0.25">
      <c r="A2068" s="52" t="s">
        <v>3021</v>
      </c>
      <c r="B2068" s="52" t="s">
        <v>6371</v>
      </c>
      <c r="C2068" s="52" t="s">
        <v>819</v>
      </c>
    </row>
    <row r="2069" spans="1:3" hidden="1" x14ac:dyDescent="0.25">
      <c r="A2069" s="52" t="s">
        <v>3022</v>
      </c>
      <c r="B2069" s="52" t="s">
        <v>6372</v>
      </c>
      <c r="C2069" s="52" t="s">
        <v>819</v>
      </c>
    </row>
    <row r="2070" spans="1:3" hidden="1" x14ac:dyDescent="0.25">
      <c r="A2070" s="52" t="s">
        <v>3023</v>
      </c>
      <c r="B2070" s="52" t="s">
        <v>6373</v>
      </c>
      <c r="C2070" s="52" t="s">
        <v>819</v>
      </c>
    </row>
    <row r="2071" spans="1:3" hidden="1" x14ac:dyDescent="0.25">
      <c r="A2071" s="52" t="s">
        <v>3024</v>
      </c>
      <c r="B2071" s="52" t="s">
        <v>6374</v>
      </c>
      <c r="C2071" s="52" t="s">
        <v>819</v>
      </c>
    </row>
    <row r="2072" spans="1:3" hidden="1" x14ac:dyDescent="0.25">
      <c r="A2072" s="52" t="s">
        <v>3025</v>
      </c>
      <c r="B2072" s="52" t="s">
        <v>6375</v>
      </c>
      <c r="C2072" s="52" t="s">
        <v>819</v>
      </c>
    </row>
    <row r="2073" spans="1:3" hidden="1" x14ac:dyDescent="0.25">
      <c r="A2073" s="52" t="s">
        <v>3026</v>
      </c>
      <c r="B2073" s="52" t="s">
        <v>6376</v>
      </c>
      <c r="C2073" s="52" t="s">
        <v>819</v>
      </c>
    </row>
    <row r="2074" spans="1:3" hidden="1" x14ac:dyDescent="0.25">
      <c r="A2074" s="52" t="s">
        <v>3027</v>
      </c>
      <c r="B2074" s="52" t="s">
        <v>6377</v>
      </c>
      <c r="C2074" s="52" t="s">
        <v>819</v>
      </c>
    </row>
    <row r="2075" spans="1:3" hidden="1" x14ac:dyDescent="0.25">
      <c r="A2075" s="52" t="s">
        <v>3028</v>
      </c>
      <c r="B2075" s="52" t="s">
        <v>6378</v>
      </c>
      <c r="C2075" s="52" t="s">
        <v>819</v>
      </c>
    </row>
    <row r="2076" spans="1:3" hidden="1" x14ac:dyDescent="0.25">
      <c r="A2076" s="52" t="s">
        <v>3029</v>
      </c>
      <c r="B2076" s="52" t="s">
        <v>6379</v>
      </c>
      <c r="C2076" s="52" t="s">
        <v>819</v>
      </c>
    </row>
    <row r="2077" spans="1:3" hidden="1" x14ac:dyDescent="0.25">
      <c r="A2077" s="52" t="s">
        <v>3030</v>
      </c>
      <c r="B2077" s="52" t="s">
        <v>6380</v>
      </c>
      <c r="C2077" s="52" t="s">
        <v>819</v>
      </c>
    </row>
    <row r="2078" spans="1:3" hidden="1" x14ac:dyDescent="0.25">
      <c r="A2078" s="52" t="s">
        <v>3031</v>
      </c>
      <c r="B2078" s="52" t="s">
        <v>6381</v>
      </c>
      <c r="C2078" s="52" t="s">
        <v>819</v>
      </c>
    </row>
    <row r="2079" spans="1:3" hidden="1" x14ac:dyDescent="0.25">
      <c r="A2079" s="52" t="s">
        <v>3032</v>
      </c>
      <c r="B2079" s="52" t="s">
        <v>6382</v>
      </c>
      <c r="C2079" s="52" t="s">
        <v>819</v>
      </c>
    </row>
    <row r="2080" spans="1:3" hidden="1" x14ac:dyDescent="0.25">
      <c r="A2080" s="52" t="s">
        <v>3033</v>
      </c>
      <c r="B2080" s="52" t="s">
        <v>6383</v>
      </c>
      <c r="C2080" s="52" t="s">
        <v>819</v>
      </c>
    </row>
    <row r="2081" spans="1:3" hidden="1" x14ac:dyDescent="0.25">
      <c r="A2081" s="52" t="s">
        <v>3034</v>
      </c>
      <c r="B2081" s="52" t="s">
        <v>6384</v>
      </c>
      <c r="C2081" s="52" t="s">
        <v>819</v>
      </c>
    </row>
    <row r="2082" spans="1:3" hidden="1" x14ac:dyDescent="0.25">
      <c r="A2082" s="52" t="s">
        <v>3035</v>
      </c>
      <c r="B2082" s="52" t="s">
        <v>6385</v>
      </c>
      <c r="C2082" s="52" t="s">
        <v>819</v>
      </c>
    </row>
    <row r="2083" spans="1:3" hidden="1" x14ac:dyDescent="0.25">
      <c r="A2083" s="52" t="s">
        <v>3036</v>
      </c>
      <c r="B2083" s="52" t="s">
        <v>6386</v>
      </c>
      <c r="C2083" s="52" t="s">
        <v>819</v>
      </c>
    </row>
    <row r="2084" spans="1:3" hidden="1" x14ac:dyDescent="0.25">
      <c r="A2084" s="52" t="s">
        <v>3037</v>
      </c>
      <c r="B2084" s="52" t="s">
        <v>6387</v>
      </c>
      <c r="C2084" s="52" t="s">
        <v>819</v>
      </c>
    </row>
    <row r="2085" spans="1:3" hidden="1" x14ac:dyDescent="0.25">
      <c r="A2085" s="52" t="s">
        <v>3038</v>
      </c>
      <c r="B2085" s="52" t="s">
        <v>6388</v>
      </c>
      <c r="C2085" s="52" t="s">
        <v>819</v>
      </c>
    </row>
    <row r="2086" spans="1:3" hidden="1" x14ac:dyDescent="0.25">
      <c r="A2086" s="52" t="s">
        <v>3039</v>
      </c>
      <c r="B2086" s="52" t="s">
        <v>6389</v>
      </c>
      <c r="C2086" s="52" t="s">
        <v>819</v>
      </c>
    </row>
    <row r="2087" spans="1:3" hidden="1" x14ac:dyDescent="0.25">
      <c r="A2087" s="52" t="s">
        <v>3040</v>
      </c>
      <c r="B2087" s="52" t="s">
        <v>6390</v>
      </c>
      <c r="C2087" s="52" t="s">
        <v>819</v>
      </c>
    </row>
    <row r="2088" spans="1:3" hidden="1" x14ac:dyDescent="0.25">
      <c r="A2088" s="52" t="s">
        <v>3041</v>
      </c>
      <c r="B2088" s="52" t="s">
        <v>6391</v>
      </c>
      <c r="C2088" s="52" t="s">
        <v>819</v>
      </c>
    </row>
    <row r="2089" spans="1:3" hidden="1" x14ac:dyDescent="0.25">
      <c r="A2089" s="52" t="s">
        <v>3042</v>
      </c>
      <c r="B2089" s="52" t="s">
        <v>6392</v>
      </c>
      <c r="C2089" s="52" t="s">
        <v>819</v>
      </c>
    </row>
    <row r="2090" spans="1:3" hidden="1" x14ac:dyDescent="0.25">
      <c r="A2090" s="52" t="s">
        <v>3043</v>
      </c>
      <c r="B2090" s="52" t="s">
        <v>6393</v>
      </c>
      <c r="C2090" s="52" t="s">
        <v>819</v>
      </c>
    </row>
    <row r="2091" spans="1:3" hidden="1" x14ac:dyDescent="0.25">
      <c r="A2091" s="52" t="s">
        <v>3044</v>
      </c>
      <c r="B2091" s="52" t="s">
        <v>6394</v>
      </c>
      <c r="C2091" s="52" t="s">
        <v>819</v>
      </c>
    </row>
    <row r="2092" spans="1:3" hidden="1" x14ac:dyDescent="0.25">
      <c r="A2092" s="52" t="s">
        <v>3045</v>
      </c>
      <c r="B2092" s="52" t="s">
        <v>6395</v>
      </c>
      <c r="C2092" s="52" t="s">
        <v>819</v>
      </c>
    </row>
    <row r="2093" spans="1:3" hidden="1" x14ac:dyDescent="0.25">
      <c r="A2093" s="52" t="s">
        <v>3046</v>
      </c>
      <c r="B2093" s="52" t="s">
        <v>6396</v>
      </c>
      <c r="C2093" s="52" t="s">
        <v>819</v>
      </c>
    </row>
    <row r="2094" spans="1:3" hidden="1" x14ac:dyDescent="0.25">
      <c r="A2094" s="52" t="s">
        <v>3047</v>
      </c>
      <c r="B2094" s="52" t="s">
        <v>6397</v>
      </c>
      <c r="C2094" s="52" t="s">
        <v>819</v>
      </c>
    </row>
    <row r="2095" spans="1:3" hidden="1" x14ac:dyDescent="0.25">
      <c r="A2095" s="52" t="s">
        <v>3048</v>
      </c>
      <c r="B2095" s="52" t="s">
        <v>6398</v>
      </c>
      <c r="C2095" s="52" t="s">
        <v>819</v>
      </c>
    </row>
    <row r="2096" spans="1:3" hidden="1" x14ac:dyDescent="0.25">
      <c r="A2096" s="52" t="s">
        <v>3049</v>
      </c>
      <c r="B2096" s="52" t="s">
        <v>6399</v>
      </c>
      <c r="C2096" s="52" t="s">
        <v>819</v>
      </c>
    </row>
    <row r="2097" spans="1:3" hidden="1" x14ac:dyDescent="0.25">
      <c r="A2097" s="52" t="s">
        <v>3050</v>
      </c>
      <c r="B2097" s="52" t="s">
        <v>6400</v>
      </c>
      <c r="C2097" s="52" t="s">
        <v>819</v>
      </c>
    </row>
    <row r="2098" spans="1:3" hidden="1" x14ac:dyDescent="0.25">
      <c r="A2098" s="52" t="s">
        <v>3051</v>
      </c>
      <c r="B2098" s="52" t="s">
        <v>6401</v>
      </c>
      <c r="C2098" s="52" t="s">
        <v>819</v>
      </c>
    </row>
    <row r="2099" spans="1:3" hidden="1" x14ac:dyDescent="0.25">
      <c r="A2099" s="52" t="s">
        <v>3052</v>
      </c>
      <c r="B2099" s="52" t="s">
        <v>6402</v>
      </c>
      <c r="C2099" s="52" t="s">
        <v>819</v>
      </c>
    </row>
    <row r="2100" spans="1:3" hidden="1" x14ac:dyDescent="0.25">
      <c r="A2100" s="52" t="s">
        <v>3053</v>
      </c>
      <c r="B2100" s="52" t="s">
        <v>6403</v>
      </c>
      <c r="C2100" s="52" t="s">
        <v>819</v>
      </c>
    </row>
    <row r="2101" spans="1:3" hidden="1" x14ac:dyDescent="0.25">
      <c r="A2101" s="52" t="s">
        <v>3054</v>
      </c>
      <c r="B2101" s="52" t="s">
        <v>6404</v>
      </c>
      <c r="C2101" s="52" t="s">
        <v>819</v>
      </c>
    </row>
    <row r="2102" spans="1:3" hidden="1" x14ac:dyDescent="0.25">
      <c r="A2102" s="52" t="s">
        <v>3055</v>
      </c>
      <c r="B2102" s="52" t="s">
        <v>6405</v>
      </c>
      <c r="C2102" s="52" t="s">
        <v>819</v>
      </c>
    </row>
    <row r="2103" spans="1:3" hidden="1" x14ac:dyDescent="0.25">
      <c r="A2103" s="52" t="s">
        <v>3056</v>
      </c>
      <c r="B2103" s="52" t="s">
        <v>6406</v>
      </c>
      <c r="C2103" s="52" t="s">
        <v>819</v>
      </c>
    </row>
    <row r="2104" spans="1:3" hidden="1" x14ac:dyDescent="0.25">
      <c r="A2104" s="52" t="s">
        <v>3057</v>
      </c>
      <c r="B2104" s="52" t="s">
        <v>6407</v>
      </c>
      <c r="C2104" s="52" t="s">
        <v>819</v>
      </c>
    </row>
    <row r="2105" spans="1:3" hidden="1" x14ac:dyDescent="0.25">
      <c r="A2105" s="52" t="s">
        <v>3058</v>
      </c>
      <c r="B2105" s="52" t="s">
        <v>6408</v>
      </c>
      <c r="C2105" s="52" t="s">
        <v>819</v>
      </c>
    </row>
    <row r="2106" spans="1:3" hidden="1" x14ac:dyDescent="0.25">
      <c r="A2106" s="52" t="s">
        <v>3059</v>
      </c>
      <c r="B2106" s="52" t="s">
        <v>5732</v>
      </c>
      <c r="C2106" s="52" t="s">
        <v>819</v>
      </c>
    </row>
    <row r="2107" spans="1:3" hidden="1" x14ac:dyDescent="0.25">
      <c r="A2107" s="52" t="s">
        <v>3060</v>
      </c>
      <c r="B2107" s="52" t="s">
        <v>5340</v>
      </c>
      <c r="C2107" s="52" t="s">
        <v>819</v>
      </c>
    </row>
    <row r="2108" spans="1:3" hidden="1" x14ac:dyDescent="0.25">
      <c r="A2108" s="52" t="s">
        <v>3061</v>
      </c>
      <c r="B2108" s="52" t="s">
        <v>6409</v>
      </c>
      <c r="C2108" s="52" t="s">
        <v>819</v>
      </c>
    </row>
    <row r="2109" spans="1:3" hidden="1" x14ac:dyDescent="0.25">
      <c r="A2109" s="52" t="s">
        <v>3062</v>
      </c>
      <c r="B2109" s="52" t="s">
        <v>6410</v>
      </c>
      <c r="C2109" s="52" t="s">
        <v>821</v>
      </c>
    </row>
    <row r="2110" spans="1:3" hidden="1" x14ac:dyDescent="0.25">
      <c r="A2110" s="52" t="s">
        <v>3063</v>
      </c>
      <c r="B2110" s="52" t="s">
        <v>6173</v>
      </c>
      <c r="C2110" s="52" t="s">
        <v>821</v>
      </c>
    </row>
    <row r="2111" spans="1:3" hidden="1" x14ac:dyDescent="0.25">
      <c r="A2111" s="52" t="s">
        <v>3064</v>
      </c>
      <c r="B2111" s="52" t="s">
        <v>6411</v>
      </c>
      <c r="C2111" s="52" t="s">
        <v>821</v>
      </c>
    </row>
    <row r="2112" spans="1:3" hidden="1" x14ac:dyDescent="0.25">
      <c r="A2112" s="52" t="s">
        <v>3065</v>
      </c>
      <c r="B2112" s="52" t="s">
        <v>6412</v>
      </c>
      <c r="C2112" s="52" t="s">
        <v>821</v>
      </c>
    </row>
    <row r="2113" spans="1:3" hidden="1" x14ac:dyDescent="0.25">
      <c r="A2113" s="52" t="s">
        <v>3066</v>
      </c>
      <c r="B2113" s="52" t="s">
        <v>6413</v>
      </c>
      <c r="C2113" s="52" t="s">
        <v>821</v>
      </c>
    </row>
    <row r="2114" spans="1:3" hidden="1" x14ac:dyDescent="0.25">
      <c r="A2114" s="52" t="s">
        <v>3067</v>
      </c>
      <c r="B2114" s="52" t="s">
        <v>6414</v>
      </c>
      <c r="C2114" s="52" t="s">
        <v>821</v>
      </c>
    </row>
    <row r="2115" spans="1:3" hidden="1" x14ac:dyDescent="0.25">
      <c r="A2115" s="52" t="s">
        <v>3068</v>
      </c>
      <c r="B2115" s="52" t="s">
        <v>6415</v>
      </c>
      <c r="C2115" s="52" t="s">
        <v>821</v>
      </c>
    </row>
    <row r="2116" spans="1:3" hidden="1" x14ac:dyDescent="0.25">
      <c r="A2116" s="52" t="s">
        <v>3069</v>
      </c>
      <c r="B2116" s="52" t="s">
        <v>6416</v>
      </c>
      <c r="C2116" s="52" t="s">
        <v>821</v>
      </c>
    </row>
    <row r="2117" spans="1:3" hidden="1" x14ac:dyDescent="0.25">
      <c r="A2117" s="52" t="s">
        <v>3070</v>
      </c>
      <c r="B2117" s="52" t="s">
        <v>6417</v>
      </c>
      <c r="C2117" s="52" t="s">
        <v>821</v>
      </c>
    </row>
    <row r="2118" spans="1:3" hidden="1" x14ac:dyDescent="0.25">
      <c r="A2118" s="52" t="s">
        <v>3071</v>
      </c>
      <c r="B2118" s="52" t="s">
        <v>6418</v>
      </c>
      <c r="C2118" s="52" t="s">
        <v>821</v>
      </c>
    </row>
    <row r="2119" spans="1:3" hidden="1" x14ac:dyDescent="0.25">
      <c r="A2119" s="52" t="s">
        <v>3072</v>
      </c>
      <c r="B2119" s="52" t="s">
        <v>6419</v>
      </c>
      <c r="C2119" s="52" t="s">
        <v>821</v>
      </c>
    </row>
    <row r="2120" spans="1:3" hidden="1" x14ac:dyDescent="0.25">
      <c r="A2120" s="52" t="s">
        <v>3073</v>
      </c>
      <c r="B2120" s="52" t="s">
        <v>6420</v>
      </c>
      <c r="C2120" s="52" t="s">
        <v>821</v>
      </c>
    </row>
    <row r="2121" spans="1:3" hidden="1" x14ac:dyDescent="0.25">
      <c r="A2121" s="52" t="s">
        <v>3074</v>
      </c>
      <c r="B2121" s="52" t="s">
        <v>6421</v>
      </c>
      <c r="C2121" s="52" t="s">
        <v>821</v>
      </c>
    </row>
    <row r="2122" spans="1:3" hidden="1" x14ac:dyDescent="0.25">
      <c r="A2122" s="52" t="s">
        <v>3075</v>
      </c>
      <c r="B2122" s="52" t="s">
        <v>6422</v>
      </c>
      <c r="C2122" s="52" t="s">
        <v>821</v>
      </c>
    </row>
    <row r="2123" spans="1:3" hidden="1" x14ac:dyDescent="0.25">
      <c r="A2123" s="52" t="s">
        <v>3076</v>
      </c>
      <c r="B2123" s="52" t="s">
        <v>6423</v>
      </c>
      <c r="C2123" s="52" t="s">
        <v>821</v>
      </c>
    </row>
    <row r="2124" spans="1:3" hidden="1" x14ac:dyDescent="0.25">
      <c r="A2124" s="52" t="s">
        <v>3077</v>
      </c>
      <c r="B2124" s="52" t="s">
        <v>6424</v>
      </c>
      <c r="C2124" s="52" t="s">
        <v>821</v>
      </c>
    </row>
    <row r="2125" spans="1:3" hidden="1" x14ac:dyDescent="0.25">
      <c r="A2125" s="52" t="s">
        <v>3078</v>
      </c>
      <c r="B2125" s="52" t="s">
        <v>6425</v>
      </c>
      <c r="C2125" s="52" t="s">
        <v>821</v>
      </c>
    </row>
    <row r="2126" spans="1:3" hidden="1" x14ac:dyDescent="0.25">
      <c r="A2126" s="52" t="s">
        <v>3079</v>
      </c>
      <c r="B2126" s="52" t="s">
        <v>6426</v>
      </c>
      <c r="C2126" s="52" t="s">
        <v>821</v>
      </c>
    </row>
    <row r="2127" spans="1:3" hidden="1" x14ac:dyDescent="0.25">
      <c r="A2127" s="52" t="s">
        <v>3080</v>
      </c>
      <c r="B2127" s="52" t="s">
        <v>6427</v>
      </c>
      <c r="C2127" s="52" t="s">
        <v>821</v>
      </c>
    </row>
    <row r="2128" spans="1:3" hidden="1" x14ac:dyDescent="0.25">
      <c r="A2128" s="52" t="s">
        <v>3081</v>
      </c>
      <c r="B2128" s="52" t="s">
        <v>6428</v>
      </c>
      <c r="C2128" s="52" t="s">
        <v>821</v>
      </c>
    </row>
    <row r="2129" spans="1:3" hidden="1" x14ac:dyDescent="0.25">
      <c r="A2129" s="52" t="s">
        <v>3082</v>
      </c>
      <c r="B2129" s="52" t="s">
        <v>6429</v>
      </c>
      <c r="C2129" s="52" t="s">
        <v>821</v>
      </c>
    </row>
    <row r="2130" spans="1:3" hidden="1" x14ac:dyDescent="0.25">
      <c r="A2130" s="52" t="s">
        <v>3083</v>
      </c>
      <c r="B2130" s="52" t="s">
        <v>6430</v>
      </c>
      <c r="C2130" s="52" t="s">
        <v>821</v>
      </c>
    </row>
    <row r="2131" spans="1:3" hidden="1" x14ac:dyDescent="0.25">
      <c r="A2131" s="52" t="s">
        <v>3084</v>
      </c>
      <c r="B2131" s="52" t="s">
        <v>6431</v>
      </c>
      <c r="C2131" s="52" t="s">
        <v>821</v>
      </c>
    </row>
    <row r="2132" spans="1:3" hidden="1" x14ac:dyDescent="0.25">
      <c r="A2132" s="52" t="s">
        <v>3085</v>
      </c>
      <c r="B2132" s="52" t="s">
        <v>6432</v>
      </c>
      <c r="C2132" s="52" t="s">
        <v>821</v>
      </c>
    </row>
    <row r="2133" spans="1:3" hidden="1" x14ac:dyDescent="0.25">
      <c r="A2133" s="52" t="s">
        <v>3086</v>
      </c>
      <c r="B2133" s="52" t="s">
        <v>5545</v>
      </c>
      <c r="C2133" s="52" t="s">
        <v>821</v>
      </c>
    </row>
    <row r="2134" spans="1:3" hidden="1" x14ac:dyDescent="0.25">
      <c r="A2134" s="52" t="s">
        <v>3087</v>
      </c>
      <c r="B2134" s="52" t="s">
        <v>6433</v>
      </c>
      <c r="C2134" s="52" t="s">
        <v>821</v>
      </c>
    </row>
    <row r="2135" spans="1:3" hidden="1" x14ac:dyDescent="0.25">
      <c r="A2135" s="52" t="s">
        <v>3088</v>
      </c>
      <c r="B2135" s="52" t="s">
        <v>6434</v>
      </c>
      <c r="C2135" s="52" t="s">
        <v>821</v>
      </c>
    </row>
    <row r="2136" spans="1:3" hidden="1" x14ac:dyDescent="0.25">
      <c r="A2136" s="52" t="s">
        <v>3089</v>
      </c>
      <c r="B2136" s="52" t="s">
        <v>6435</v>
      </c>
      <c r="C2136" s="52" t="s">
        <v>821</v>
      </c>
    </row>
    <row r="2137" spans="1:3" hidden="1" x14ac:dyDescent="0.25">
      <c r="A2137" s="52" t="s">
        <v>3090</v>
      </c>
      <c r="B2137" s="52" t="s">
        <v>5303</v>
      </c>
      <c r="C2137" s="52" t="s">
        <v>821</v>
      </c>
    </row>
    <row r="2138" spans="1:3" hidden="1" x14ac:dyDescent="0.25">
      <c r="A2138" s="52" t="s">
        <v>3091</v>
      </c>
      <c r="B2138" s="52" t="s">
        <v>6436</v>
      </c>
      <c r="C2138" s="52" t="s">
        <v>821</v>
      </c>
    </row>
    <row r="2139" spans="1:3" hidden="1" x14ac:dyDescent="0.25">
      <c r="A2139" s="52" t="s">
        <v>3092</v>
      </c>
      <c r="B2139" s="52" t="s">
        <v>6437</v>
      </c>
      <c r="C2139" s="52" t="s">
        <v>821</v>
      </c>
    </row>
    <row r="2140" spans="1:3" hidden="1" x14ac:dyDescent="0.25">
      <c r="A2140" s="52" t="s">
        <v>3093</v>
      </c>
      <c r="B2140" s="52" t="s">
        <v>6438</v>
      </c>
      <c r="C2140" s="52" t="s">
        <v>821</v>
      </c>
    </row>
    <row r="2141" spans="1:3" hidden="1" x14ac:dyDescent="0.25">
      <c r="A2141" s="52" t="s">
        <v>3094</v>
      </c>
      <c r="B2141" s="52" t="s">
        <v>6439</v>
      </c>
      <c r="C2141" s="52" t="s">
        <v>821</v>
      </c>
    </row>
    <row r="2142" spans="1:3" hidden="1" x14ac:dyDescent="0.25">
      <c r="A2142" s="52" t="s">
        <v>3095</v>
      </c>
      <c r="B2142" s="52" t="s">
        <v>6440</v>
      </c>
      <c r="C2142" s="52" t="s">
        <v>821</v>
      </c>
    </row>
    <row r="2143" spans="1:3" hidden="1" x14ac:dyDescent="0.25">
      <c r="A2143" s="52" t="s">
        <v>3096</v>
      </c>
      <c r="B2143" s="52" t="s">
        <v>6441</v>
      </c>
      <c r="C2143" s="52" t="s">
        <v>821</v>
      </c>
    </row>
    <row r="2144" spans="1:3" hidden="1" x14ac:dyDescent="0.25">
      <c r="A2144" s="52" t="s">
        <v>3097</v>
      </c>
      <c r="B2144" s="52" t="s">
        <v>6442</v>
      </c>
      <c r="C2144" s="52" t="s">
        <v>821</v>
      </c>
    </row>
    <row r="2145" spans="1:3" hidden="1" x14ac:dyDescent="0.25">
      <c r="A2145" s="52" t="s">
        <v>3098</v>
      </c>
      <c r="B2145" s="52" t="s">
        <v>6443</v>
      </c>
      <c r="C2145" s="52" t="s">
        <v>821</v>
      </c>
    </row>
    <row r="2146" spans="1:3" hidden="1" x14ac:dyDescent="0.25">
      <c r="A2146" s="52" t="s">
        <v>3099</v>
      </c>
      <c r="B2146" s="52" t="s">
        <v>4651</v>
      </c>
      <c r="C2146" s="52" t="s">
        <v>821</v>
      </c>
    </row>
    <row r="2147" spans="1:3" hidden="1" x14ac:dyDescent="0.25">
      <c r="A2147" s="52" t="s">
        <v>3100</v>
      </c>
      <c r="B2147" s="52" t="s">
        <v>6444</v>
      </c>
      <c r="C2147" s="52" t="s">
        <v>821</v>
      </c>
    </row>
    <row r="2148" spans="1:3" hidden="1" x14ac:dyDescent="0.25">
      <c r="A2148" s="52" t="s">
        <v>3101</v>
      </c>
      <c r="B2148" s="52" t="s">
        <v>6445</v>
      </c>
      <c r="C2148" s="52" t="s">
        <v>821</v>
      </c>
    </row>
    <row r="2149" spans="1:3" hidden="1" x14ac:dyDescent="0.25">
      <c r="A2149" s="52" t="s">
        <v>3102</v>
      </c>
      <c r="B2149" s="52" t="s">
        <v>6446</v>
      </c>
      <c r="C2149" s="52" t="s">
        <v>821</v>
      </c>
    </row>
    <row r="2150" spans="1:3" hidden="1" x14ac:dyDescent="0.25">
      <c r="A2150" s="52" t="s">
        <v>3103</v>
      </c>
      <c r="B2150" s="52" t="s">
        <v>5556</v>
      </c>
      <c r="C2150" s="52" t="s">
        <v>821</v>
      </c>
    </row>
    <row r="2151" spans="1:3" hidden="1" x14ac:dyDescent="0.25">
      <c r="A2151" s="52" t="s">
        <v>3104</v>
      </c>
      <c r="B2151" s="52" t="s">
        <v>6447</v>
      </c>
      <c r="C2151" s="52" t="s">
        <v>821</v>
      </c>
    </row>
    <row r="2152" spans="1:3" hidden="1" x14ac:dyDescent="0.25">
      <c r="A2152" s="52" t="s">
        <v>3105</v>
      </c>
      <c r="B2152" s="52" t="s">
        <v>6448</v>
      </c>
      <c r="C2152" s="52" t="s">
        <v>821</v>
      </c>
    </row>
    <row r="2153" spans="1:3" hidden="1" x14ac:dyDescent="0.25">
      <c r="A2153" s="52" t="s">
        <v>3106</v>
      </c>
      <c r="B2153" s="52" t="s">
        <v>6449</v>
      </c>
      <c r="C2153" s="52" t="s">
        <v>821</v>
      </c>
    </row>
    <row r="2154" spans="1:3" hidden="1" x14ac:dyDescent="0.25">
      <c r="A2154" s="52" t="s">
        <v>3107</v>
      </c>
      <c r="B2154" s="52" t="s">
        <v>6450</v>
      </c>
      <c r="C2154" s="52" t="s">
        <v>821</v>
      </c>
    </row>
    <row r="2155" spans="1:3" hidden="1" x14ac:dyDescent="0.25">
      <c r="A2155" s="52" t="s">
        <v>3108</v>
      </c>
      <c r="B2155" s="52" t="s">
        <v>6451</v>
      </c>
      <c r="C2155" s="52" t="s">
        <v>821</v>
      </c>
    </row>
    <row r="2156" spans="1:3" hidden="1" x14ac:dyDescent="0.25">
      <c r="A2156" s="52" t="s">
        <v>3109</v>
      </c>
      <c r="B2156" s="52" t="s">
        <v>6452</v>
      </c>
      <c r="C2156" s="52" t="s">
        <v>821</v>
      </c>
    </row>
    <row r="2157" spans="1:3" hidden="1" x14ac:dyDescent="0.25">
      <c r="A2157" s="52" t="s">
        <v>3110</v>
      </c>
      <c r="B2157" s="52" t="s">
        <v>6453</v>
      </c>
      <c r="C2157" s="52" t="s">
        <v>821</v>
      </c>
    </row>
    <row r="2158" spans="1:3" hidden="1" x14ac:dyDescent="0.25">
      <c r="A2158" s="52" t="s">
        <v>3111</v>
      </c>
      <c r="B2158" s="52" t="s">
        <v>6454</v>
      </c>
      <c r="C2158" s="52" t="s">
        <v>821</v>
      </c>
    </row>
    <row r="2159" spans="1:3" hidden="1" x14ac:dyDescent="0.25">
      <c r="A2159" s="52" t="s">
        <v>3112</v>
      </c>
      <c r="B2159" s="52" t="s">
        <v>6455</v>
      </c>
      <c r="C2159" s="52" t="s">
        <v>821</v>
      </c>
    </row>
    <row r="2160" spans="1:3" hidden="1" x14ac:dyDescent="0.25">
      <c r="A2160" s="52" t="s">
        <v>3113</v>
      </c>
      <c r="B2160" s="52" t="s">
        <v>6456</v>
      </c>
      <c r="C2160" s="52" t="s">
        <v>821</v>
      </c>
    </row>
    <row r="2161" spans="1:3" hidden="1" x14ac:dyDescent="0.25">
      <c r="A2161" s="52" t="s">
        <v>3114</v>
      </c>
      <c r="B2161" s="52" t="s">
        <v>6457</v>
      </c>
      <c r="C2161" s="52" t="s">
        <v>821</v>
      </c>
    </row>
    <row r="2162" spans="1:3" hidden="1" x14ac:dyDescent="0.25">
      <c r="A2162" s="52" t="s">
        <v>3115</v>
      </c>
      <c r="B2162" s="52" t="s">
        <v>6458</v>
      </c>
      <c r="C2162" s="52" t="s">
        <v>821</v>
      </c>
    </row>
    <row r="2163" spans="1:3" hidden="1" x14ac:dyDescent="0.25">
      <c r="A2163" s="52" t="s">
        <v>3116</v>
      </c>
      <c r="B2163" s="52" t="s">
        <v>6459</v>
      </c>
      <c r="C2163" s="52" t="s">
        <v>821</v>
      </c>
    </row>
    <row r="2164" spans="1:3" hidden="1" x14ac:dyDescent="0.25">
      <c r="A2164" s="52" t="s">
        <v>3117</v>
      </c>
      <c r="B2164" s="52" t="s">
        <v>6460</v>
      </c>
      <c r="C2164" s="52" t="s">
        <v>821</v>
      </c>
    </row>
    <row r="2165" spans="1:3" hidden="1" x14ac:dyDescent="0.25">
      <c r="A2165" s="52" t="s">
        <v>3118</v>
      </c>
      <c r="B2165" s="52" t="s">
        <v>6461</v>
      </c>
      <c r="C2165" s="52" t="s">
        <v>821</v>
      </c>
    </row>
    <row r="2166" spans="1:3" hidden="1" x14ac:dyDescent="0.25">
      <c r="A2166" s="52" t="s">
        <v>3119</v>
      </c>
      <c r="B2166" s="52" t="s">
        <v>6462</v>
      </c>
      <c r="C2166" s="52" t="s">
        <v>821</v>
      </c>
    </row>
    <row r="2167" spans="1:3" hidden="1" x14ac:dyDescent="0.25">
      <c r="A2167" s="52" t="s">
        <v>3120</v>
      </c>
      <c r="B2167" s="52" t="s">
        <v>6463</v>
      </c>
      <c r="C2167" s="52" t="s">
        <v>821</v>
      </c>
    </row>
    <row r="2168" spans="1:3" hidden="1" x14ac:dyDescent="0.25">
      <c r="A2168" s="52" t="s">
        <v>3121</v>
      </c>
      <c r="B2168" s="52" t="s">
        <v>6464</v>
      </c>
      <c r="C2168" s="52" t="s">
        <v>821</v>
      </c>
    </row>
    <row r="2169" spans="1:3" hidden="1" x14ac:dyDescent="0.25">
      <c r="A2169" s="52" t="s">
        <v>3122</v>
      </c>
      <c r="B2169" s="52" t="s">
        <v>6465</v>
      </c>
      <c r="C2169" s="52" t="s">
        <v>821</v>
      </c>
    </row>
    <row r="2170" spans="1:3" hidden="1" x14ac:dyDescent="0.25">
      <c r="A2170" s="52" t="s">
        <v>3123</v>
      </c>
      <c r="B2170" s="52" t="s">
        <v>6466</v>
      </c>
      <c r="C2170" s="52" t="s">
        <v>821</v>
      </c>
    </row>
    <row r="2171" spans="1:3" hidden="1" x14ac:dyDescent="0.25">
      <c r="A2171" s="52" t="s">
        <v>3124</v>
      </c>
      <c r="B2171" s="52" t="s">
        <v>6467</v>
      </c>
      <c r="C2171" s="52" t="s">
        <v>821</v>
      </c>
    </row>
    <row r="2172" spans="1:3" hidden="1" x14ac:dyDescent="0.25">
      <c r="A2172" s="52" t="s">
        <v>3125</v>
      </c>
      <c r="B2172" s="52" t="s">
        <v>6468</v>
      </c>
      <c r="C2172" s="52" t="s">
        <v>821</v>
      </c>
    </row>
    <row r="2173" spans="1:3" hidden="1" x14ac:dyDescent="0.25">
      <c r="A2173" s="52" t="s">
        <v>3126</v>
      </c>
      <c r="B2173" s="52" t="s">
        <v>6469</v>
      </c>
      <c r="C2173" s="52" t="s">
        <v>821</v>
      </c>
    </row>
    <row r="2174" spans="1:3" hidden="1" x14ac:dyDescent="0.25">
      <c r="A2174" s="52" t="s">
        <v>3127</v>
      </c>
      <c r="B2174" s="52" t="s">
        <v>6470</v>
      </c>
      <c r="C2174" s="52" t="s">
        <v>821</v>
      </c>
    </row>
    <row r="2175" spans="1:3" hidden="1" x14ac:dyDescent="0.25">
      <c r="A2175" s="52" t="s">
        <v>3128</v>
      </c>
      <c r="B2175" s="52" t="s">
        <v>6471</v>
      </c>
      <c r="C2175" s="52" t="s">
        <v>821</v>
      </c>
    </row>
    <row r="2176" spans="1:3" hidden="1" x14ac:dyDescent="0.25">
      <c r="A2176" s="52" t="s">
        <v>3129</v>
      </c>
      <c r="B2176" s="52" t="s">
        <v>6472</v>
      </c>
      <c r="C2176" s="52" t="s">
        <v>821</v>
      </c>
    </row>
    <row r="2177" spans="1:3" hidden="1" x14ac:dyDescent="0.25">
      <c r="A2177" s="52" t="s">
        <v>3130</v>
      </c>
      <c r="B2177" s="52" t="s">
        <v>6473</v>
      </c>
      <c r="C2177" s="52" t="s">
        <v>821</v>
      </c>
    </row>
    <row r="2178" spans="1:3" hidden="1" x14ac:dyDescent="0.25">
      <c r="A2178" s="52" t="s">
        <v>3131</v>
      </c>
      <c r="B2178" s="52" t="s">
        <v>6474</v>
      </c>
      <c r="C2178" s="52" t="s">
        <v>821</v>
      </c>
    </row>
    <row r="2179" spans="1:3" hidden="1" x14ac:dyDescent="0.25">
      <c r="A2179" s="52" t="s">
        <v>3132</v>
      </c>
      <c r="B2179" s="52" t="s">
        <v>6475</v>
      </c>
      <c r="C2179" s="52" t="s">
        <v>821</v>
      </c>
    </row>
    <row r="2180" spans="1:3" hidden="1" x14ac:dyDescent="0.25">
      <c r="A2180" s="52" t="s">
        <v>3133</v>
      </c>
      <c r="B2180" s="52" t="s">
        <v>6476</v>
      </c>
      <c r="C2180" s="52" t="s">
        <v>821</v>
      </c>
    </row>
    <row r="2181" spans="1:3" hidden="1" x14ac:dyDescent="0.25">
      <c r="A2181" s="52" t="s">
        <v>3134</v>
      </c>
      <c r="B2181" s="52" t="s">
        <v>6477</v>
      </c>
      <c r="C2181" s="52" t="s">
        <v>821</v>
      </c>
    </row>
    <row r="2182" spans="1:3" hidden="1" x14ac:dyDescent="0.25">
      <c r="A2182" s="52" t="s">
        <v>3135</v>
      </c>
      <c r="B2182" s="52" t="s">
        <v>6478</v>
      </c>
      <c r="C2182" s="52" t="s">
        <v>821</v>
      </c>
    </row>
    <row r="2183" spans="1:3" hidden="1" x14ac:dyDescent="0.25">
      <c r="A2183" s="52" t="s">
        <v>3136</v>
      </c>
      <c r="B2183" s="52" t="s">
        <v>6479</v>
      </c>
      <c r="C2183" s="52" t="s">
        <v>821</v>
      </c>
    </row>
    <row r="2184" spans="1:3" hidden="1" x14ac:dyDescent="0.25">
      <c r="A2184" s="52" t="s">
        <v>3137</v>
      </c>
      <c r="B2184" s="52" t="s">
        <v>6480</v>
      </c>
      <c r="C2184" s="52" t="s">
        <v>821</v>
      </c>
    </row>
    <row r="2185" spans="1:3" hidden="1" x14ac:dyDescent="0.25">
      <c r="A2185" s="52" t="s">
        <v>3138</v>
      </c>
      <c r="B2185" s="52" t="s">
        <v>6481</v>
      </c>
      <c r="C2185" s="52" t="s">
        <v>821</v>
      </c>
    </row>
    <row r="2186" spans="1:3" hidden="1" x14ac:dyDescent="0.25">
      <c r="A2186" s="52" t="s">
        <v>3139</v>
      </c>
      <c r="B2186" s="52" t="s">
        <v>6482</v>
      </c>
      <c r="C2186" s="52" t="s">
        <v>821</v>
      </c>
    </row>
    <row r="2187" spans="1:3" hidden="1" x14ac:dyDescent="0.25">
      <c r="A2187" s="52" t="s">
        <v>3140</v>
      </c>
      <c r="B2187" s="52" t="s">
        <v>6483</v>
      </c>
      <c r="C2187" s="52" t="s">
        <v>821</v>
      </c>
    </row>
    <row r="2188" spans="1:3" hidden="1" x14ac:dyDescent="0.25">
      <c r="A2188" s="52" t="s">
        <v>3141</v>
      </c>
      <c r="B2188" s="52" t="s">
        <v>6484</v>
      </c>
      <c r="C2188" s="52" t="s">
        <v>821</v>
      </c>
    </row>
    <row r="2189" spans="1:3" hidden="1" x14ac:dyDescent="0.25">
      <c r="A2189" s="52" t="s">
        <v>3142</v>
      </c>
      <c r="B2189" s="52" t="s">
        <v>6485</v>
      </c>
      <c r="C2189" s="52" t="s">
        <v>821</v>
      </c>
    </row>
    <row r="2190" spans="1:3" hidden="1" x14ac:dyDescent="0.25">
      <c r="A2190" s="52" t="s">
        <v>3143</v>
      </c>
      <c r="B2190" s="52" t="s">
        <v>6486</v>
      </c>
      <c r="C2190" s="52" t="s">
        <v>821</v>
      </c>
    </row>
    <row r="2191" spans="1:3" hidden="1" x14ac:dyDescent="0.25">
      <c r="A2191" s="52" t="s">
        <v>3144</v>
      </c>
      <c r="B2191" s="52" t="s">
        <v>6487</v>
      </c>
      <c r="C2191" s="52" t="s">
        <v>821</v>
      </c>
    </row>
    <row r="2192" spans="1:3" hidden="1" x14ac:dyDescent="0.25">
      <c r="A2192" s="52" t="s">
        <v>3145</v>
      </c>
      <c r="B2192" s="52" t="s">
        <v>6488</v>
      </c>
      <c r="C2192" s="52" t="s">
        <v>821</v>
      </c>
    </row>
    <row r="2193" spans="1:3" hidden="1" x14ac:dyDescent="0.25">
      <c r="A2193" s="52" t="s">
        <v>3146</v>
      </c>
      <c r="B2193" s="52" t="s">
        <v>6489</v>
      </c>
      <c r="C2193" s="52" t="s">
        <v>821</v>
      </c>
    </row>
    <row r="2194" spans="1:3" hidden="1" x14ac:dyDescent="0.25">
      <c r="A2194" s="52" t="s">
        <v>3147</v>
      </c>
      <c r="B2194" s="52" t="s">
        <v>6490</v>
      </c>
      <c r="C2194" s="52" t="s">
        <v>821</v>
      </c>
    </row>
    <row r="2195" spans="1:3" hidden="1" x14ac:dyDescent="0.25">
      <c r="A2195" s="52" t="s">
        <v>3148</v>
      </c>
      <c r="B2195" s="52" t="s">
        <v>6491</v>
      </c>
      <c r="C2195" s="52" t="s">
        <v>821</v>
      </c>
    </row>
    <row r="2196" spans="1:3" hidden="1" x14ac:dyDescent="0.25">
      <c r="A2196" s="52" t="s">
        <v>3149</v>
      </c>
      <c r="B2196" s="52" t="s">
        <v>6492</v>
      </c>
      <c r="C2196" s="52" t="s">
        <v>821</v>
      </c>
    </row>
    <row r="2197" spans="1:3" hidden="1" x14ac:dyDescent="0.25">
      <c r="A2197" s="52" t="s">
        <v>3150</v>
      </c>
      <c r="B2197" s="52" t="s">
        <v>6493</v>
      </c>
      <c r="C2197" s="52" t="s">
        <v>821</v>
      </c>
    </row>
    <row r="2198" spans="1:3" hidden="1" x14ac:dyDescent="0.25">
      <c r="A2198" s="52" t="s">
        <v>3151</v>
      </c>
      <c r="B2198" s="52" t="s">
        <v>6494</v>
      </c>
      <c r="C2198" s="52" t="s">
        <v>821</v>
      </c>
    </row>
    <row r="2199" spans="1:3" hidden="1" x14ac:dyDescent="0.25">
      <c r="A2199" s="52" t="s">
        <v>3152</v>
      </c>
      <c r="B2199" s="52" t="s">
        <v>6495</v>
      </c>
      <c r="C2199" s="52" t="s">
        <v>821</v>
      </c>
    </row>
    <row r="2200" spans="1:3" hidden="1" x14ac:dyDescent="0.25">
      <c r="A2200" s="52" t="s">
        <v>3153</v>
      </c>
      <c r="B2200" s="52" t="s">
        <v>6496</v>
      </c>
      <c r="C2200" s="52" t="s">
        <v>821</v>
      </c>
    </row>
    <row r="2201" spans="1:3" hidden="1" x14ac:dyDescent="0.25">
      <c r="A2201" s="52" t="s">
        <v>3154</v>
      </c>
      <c r="B2201" s="52" t="s">
        <v>6497</v>
      </c>
      <c r="C2201" s="52" t="s">
        <v>821</v>
      </c>
    </row>
    <row r="2202" spans="1:3" hidden="1" x14ac:dyDescent="0.25">
      <c r="A2202" s="52" t="s">
        <v>3155</v>
      </c>
      <c r="B2202" s="52" t="s">
        <v>6498</v>
      </c>
      <c r="C2202" s="52" t="s">
        <v>821</v>
      </c>
    </row>
    <row r="2203" spans="1:3" hidden="1" x14ac:dyDescent="0.25">
      <c r="A2203" s="52" t="s">
        <v>3156</v>
      </c>
      <c r="B2203" s="52" t="s">
        <v>6499</v>
      </c>
      <c r="C2203" s="52" t="s">
        <v>821</v>
      </c>
    </row>
    <row r="2204" spans="1:3" hidden="1" x14ac:dyDescent="0.25">
      <c r="A2204" s="52" t="s">
        <v>3157</v>
      </c>
      <c r="B2204" s="52" t="s">
        <v>6500</v>
      </c>
      <c r="C2204" s="52" t="s">
        <v>821</v>
      </c>
    </row>
    <row r="2205" spans="1:3" hidden="1" x14ac:dyDescent="0.25">
      <c r="A2205" s="52" t="s">
        <v>3158</v>
      </c>
      <c r="B2205" s="52" t="s">
        <v>6501</v>
      </c>
      <c r="C2205" s="52" t="s">
        <v>821</v>
      </c>
    </row>
    <row r="2206" spans="1:3" hidden="1" x14ac:dyDescent="0.25">
      <c r="A2206" s="52" t="s">
        <v>3159</v>
      </c>
      <c r="B2206" s="52" t="s">
        <v>6502</v>
      </c>
      <c r="C2206" s="52" t="s">
        <v>821</v>
      </c>
    </row>
    <row r="2207" spans="1:3" hidden="1" x14ac:dyDescent="0.25">
      <c r="A2207" s="52" t="s">
        <v>3160</v>
      </c>
      <c r="B2207" s="52" t="s">
        <v>5701</v>
      </c>
      <c r="C2207" s="52" t="s">
        <v>821</v>
      </c>
    </row>
    <row r="2208" spans="1:3" hidden="1" x14ac:dyDescent="0.25">
      <c r="A2208" s="52" t="s">
        <v>3161</v>
      </c>
      <c r="B2208" s="52" t="s">
        <v>6503</v>
      </c>
      <c r="C2208" s="52" t="s">
        <v>821</v>
      </c>
    </row>
    <row r="2209" spans="1:3" hidden="1" x14ac:dyDescent="0.25">
      <c r="A2209" s="52" t="s">
        <v>3162</v>
      </c>
      <c r="B2209" s="52" t="s">
        <v>6504</v>
      </c>
      <c r="C2209" s="52" t="s">
        <v>821</v>
      </c>
    </row>
    <row r="2210" spans="1:3" hidden="1" x14ac:dyDescent="0.25">
      <c r="A2210" s="52" t="s">
        <v>3163</v>
      </c>
      <c r="B2210" s="52" t="s">
        <v>6505</v>
      </c>
      <c r="C2210" s="52" t="s">
        <v>821</v>
      </c>
    </row>
    <row r="2211" spans="1:3" hidden="1" x14ac:dyDescent="0.25">
      <c r="A2211" s="52" t="s">
        <v>3164</v>
      </c>
      <c r="B2211" s="52" t="s">
        <v>6506</v>
      </c>
      <c r="C2211" s="52" t="s">
        <v>821</v>
      </c>
    </row>
    <row r="2212" spans="1:3" hidden="1" x14ac:dyDescent="0.25">
      <c r="A2212" s="52" t="s">
        <v>3165</v>
      </c>
      <c r="B2212" s="52" t="s">
        <v>6507</v>
      </c>
      <c r="C2212" s="52" t="s">
        <v>821</v>
      </c>
    </row>
    <row r="2213" spans="1:3" hidden="1" x14ac:dyDescent="0.25">
      <c r="A2213" s="52" t="s">
        <v>3166</v>
      </c>
      <c r="B2213" s="52" t="s">
        <v>6508</v>
      </c>
      <c r="C2213" s="52" t="s">
        <v>821</v>
      </c>
    </row>
    <row r="2214" spans="1:3" hidden="1" x14ac:dyDescent="0.25">
      <c r="A2214" s="52" t="s">
        <v>3167</v>
      </c>
      <c r="B2214" s="52" t="s">
        <v>6509</v>
      </c>
      <c r="C2214" s="52" t="s">
        <v>821</v>
      </c>
    </row>
    <row r="2215" spans="1:3" hidden="1" x14ac:dyDescent="0.25">
      <c r="A2215" s="52" t="s">
        <v>3168</v>
      </c>
      <c r="B2215" s="52" t="s">
        <v>6510</v>
      </c>
      <c r="C2215" s="52" t="s">
        <v>821</v>
      </c>
    </row>
    <row r="2216" spans="1:3" hidden="1" x14ac:dyDescent="0.25">
      <c r="A2216" s="52" t="s">
        <v>3169</v>
      </c>
      <c r="B2216" s="52" t="s">
        <v>6511</v>
      </c>
      <c r="C2216" s="52" t="s">
        <v>821</v>
      </c>
    </row>
    <row r="2217" spans="1:3" hidden="1" x14ac:dyDescent="0.25">
      <c r="A2217" s="52" t="s">
        <v>3170</v>
      </c>
      <c r="B2217" s="52" t="s">
        <v>6512</v>
      </c>
      <c r="C2217" s="52" t="s">
        <v>821</v>
      </c>
    </row>
    <row r="2218" spans="1:3" hidden="1" x14ac:dyDescent="0.25">
      <c r="A2218" s="52" t="s">
        <v>3171</v>
      </c>
      <c r="B2218" s="52" t="s">
        <v>6513</v>
      </c>
      <c r="C2218" s="52" t="s">
        <v>821</v>
      </c>
    </row>
    <row r="2219" spans="1:3" hidden="1" x14ac:dyDescent="0.25">
      <c r="A2219" s="52" t="s">
        <v>3172</v>
      </c>
      <c r="B2219" s="52" t="s">
        <v>6514</v>
      </c>
      <c r="C2219" s="52" t="s">
        <v>821</v>
      </c>
    </row>
    <row r="2220" spans="1:3" hidden="1" x14ac:dyDescent="0.25">
      <c r="A2220" s="52" t="s">
        <v>3173</v>
      </c>
      <c r="B2220" s="52" t="s">
        <v>6515</v>
      </c>
      <c r="C2220" s="52" t="s">
        <v>821</v>
      </c>
    </row>
    <row r="2221" spans="1:3" hidden="1" x14ac:dyDescent="0.25">
      <c r="A2221" s="52" t="s">
        <v>3174</v>
      </c>
      <c r="B2221" s="52" t="s">
        <v>6516</v>
      </c>
      <c r="C2221" s="52" t="s">
        <v>821</v>
      </c>
    </row>
    <row r="2222" spans="1:3" hidden="1" x14ac:dyDescent="0.25">
      <c r="A2222" s="52" t="s">
        <v>3175</v>
      </c>
      <c r="B2222" s="52" t="s">
        <v>6517</v>
      </c>
      <c r="C2222" s="52" t="s">
        <v>821</v>
      </c>
    </row>
    <row r="2223" spans="1:3" hidden="1" x14ac:dyDescent="0.25">
      <c r="A2223" s="52" t="s">
        <v>3176</v>
      </c>
      <c r="B2223" s="52" t="s">
        <v>6518</v>
      </c>
      <c r="C2223" s="52" t="s">
        <v>821</v>
      </c>
    </row>
    <row r="2224" spans="1:3" hidden="1" x14ac:dyDescent="0.25">
      <c r="A2224" s="52" t="s">
        <v>3177</v>
      </c>
      <c r="B2224" s="52" t="s">
        <v>6519</v>
      </c>
      <c r="C2224" s="52" t="s">
        <v>821</v>
      </c>
    </row>
    <row r="2225" spans="1:3" hidden="1" x14ac:dyDescent="0.25">
      <c r="A2225" s="52" t="s">
        <v>3178</v>
      </c>
      <c r="B2225" s="52" t="s">
        <v>6520</v>
      </c>
      <c r="C2225" s="52" t="s">
        <v>821</v>
      </c>
    </row>
    <row r="2226" spans="1:3" hidden="1" x14ac:dyDescent="0.25">
      <c r="A2226" s="52" t="s">
        <v>3179</v>
      </c>
      <c r="B2226" s="52" t="s">
        <v>6521</v>
      </c>
      <c r="C2226" s="52" t="s">
        <v>821</v>
      </c>
    </row>
    <row r="2227" spans="1:3" hidden="1" x14ac:dyDescent="0.25">
      <c r="A2227" s="52" t="s">
        <v>3180</v>
      </c>
      <c r="B2227" s="52" t="s">
        <v>6522</v>
      </c>
      <c r="C2227" s="52" t="s">
        <v>821</v>
      </c>
    </row>
    <row r="2228" spans="1:3" hidden="1" x14ac:dyDescent="0.25">
      <c r="A2228" s="52" t="s">
        <v>3181</v>
      </c>
      <c r="B2228" s="52" t="s">
        <v>6523</v>
      </c>
      <c r="C2228" s="52" t="s">
        <v>821</v>
      </c>
    </row>
    <row r="2229" spans="1:3" hidden="1" x14ac:dyDescent="0.25">
      <c r="A2229" s="52" t="s">
        <v>3182</v>
      </c>
      <c r="B2229" s="52" t="s">
        <v>6524</v>
      </c>
      <c r="C2229" s="52" t="s">
        <v>821</v>
      </c>
    </row>
    <row r="2230" spans="1:3" hidden="1" x14ac:dyDescent="0.25">
      <c r="A2230" s="52" t="s">
        <v>3183</v>
      </c>
      <c r="B2230" s="52" t="s">
        <v>6525</v>
      </c>
      <c r="C2230" s="52" t="s">
        <v>821</v>
      </c>
    </row>
    <row r="2231" spans="1:3" hidden="1" x14ac:dyDescent="0.25">
      <c r="A2231" s="52" t="s">
        <v>3184</v>
      </c>
      <c r="B2231" s="52" t="s">
        <v>6526</v>
      </c>
      <c r="C2231" s="52" t="s">
        <v>821</v>
      </c>
    </row>
    <row r="2232" spans="1:3" hidden="1" x14ac:dyDescent="0.25">
      <c r="A2232" s="52" t="s">
        <v>3185</v>
      </c>
      <c r="B2232" s="52" t="s">
        <v>6527</v>
      </c>
      <c r="C2232" s="52" t="s">
        <v>821</v>
      </c>
    </row>
    <row r="2233" spans="1:3" hidden="1" x14ac:dyDescent="0.25">
      <c r="A2233" s="52" t="s">
        <v>3186</v>
      </c>
      <c r="B2233" s="52" t="s">
        <v>6528</v>
      </c>
      <c r="C2233" s="52" t="s">
        <v>821</v>
      </c>
    </row>
    <row r="2234" spans="1:3" hidden="1" x14ac:dyDescent="0.25">
      <c r="A2234" s="52" t="s">
        <v>3187</v>
      </c>
      <c r="B2234" s="52" t="s">
        <v>6529</v>
      </c>
      <c r="C2234" s="52" t="s">
        <v>821</v>
      </c>
    </row>
    <row r="2235" spans="1:3" hidden="1" x14ac:dyDescent="0.25">
      <c r="A2235" s="52" t="s">
        <v>3188</v>
      </c>
      <c r="B2235" s="52" t="s">
        <v>6530</v>
      </c>
      <c r="C2235" s="52" t="s">
        <v>821</v>
      </c>
    </row>
    <row r="2236" spans="1:3" hidden="1" x14ac:dyDescent="0.25">
      <c r="A2236" s="52" t="s">
        <v>3189</v>
      </c>
      <c r="B2236" s="52" t="s">
        <v>6531</v>
      </c>
      <c r="C2236" s="52" t="s">
        <v>821</v>
      </c>
    </row>
    <row r="2237" spans="1:3" hidden="1" x14ac:dyDescent="0.25">
      <c r="A2237" s="52" t="s">
        <v>3190</v>
      </c>
      <c r="B2237" s="52" t="s">
        <v>6532</v>
      </c>
      <c r="C2237" s="52" t="s">
        <v>821</v>
      </c>
    </row>
    <row r="2238" spans="1:3" hidden="1" x14ac:dyDescent="0.25">
      <c r="A2238" s="52" t="s">
        <v>3191</v>
      </c>
      <c r="B2238" s="52" t="s">
        <v>6533</v>
      </c>
      <c r="C2238" s="52" t="s">
        <v>821</v>
      </c>
    </row>
    <row r="2239" spans="1:3" hidden="1" x14ac:dyDescent="0.25">
      <c r="A2239" s="52" t="s">
        <v>3192</v>
      </c>
      <c r="B2239" s="52" t="s">
        <v>1234</v>
      </c>
      <c r="C2239" s="52" t="s">
        <v>821</v>
      </c>
    </row>
    <row r="2240" spans="1:3" hidden="1" x14ac:dyDescent="0.25">
      <c r="A2240" s="52" t="s">
        <v>3193</v>
      </c>
      <c r="B2240" s="52" t="s">
        <v>5343</v>
      </c>
      <c r="C2240" s="52" t="s">
        <v>821</v>
      </c>
    </row>
    <row r="2241" spans="1:3" hidden="1" x14ac:dyDescent="0.25">
      <c r="A2241" s="52" t="s">
        <v>3194</v>
      </c>
      <c r="B2241" s="52" t="s">
        <v>6534</v>
      </c>
      <c r="C2241" s="52" t="s">
        <v>821</v>
      </c>
    </row>
    <row r="2242" spans="1:3" hidden="1" x14ac:dyDescent="0.25">
      <c r="A2242" s="52" t="s">
        <v>3195</v>
      </c>
      <c r="B2242" s="52" t="s">
        <v>6535</v>
      </c>
      <c r="C2242" s="52" t="s">
        <v>821</v>
      </c>
    </row>
    <row r="2243" spans="1:3" hidden="1" x14ac:dyDescent="0.25">
      <c r="A2243" s="52" t="s">
        <v>3196</v>
      </c>
      <c r="B2243" s="52" t="s">
        <v>6536</v>
      </c>
      <c r="C2243" s="52" t="s">
        <v>821</v>
      </c>
    </row>
    <row r="2244" spans="1:3" hidden="1" x14ac:dyDescent="0.25">
      <c r="A2244" s="52" t="s">
        <v>3197</v>
      </c>
      <c r="B2244" s="52" t="s">
        <v>6537</v>
      </c>
      <c r="C2244" s="52" t="s">
        <v>823</v>
      </c>
    </row>
    <row r="2245" spans="1:3" hidden="1" x14ac:dyDescent="0.25">
      <c r="A2245" s="52" t="s">
        <v>3198</v>
      </c>
      <c r="B2245" s="52" t="s">
        <v>6538</v>
      </c>
      <c r="C2245" s="52" t="s">
        <v>823</v>
      </c>
    </row>
    <row r="2246" spans="1:3" hidden="1" x14ac:dyDescent="0.25">
      <c r="A2246" s="52" t="s">
        <v>3199</v>
      </c>
      <c r="B2246" s="52" t="s">
        <v>6539</v>
      </c>
      <c r="C2246" s="52" t="s">
        <v>823</v>
      </c>
    </row>
    <row r="2247" spans="1:3" hidden="1" x14ac:dyDescent="0.25">
      <c r="A2247" s="52" t="s">
        <v>3200</v>
      </c>
      <c r="B2247" s="52" t="s">
        <v>6540</v>
      </c>
      <c r="C2247" s="52" t="s">
        <v>823</v>
      </c>
    </row>
    <row r="2248" spans="1:3" hidden="1" x14ac:dyDescent="0.25">
      <c r="A2248" s="52" t="s">
        <v>3201</v>
      </c>
      <c r="B2248" s="52" t="s">
        <v>6541</v>
      </c>
      <c r="C2248" s="52" t="s">
        <v>823</v>
      </c>
    </row>
    <row r="2249" spans="1:3" hidden="1" x14ac:dyDescent="0.25">
      <c r="A2249" s="52" t="s">
        <v>3202</v>
      </c>
      <c r="B2249" s="52" t="s">
        <v>6542</v>
      </c>
      <c r="C2249" s="52" t="s">
        <v>823</v>
      </c>
    </row>
    <row r="2250" spans="1:3" hidden="1" x14ac:dyDescent="0.25">
      <c r="A2250" s="52" t="s">
        <v>3203</v>
      </c>
      <c r="B2250" s="52" t="s">
        <v>6411</v>
      </c>
      <c r="C2250" s="52" t="s">
        <v>823</v>
      </c>
    </row>
    <row r="2251" spans="1:3" hidden="1" x14ac:dyDescent="0.25">
      <c r="A2251" s="52" t="s">
        <v>3204</v>
      </c>
      <c r="B2251" s="52" t="s">
        <v>6415</v>
      </c>
      <c r="C2251" s="52" t="s">
        <v>823</v>
      </c>
    </row>
    <row r="2252" spans="1:3" hidden="1" x14ac:dyDescent="0.25">
      <c r="A2252" s="52" t="s">
        <v>3205</v>
      </c>
      <c r="B2252" s="52" t="s">
        <v>6543</v>
      </c>
      <c r="C2252" s="52" t="s">
        <v>823</v>
      </c>
    </row>
    <row r="2253" spans="1:3" hidden="1" x14ac:dyDescent="0.25">
      <c r="A2253" s="52" t="s">
        <v>3206</v>
      </c>
      <c r="B2253" s="52" t="s">
        <v>6544</v>
      </c>
      <c r="C2253" s="52" t="s">
        <v>823</v>
      </c>
    </row>
    <row r="2254" spans="1:3" hidden="1" x14ac:dyDescent="0.25">
      <c r="A2254" s="52" t="s">
        <v>3207</v>
      </c>
      <c r="B2254" s="52" t="s">
        <v>6545</v>
      </c>
      <c r="C2254" s="52" t="s">
        <v>823</v>
      </c>
    </row>
    <row r="2255" spans="1:3" hidden="1" x14ac:dyDescent="0.25">
      <c r="A2255" s="52" t="s">
        <v>3208</v>
      </c>
      <c r="B2255" s="52" t="s">
        <v>6546</v>
      </c>
      <c r="C2255" s="52" t="s">
        <v>823</v>
      </c>
    </row>
    <row r="2256" spans="1:3" hidden="1" x14ac:dyDescent="0.25">
      <c r="A2256" s="52" t="s">
        <v>3209</v>
      </c>
      <c r="B2256" s="52" t="s">
        <v>6547</v>
      </c>
      <c r="C2256" s="52" t="s">
        <v>823</v>
      </c>
    </row>
    <row r="2257" spans="1:3" hidden="1" x14ac:dyDescent="0.25">
      <c r="A2257" s="52" t="s">
        <v>3210</v>
      </c>
      <c r="B2257" s="52" t="s">
        <v>6548</v>
      </c>
      <c r="C2257" s="52" t="s">
        <v>823</v>
      </c>
    </row>
    <row r="2258" spans="1:3" hidden="1" x14ac:dyDescent="0.25">
      <c r="A2258" s="52" t="s">
        <v>3211</v>
      </c>
      <c r="B2258" s="52" t="s">
        <v>6549</v>
      </c>
      <c r="C2258" s="52" t="s">
        <v>823</v>
      </c>
    </row>
    <row r="2259" spans="1:3" hidden="1" x14ac:dyDescent="0.25">
      <c r="A2259" s="52" t="s">
        <v>3212</v>
      </c>
      <c r="B2259" s="52" t="s">
        <v>6550</v>
      </c>
      <c r="C2259" s="52" t="s">
        <v>823</v>
      </c>
    </row>
    <row r="2260" spans="1:3" hidden="1" x14ac:dyDescent="0.25">
      <c r="A2260" s="52" t="s">
        <v>3213</v>
      </c>
      <c r="B2260" s="52" t="s">
        <v>6551</v>
      </c>
      <c r="C2260" s="52" t="s">
        <v>823</v>
      </c>
    </row>
    <row r="2261" spans="1:3" hidden="1" x14ac:dyDescent="0.25">
      <c r="A2261" s="52" t="s">
        <v>3214</v>
      </c>
      <c r="B2261" s="52" t="s">
        <v>6552</v>
      </c>
      <c r="C2261" s="52" t="s">
        <v>823</v>
      </c>
    </row>
    <row r="2262" spans="1:3" hidden="1" x14ac:dyDescent="0.25">
      <c r="A2262" s="52" t="s">
        <v>3215</v>
      </c>
      <c r="B2262" s="52" t="s">
        <v>6553</v>
      </c>
      <c r="C2262" s="52" t="s">
        <v>823</v>
      </c>
    </row>
    <row r="2263" spans="1:3" hidden="1" x14ac:dyDescent="0.25">
      <c r="A2263" s="52" t="s">
        <v>3216</v>
      </c>
      <c r="B2263" s="52" t="s">
        <v>6554</v>
      </c>
      <c r="C2263" s="52" t="s">
        <v>823</v>
      </c>
    </row>
    <row r="2264" spans="1:3" hidden="1" x14ac:dyDescent="0.25">
      <c r="A2264" s="52" t="s">
        <v>3217</v>
      </c>
      <c r="B2264" s="52" t="s">
        <v>6555</v>
      </c>
      <c r="C2264" s="52" t="s">
        <v>823</v>
      </c>
    </row>
    <row r="2265" spans="1:3" hidden="1" x14ac:dyDescent="0.25">
      <c r="A2265" s="52" t="s">
        <v>3218</v>
      </c>
      <c r="B2265" s="52" t="s">
        <v>6556</v>
      </c>
      <c r="C2265" s="52" t="s">
        <v>823</v>
      </c>
    </row>
    <row r="2266" spans="1:3" hidden="1" x14ac:dyDescent="0.25">
      <c r="A2266" s="52" t="s">
        <v>3219</v>
      </c>
      <c r="B2266" s="52" t="s">
        <v>6557</v>
      </c>
      <c r="C2266" s="52" t="s">
        <v>823</v>
      </c>
    </row>
    <row r="2267" spans="1:3" hidden="1" x14ac:dyDescent="0.25">
      <c r="A2267" s="52" t="s">
        <v>3220</v>
      </c>
      <c r="B2267" s="52" t="s">
        <v>6558</v>
      </c>
      <c r="C2267" s="52" t="s">
        <v>823</v>
      </c>
    </row>
    <row r="2268" spans="1:3" hidden="1" x14ac:dyDescent="0.25">
      <c r="A2268" s="52" t="s">
        <v>3221</v>
      </c>
      <c r="B2268" s="52" t="s">
        <v>6559</v>
      </c>
      <c r="C2268" s="52" t="s">
        <v>823</v>
      </c>
    </row>
    <row r="2269" spans="1:3" hidden="1" x14ac:dyDescent="0.25">
      <c r="A2269" s="52" t="s">
        <v>3222</v>
      </c>
      <c r="B2269" s="52" t="s">
        <v>6560</v>
      </c>
      <c r="C2269" s="52" t="s">
        <v>823</v>
      </c>
    </row>
    <row r="2270" spans="1:3" hidden="1" x14ac:dyDescent="0.25">
      <c r="A2270" s="52" t="s">
        <v>3223</v>
      </c>
      <c r="B2270" s="52" t="s">
        <v>6561</v>
      </c>
      <c r="C2270" s="52" t="s">
        <v>823</v>
      </c>
    </row>
    <row r="2271" spans="1:3" hidden="1" x14ac:dyDescent="0.25">
      <c r="A2271" s="52" t="s">
        <v>3224</v>
      </c>
      <c r="B2271" s="52" t="s">
        <v>6562</v>
      </c>
      <c r="C2271" s="52" t="s">
        <v>823</v>
      </c>
    </row>
    <row r="2272" spans="1:3" hidden="1" x14ac:dyDescent="0.25">
      <c r="A2272" s="52" t="s">
        <v>3225</v>
      </c>
      <c r="B2272" s="52" t="s">
        <v>6563</v>
      </c>
      <c r="C2272" s="52" t="s">
        <v>823</v>
      </c>
    </row>
    <row r="2273" spans="1:3" hidden="1" x14ac:dyDescent="0.25">
      <c r="A2273" s="52" t="s">
        <v>3226</v>
      </c>
      <c r="B2273" s="52" t="s">
        <v>6564</v>
      </c>
      <c r="C2273" s="52" t="s">
        <v>823</v>
      </c>
    </row>
    <row r="2274" spans="1:3" hidden="1" x14ac:dyDescent="0.25">
      <c r="A2274" s="52" t="s">
        <v>3227</v>
      </c>
      <c r="B2274" s="52" t="s">
        <v>6565</v>
      </c>
      <c r="C2274" s="52" t="s">
        <v>823</v>
      </c>
    </row>
    <row r="2275" spans="1:3" hidden="1" x14ac:dyDescent="0.25">
      <c r="A2275" s="52" t="s">
        <v>3228</v>
      </c>
      <c r="B2275" s="52" t="s">
        <v>6566</v>
      </c>
      <c r="C2275" s="52" t="s">
        <v>823</v>
      </c>
    </row>
    <row r="2276" spans="1:3" hidden="1" x14ac:dyDescent="0.25">
      <c r="A2276" s="52" t="s">
        <v>3229</v>
      </c>
      <c r="B2276" s="52" t="s">
        <v>6567</v>
      </c>
      <c r="C2276" s="52" t="s">
        <v>823</v>
      </c>
    </row>
    <row r="2277" spans="1:3" hidden="1" x14ac:dyDescent="0.25">
      <c r="A2277" s="52" t="s">
        <v>3230</v>
      </c>
      <c r="B2277" s="52" t="s">
        <v>6568</v>
      </c>
      <c r="C2277" s="52" t="s">
        <v>823</v>
      </c>
    </row>
    <row r="2278" spans="1:3" hidden="1" x14ac:dyDescent="0.25">
      <c r="A2278" s="52" t="s">
        <v>3231</v>
      </c>
      <c r="B2278" s="52" t="s">
        <v>6569</v>
      </c>
      <c r="C2278" s="52" t="s">
        <v>823</v>
      </c>
    </row>
    <row r="2279" spans="1:3" hidden="1" x14ac:dyDescent="0.25">
      <c r="A2279" s="52" t="s">
        <v>3232</v>
      </c>
      <c r="B2279" s="52" t="s">
        <v>6570</v>
      </c>
      <c r="C2279" s="52" t="s">
        <v>823</v>
      </c>
    </row>
    <row r="2280" spans="1:3" hidden="1" x14ac:dyDescent="0.25">
      <c r="A2280" s="52" t="s">
        <v>3233</v>
      </c>
      <c r="B2280" s="52" t="s">
        <v>6571</v>
      </c>
      <c r="C2280" s="52" t="s">
        <v>823</v>
      </c>
    </row>
    <row r="2281" spans="1:3" hidden="1" x14ac:dyDescent="0.25">
      <c r="A2281" s="52" t="s">
        <v>3234</v>
      </c>
      <c r="B2281" s="52" t="s">
        <v>6572</v>
      </c>
      <c r="C2281" s="52" t="s">
        <v>823</v>
      </c>
    </row>
    <row r="2282" spans="1:3" hidden="1" x14ac:dyDescent="0.25">
      <c r="A2282" s="52" t="s">
        <v>3235</v>
      </c>
      <c r="B2282" s="52" t="s">
        <v>6419</v>
      </c>
      <c r="C2282" s="52" t="s">
        <v>823</v>
      </c>
    </row>
    <row r="2283" spans="1:3" hidden="1" x14ac:dyDescent="0.25">
      <c r="A2283" s="52" t="s">
        <v>3236</v>
      </c>
      <c r="B2283" s="52" t="s">
        <v>6573</v>
      </c>
      <c r="C2283" s="52" t="s">
        <v>823</v>
      </c>
    </row>
    <row r="2284" spans="1:3" hidden="1" x14ac:dyDescent="0.25">
      <c r="A2284" s="52" t="s">
        <v>3237</v>
      </c>
      <c r="B2284" s="52" t="s">
        <v>6574</v>
      </c>
      <c r="C2284" s="52" t="s">
        <v>823</v>
      </c>
    </row>
    <row r="2285" spans="1:3" hidden="1" x14ac:dyDescent="0.25">
      <c r="A2285" s="52" t="s">
        <v>3238</v>
      </c>
      <c r="B2285" s="52" t="s">
        <v>6575</v>
      </c>
      <c r="C2285" s="52" t="s">
        <v>823</v>
      </c>
    </row>
    <row r="2286" spans="1:3" hidden="1" x14ac:dyDescent="0.25">
      <c r="A2286" s="52" t="s">
        <v>3239</v>
      </c>
      <c r="B2286" s="52" t="s">
        <v>6576</v>
      </c>
      <c r="C2286" s="52" t="s">
        <v>823</v>
      </c>
    </row>
    <row r="2287" spans="1:3" hidden="1" x14ac:dyDescent="0.25">
      <c r="A2287" s="52" t="s">
        <v>3240</v>
      </c>
      <c r="B2287" s="52" t="s">
        <v>6577</v>
      </c>
      <c r="C2287" s="52" t="s">
        <v>823</v>
      </c>
    </row>
    <row r="2288" spans="1:3" hidden="1" x14ac:dyDescent="0.25">
      <c r="A2288" s="52" t="s">
        <v>3241</v>
      </c>
      <c r="B2288" s="52" t="s">
        <v>6578</v>
      </c>
      <c r="C2288" s="52" t="s">
        <v>823</v>
      </c>
    </row>
    <row r="2289" spans="1:3" hidden="1" x14ac:dyDescent="0.25">
      <c r="A2289" s="52" t="s">
        <v>3242</v>
      </c>
      <c r="B2289" s="52" t="s">
        <v>6579</v>
      </c>
      <c r="C2289" s="52" t="s">
        <v>823</v>
      </c>
    </row>
    <row r="2290" spans="1:3" hidden="1" x14ac:dyDescent="0.25">
      <c r="A2290" s="52" t="s">
        <v>3243</v>
      </c>
      <c r="B2290" s="52" t="s">
        <v>5272</v>
      </c>
      <c r="C2290" s="52" t="s">
        <v>823</v>
      </c>
    </row>
    <row r="2291" spans="1:3" hidden="1" x14ac:dyDescent="0.25">
      <c r="A2291" s="52" t="s">
        <v>3244</v>
      </c>
      <c r="B2291" s="52" t="s">
        <v>6580</v>
      </c>
      <c r="C2291" s="52" t="s">
        <v>823</v>
      </c>
    </row>
    <row r="2292" spans="1:3" hidden="1" x14ac:dyDescent="0.25">
      <c r="A2292" s="52" t="s">
        <v>3245</v>
      </c>
      <c r="B2292" s="52" t="s">
        <v>6581</v>
      </c>
      <c r="C2292" s="52" t="s">
        <v>823</v>
      </c>
    </row>
    <row r="2293" spans="1:3" hidden="1" x14ac:dyDescent="0.25">
      <c r="A2293" s="52" t="s">
        <v>3246</v>
      </c>
      <c r="B2293" s="52" t="s">
        <v>6582</v>
      </c>
      <c r="C2293" s="52" t="s">
        <v>823</v>
      </c>
    </row>
    <row r="2294" spans="1:3" hidden="1" x14ac:dyDescent="0.25">
      <c r="A2294" s="52" t="s">
        <v>3247</v>
      </c>
      <c r="B2294" s="52" t="s">
        <v>6583</v>
      </c>
      <c r="C2294" s="52" t="s">
        <v>823</v>
      </c>
    </row>
    <row r="2295" spans="1:3" hidden="1" x14ac:dyDescent="0.25">
      <c r="A2295" s="52" t="s">
        <v>3248</v>
      </c>
      <c r="B2295" s="52" t="s">
        <v>6584</v>
      </c>
      <c r="C2295" s="52" t="s">
        <v>823</v>
      </c>
    </row>
    <row r="2296" spans="1:3" hidden="1" x14ac:dyDescent="0.25">
      <c r="A2296" s="52" t="s">
        <v>3249</v>
      </c>
      <c r="B2296" s="52" t="s">
        <v>6585</v>
      </c>
      <c r="C2296" s="52" t="s">
        <v>823</v>
      </c>
    </row>
    <row r="2297" spans="1:3" hidden="1" x14ac:dyDescent="0.25">
      <c r="A2297" s="52" t="s">
        <v>3250</v>
      </c>
      <c r="B2297" s="52" t="s">
        <v>6586</v>
      </c>
      <c r="C2297" s="52" t="s">
        <v>823</v>
      </c>
    </row>
    <row r="2298" spans="1:3" hidden="1" x14ac:dyDescent="0.25">
      <c r="A2298" s="52" t="s">
        <v>3251</v>
      </c>
      <c r="B2298" s="52" t="s">
        <v>6587</v>
      </c>
      <c r="C2298" s="52" t="s">
        <v>823</v>
      </c>
    </row>
    <row r="2299" spans="1:3" hidden="1" x14ac:dyDescent="0.25">
      <c r="A2299" s="52" t="s">
        <v>3252</v>
      </c>
      <c r="B2299" s="52" t="s">
        <v>6588</v>
      </c>
      <c r="C2299" s="52" t="s">
        <v>823</v>
      </c>
    </row>
    <row r="2300" spans="1:3" hidden="1" x14ac:dyDescent="0.25">
      <c r="A2300" s="52" t="s">
        <v>3253</v>
      </c>
      <c r="B2300" s="52" t="s">
        <v>6589</v>
      </c>
      <c r="C2300" s="52" t="s">
        <v>823</v>
      </c>
    </row>
    <row r="2301" spans="1:3" hidden="1" x14ac:dyDescent="0.25">
      <c r="A2301" s="52" t="s">
        <v>3254</v>
      </c>
      <c r="B2301" s="52" t="s">
        <v>6590</v>
      </c>
      <c r="C2301" s="52" t="s">
        <v>823</v>
      </c>
    </row>
    <row r="2302" spans="1:3" hidden="1" x14ac:dyDescent="0.25">
      <c r="A2302" s="52" t="s">
        <v>3255</v>
      </c>
      <c r="B2302" s="52" t="s">
        <v>6591</v>
      </c>
      <c r="C2302" s="52" t="s">
        <v>823</v>
      </c>
    </row>
    <row r="2303" spans="1:3" hidden="1" x14ac:dyDescent="0.25">
      <c r="A2303" s="52" t="s">
        <v>3256</v>
      </c>
      <c r="B2303" s="52" t="s">
        <v>6592</v>
      </c>
      <c r="C2303" s="52" t="s">
        <v>823</v>
      </c>
    </row>
    <row r="2304" spans="1:3" hidden="1" x14ac:dyDescent="0.25">
      <c r="A2304" s="52" t="s">
        <v>3257</v>
      </c>
      <c r="B2304" s="52" t="s">
        <v>6593</v>
      </c>
      <c r="C2304" s="52" t="s">
        <v>823</v>
      </c>
    </row>
    <row r="2305" spans="1:3" hidden="1" x14ac:dyDescent="0.25">
      <c r="A2305" s="52" t="s">
        <v>3258</v>
      </c>
      <c r="B2305" s="52" t="s">
        <v>6594</v>
      </c>
      <c r="C2305" s="52" t="s">
        <v>823</v>
      </c>
    </row>
    <row r="2306" spans="1:3" hidden="1" x14ac:dyDescent="0.25">
      <c r="A2306" s="52" t="s">
        <v>3259</v>
      </c>
      <c r="B2306" s="52" t="s">
        <v>6595</v>
      </c>
      <c r="C2306" s="52" t="s">
        <v>823</v>
      </c>
    </row>
    <row r="2307" spans="1:3" hidden="1" x14ac:dyDescent="0.25">
      <c r="A2307" s="52" t="s">
        <v>3260</v>
      </c>
      <c r="B2307" s="52" t="s">
        <v>6596</v>
      </c>
      <c r="C2307" s="52" t="s">
        <v>823</v>
      </c>
    </row>
    <row r="2308" spans="1:3" hidden="1" x14ac:dyDescent="0.25">
      <c r="A2308" s="52" t="s">
        <v>3261</v>
      </c>
      <c r="B2308" s="52" t="s">
        <v>6597</v>
      </c>
      <c r="C2308" s="52" t="s">
        <v>823</v>
      </c>
    </row>
    <row r="2309" spans="1:3" hidden="1" x14ac:dyDescent="0.25">
      <c r="A2309" s="52" t="s">
        <v>3262</v>
      </c>
      <c r="B2309" s="52" t="s">
        <v>6598</v>
      </c>
      <c r="C2309" s="52" t="s">
        <v>823</v>
      </c>
    </row>
    <row r="2310" spans="1:3" hidden="1" x14ac:dyDescent="0.25">
      <c r="A2310" s="52" t="s">
        <v>3263</v>
      </c>
      <c r="B2310" s="52" t="s">
        <v>5541</v>
      </c>
      <c r="C2310" s="52" t="s">
        <v>823</v>
      </c>
    </row>
    <row r="2311" spans="1:3" hidden="1" x14ac:dyDescent="0.25">
      <c r="A2311" s="52" t="s">
        <v>3264</v>
      </c>
      <c r="B2311" s="52" t="s">
        <v>6599</v>
      </c>
      <c r="C2311" s="52" t="s">
        <v>823</v>
      </c>
    </row>
    <row r="2312" spans="1:3" hidden="1" x14ac:dyDescent="0.25">
      <c r="A2312" s="52" t="s">
        <v>3265</v>
      </c>
      <c r="B2312" s="52" t="s">
        <v>6600</v>
      </c>
      <c r="C2312" s="52" t="s">
        <v>823</v>
      </c>
    </row>
    <row r="2313" spans="1:3" hidden="1" x14ac:dyDescent="0.25">
      <c r="A2313" s="52" t="s">
        <v>3266</v>
      </c>
      <c r="B2313" s="52" t="s">
        <v>6601</v>
      </c>
      <c r="C2313" s="52" t="s">
        <v>823</v>
      </c>
    </row>
    <row r="2314" spans="1:3" hidden="1" x14ac:dyDescent="0.25">
      <c r="A2314" s="52" t="s">
        <v>3267</v>
      </c>
      <c r="B2314" s="52" t="s">
        <v>6602</v>
      </c>
      <c r="C2314" s="52" t="s">
        <v>823</v>
      </c>
    </row>
    <row r="2315" spans="1:3" hidden="1" x14ac:dyDescent="0.25">
      <c r="A2315" s="52" t="s">
        <v>3268</v>
      </c>
      <c r="B2315" s="52" t="s">
        <v>6603</v>
      </c>
      <c r="C2315" s="52" t="s">
        <v>823</v>
      </c>
    </row>
    <row r="2316" spans="1:3" hidden="1" x14ac:dyDescent="0.25">
      <c r="A2316" s="52" t="s">
        <v>3269</v>
      </c>
      <c r="B2316" s="52" t="s">
        <v>6604</v>
      </c>
      <c r="C2316" s="52" t="s">
        <v>823</v>
      </c>
    </row>
    <row r="2317" spans="1:3" hidden="1" x14ac:dyDescent="0.25">
      <c r="A2317" s="52" t="s">
        <v>3270</v>
      </c>
      <c r="B2317" s="52" t="s">
        <v>6605</v>
      </c>
      <c r="C2317" s="52" t="s">
        <v>823</v>
      </c>
    </row>
    <row r="2318" spans="1:3" hidden="1" x14ac:dyDescent="0.25">
      <c r="A2318" s="52" t="s">
        <v>3271</v>
      </c>
      <c r="B2318" s="52" t="s">
        <v>6606</v>
      </c>
      <c r="C2318" s="52" t="s">
        <v>823</v>
      </c>
    </row>
    <row r="2319" spans="1:3" hidden="1" x14ac:dyDescent="0.25">
      <c r="A2319" s="52" t="s">
        <v>3272</v>
      </c>
      <c r="B2319" s="52" t="s">
        <v>6607</v>
      </c>
      <c r="C2319" s="52" t="s">
        <v>823</v>
      </c>
    </row>
    <row r="2320" spans="1:3" hidden="1" x14ac:dyDescent="0.25">
      <c r="A2320" s="52" t="s">
        <v>3273</v>
      </c>
      <c r="B2320" s="52" t="s">
        <v>6608</v>
      </c>
      <c r="C2320" s="52" t="s">
        <v>823</v>
      </c>
    </row>
    <row r="2321" spans="1:3" hidden="1" x14ac:dyDescent="0.25">
      <c r="A2321" s="52" t="s">
        <v>3274</v>
      </c>
      <c r="B2321" s="52" t="s">
        <v>6609</v>
      </c>
      <c r="C2321" s="52" t="s">
        <v>823</v>
      </c>
    </row>
    <row r="2322" spans="1:3" hidden="1" x14ac:dyDescent="0.25">
      <c r="A2322" s="52" t="s">
        <v>3275</v>
      </c>
      <c r="B2322" s="52" t="s">
        <v>6610</v>
      </c>
      <c r="C2322" s="52" t="s">
        <v>823</v>
      </c>
    </row>
    <row r="2323" spans="1:3" hidden="1" x14ac:dyDescent="0.25">
      <c r="A2323" s="52" t="s">
        <v>3276</v>
      </c>
      <c r="B2323" s="52" t="s">
        <v>6611</v>
      </c>
      <c r="C2323" s="52" t="s">
        <v>823</v>
      </c>
    </row>
    <row r="2324" spans="1:3" hidden="1" x14ac:dyDescent="0.25">
      <c r="A2324" s="52" t="s">
        <v>3277</v>
      </c>
      <c r="B2324" s="52" t="s">
        <v>6612</v>
      </c>
      <c r="C2324" s="52" t="s">
        <v>823</v>
      </c>
    </row>
    <row r="2325" spans="1:3" hidden="1" x14ac:dyDescent="0.25">
      <c r="A2325" s="52" t="s">
        <v>3278</v>
      </c>
      <c r="B2325" s="52" t="s">
        <v>5543</v>
      </c>
      <c r="C2325" s="52" t="s">
        <v>823</v>
      </c>
    </row>
    <row r="2326" spans="1:3" hidden="1" x14ac:dyDescent="0.25">
      <c r="A2326" s="52" t="s">
        <v>3279</v>
      </c>
      <c r="B2326" s="52" t="s">
        <v>5292</v>
      </c>
      <c r="C2326" s="52" t="s">
        <v>823</v>
      </c>
    </row>
    <row r="2327" spans="1:3" hidden="1" x14ac:dyDescent="0.25">
      <c r="A2327" s="52" t="s">
        <v>3280</v>
      </c>
      <c r="B2327" s="52" t="s">
        <v>6613</v>
      </c>
      <c r="C2327" s="52" t="s">
        <v>823</v>
      </c>
    </row>
    <row r="2328" spans="1:3" hidden="1" x14ac:dyDescent="0.25">
      <c r="A2328" s="52" t="s">
        <v>3281</v>
      </c>
      <c r="B2328" s="52" t="s">
        <v>6614</v>
      </c>
      <c r="C2328" s="52" t="s">
        <v>823</v>
      </c>
    </row>
    <row r="2329" spans="1:3" hidden="1" x14ac:dyDescent="0.25">
      <c r="A2329" s="52" t="s">
        <v>3282</v>
      </c>
      <c r="B2329" s="52" t="s">
        <v>6615</v>
      </c>
      <c r="C2329" s="52" t="s">
        <v>823</v>
      </c>
    </row>
    <row r="2330" spans="1:3" hidden="1" x14ac:dyDescent="0.25">
      <c r="A2330" s="52" t="s">
        <v>3283</v>
      </c>
      <c r="B2330" s="52" t="s">
        <v>6616</v>
      </c>
      <c r="C2330" s="52" t="s">
        <v>823</v>
      </c>
    </row>
    <row r="2331" spans="1:3" hidden="1" x14ac:dyDescent="0.25">
      <c r="A2331" s="52" t="s">
        <v>3284</v>
      </c>
      <c r="B2331" s="52" t="s">
        <v>6617</v>
      </c>
      <c r="C2331" s="52" t="s">
        <v>823</v>
      </c>
    </row>
    <row r="2332" spans="1:3" hidden="1" x14ac:dyDescent="0.25">
      <c r="A2332" s="52" t="s">
        <v>3285</v>
      </c>
      <c r="B2332" s="52" t="s">
        <v>6618</v>
      </c>
      <c r="C2332" s="52" t="s">
        <v>823</v>
      </c>
    </row>
    <row r="2333" spans="1:3" hidden="1" x14ac:dyDescent="0.25">
      <c r="A2333" s="52" t="s">
        <v>3286</v>
      </c>
      <c r="B2333" s="52" t="s">
        <v>6619</v>
      </c>
      <c r="C2333" s="52" t="s">
        <v>823</v>
      </c>
    </row>
    <row r="2334" spans="1:3" hidden="1" x14ac:dyDescent="0.25">
      <c r="A2334" s="52" t="s">
        <v>3287</v>
      </c>
      <c r="B2334" s="52" t="s">
        <v>6620</v>
      </c>
      <c r="C2334" s="52" t="s">
        <v>823</v>
      </c>
    </row>
    <row r="2335" spans="1:3" hidden="1" x14ac:dyDescent="0.25">
      <c r="A2335" s="52" t="s">
        <v>3288</v>
      </c>
      <c r="B2335" s="52" t="s">
        <v>6621</v>
      </c>
      <c r="C2335" s="52" t="s">
        <v>823</v>
      </c>
    </row>
    <row r="2336" spans="1:3" hidden="1" x14ac:dyDescent="0.25">
      <c r="A2336" s="52" t="s">
        <v>3289</v>
      </c>
      <c r="B2336" s="52" t="s">
        <v>6622</v>
      </c>
      <c r="C2336" s="52" t="s">
        <v>823</v>
      </c>
    </row>
    <row r="2337" spans="1:3" hidden="1" x14ac:dyDescent="0.25">
      <c r="A2337" s="52" t="s">
        <v>3290</v>
      </c>
      <c r="B2337" s="52" t="s">
        <v>6623</v>
      </c>
      <c r="C2337" s="52" t="s">
        <v>823</v>
      </c>
    </row>
    <row r="2338" spans="1:3" hidden="1" x14ac:dyDescent="0.25">
      <c r="A2338" s="52" t="s">
        <v>3291</v>
      </c>
      <c r="B2338" s="52" t="s">
        <v>6624</v>
      </c>
      <c r="C2338" s="52" t="s">
        <v>823</v>
      </c>
    </row>
    <row r="2339" spans="1:3" hidden="1" x14ac:dyDescent="0.25">
      <c r="A2339" s="52" t="s">
        <v>3292</v>
      </c>
      <c r="B2339" s="52" t="s">
        <v>6625</v>
      </c>
      <c r="C2339" s="52" t="s">
        <v>823</v>
      </c>
    </row>
    <row r="2340" spans="1:3" hidden="1" x14ac:dyDescent="0.25">
      <c r="A2340" s="52" t="s">
        <v>3293</v>
      </c>
      <c r="B2340" s="52" t="s">
        <v>6626</v>
      </c>
      <c r="C2340" s="52" t="s">
        <v>823</v>
      </c>
    </row>
    <row r="2341" spans="1:3" hidden="1" x14ac:dyDescent="0.25">
      <c r="A2341" s="52" t="s">
        <v>3294</v>
      </c>
      <c r="B2341" s="52" t="s">
        <v>6627</v>
      </c>
      <c r="C2341" s="52" t="s">
        <v>823</v>
      </c>
    </row>
    <row r="2342" spans="1:3" hidden="1" x14ac:dyDescent="0.25">
      <c r="A2342" s="52" t="s">
        <v>3295</v>
      </c>
      <c r="B2342" s="52" t="s">
        <v>6628</v>
      </c>
      <c r="C2342" s="52" t="s">
        <v>823</v>
      </c>
    </row>
    <row r="2343" spans="1:3" hidden="1" x14ac:dyDescent="0.25">
      <c r="A2343" s="52" t="s">
        <v>3296</v>
      </c>
      <c r="B2343" s="52" t="s">
        <v>6629</v>
      </c>
      <c r="C2343" s="52" t="s">
        <v>823</v>
      </c>
    </row>
    <row r="2344" spans="1:3" hidden="1" x14ac:dyDescent="0.25">
      <c r="A2344" s="52" t="s">
        <v>3297</v>
      </c>
      <c r="B2344" s="52" t="s">
        <v>6630</v>
      </c>
      <c r="C2344" s="52" t="s">
        <v>823</v>
      </c>
    </row>
    <row r="2345" spans="1:3" hidden="1" x14ac:dyDescent="0.25">
      <c r="A2345" s="52" t="s">
        <v>3298</v>
      </c>
      <c r="B2345" s="52" t="s">
        <v>6631</v>
      </c>
      <c r="C2345" s="52" t="s">
        <v>823</v>
      </c>
    </row>
    <row r="2346" spans="1:3" hidden="1" x14ac:dyDescent="0.25">
      <c r="A2346" s="52" t="s">
        <v>3299</v>
      </c>
      <c r="B2346" s="52" t="s">
        <v>6632</v>
      </c>
      <c r="C2346" s="52" t="s">
        <v>823</v>
      </c>
    </row>
    <row r="2347" spans="1:3" hidden="1" x14ac:dyDescent="0.25">
      <c r="A2347" s="52" t="s">
        <v>3300</v>
      </c>
      <c r="B2347" s="52" t="s">
        <v>6633</v>
      </c>
      <c r="C2347" s="52" t="s">
        <v>823</v>
      </c>
    </row>
    <row r="2348" spans="1:3" hidden="1" x14ac:dyDescent="0.25">
      <c r="A2348" s="52" t="s">
        <v>3301</v>
      </c>
      <c r="B2348" s="52" t="s">
        <v>6634</v>
      </c>
      <c r="C2348" s="52" t="s">
        <v>823</v>
      </c>
    </row>
    <row r="2349" spans="1:3" hidden="1" x14ac:dyDescent="0.25">
      <c r="A2349" s="52" t="s">
        <v>3302</v>
      </c>
      <c r="B2349" s="52" t="s">
        <v>6148</v>
      </c>
      <c r="C2349" s="52" t="s">
        <v>823</v>
      </c>
    </row>
    <row r="2350" spans="1:3" hidden="1" x14ac:dyDescent="0.25">
      <c r="A2350" s="52" t="s">
        <v>3303</v>
      </c>
      <c r="B2350" s="52" t="s">
        <v>6635</v>
      </c>
      <c r="C2350" s="52" t="s">
        <v>823</v>
      </c>
    </row>
    <row r="2351" spans="1:3" hidden="1" x14ac:dyDescent="0.25">
      <c r="A2351" s="52" t="s">
        <v>3304</v>
      </c>
      <c r="B2351" s="52" t="s">
        <v>6636</v>
      </c>
      <c r="C2351" s="52" t="s">
        <v>823</v>
      </c>
    </row>
    <row r="2352" spans="1:3" hidden="1" x14ac:dyDescent="0.25">
      <c r="A2352" s="52" t="s">
        <v>3305</v>
      </c>
      <c r="B2352" s="52" t="s">
        <v>6637</v>
      </c>
      <c r="C2352" s="52" t="s">
        <v>823</v>
      </c>
    </row>
    <row r="2353" spans="1:3" hidden="1" x14ac:dyDescent="0.25">
      <c r="A2353" s="52" t="s">
        <v>3306</v>
      </c>
      <c r="B2353" s="52" t="s">
        <v>6638</v>
      </c>
      <c r="C2353" s="52" t="s">
        <v>823</v>
      </c>
    </row>
    <row r="2354" spans="1:3" hidden="1" x14ac:dyDescent="0.25">
      <c r="A2354" s="52" t="s">
        <v>3307</v>
      </c>
      <c r="B2354" s="52" t="s">
        <v>6639</v>
      </c>
      <c r="C2354" s="52" t="s">
        <v>823</v>
      </c>
    </row>
    <row r="2355" spans="1:3" hidden="1" x14ac:dyDescent="0.25">
      <c r="A2355" s="52" t="s">
        <v>3308</v>
      </c>
      <c r="B2355" s="52" t="s">
        <v>6640</v>
      </c>
      <c r="C2355" s="52" t="s">
        <v>823</v>
      </c>
    </row>
    <row r="2356" spans="1:3" hidden="1" x14ac:dyDescent="0.25">
      <c r="A2356" s="52" t="s">
        <v>3309</v>
      </c>
      <c r="B2356" s="52" t="s">
        <v>6641</v>
      </c>
      <c r="C2356" s="52" t="s">
        <v>823</v>
      </c>
    </row>
    <row r="2357" spans="1:3" hidden="1" x14ac:dyDescent="0.25">
      <c r="A2357" s="52" t="s">
        <v>3310</v>
      </c>
      <c r="B2357" s="52" t="s">
        <v>5550</v>
      </c>
      <c r="C2357" s="52" t="s">
        <v>823</v>
      </c>
    </row>
    <row r="2358" spans="1:3" hidden="1" x14ac:dyDescent="0.25">
      <c r="A2358" s="52" t="s">
        <v>3311</v>
      </c>
      <c r="B2358" s="52" t="s">
        <v>6642</v>
      </c>
      <c r="C2358" s="52" t="s">
        <v>823</v>
      </c>
    </row>
    <row r="2359" spans="1:3" hidden="1" x14ac:dyDescent="0.25">
      <c r="A2359" s="52" t="s">
        <v>3312</v>
      </c>
      <c r="B2359" s="52" t="s">
        <v>6437</v>
      </c>
      <c r="C2359" s="52" t="s">
        <v>823</v>
      </c>
    </row>
    <row r="2360" spans="1:3" hidden="1" x14ac:dyDescent="0.25">
      <c r="A2360" s="52" t="s">
        <v>3313</v>
      </c>
      <c r="B2360" s="52" t="s">
        <v>6643</v>
      </c>
      <c r="C2360" s="52" t="s">
        <v>823</v>
      </c>
    </row>
    <row r="2361" spans="1:3" hidden="1" x14ac:dyDescent="0.25">
      <c r="A2361" s="52" t="s">
        <v>3314</v>
      </c>
      <c r="B2361" s="52" t="s">
        <v>6644</v>
      </c>
      <c r="C2361" s="52" t="s">
        <v>823</v>
      </c>
    </row>
    <row r="2362" spans="1:3" hidden="1" x14ac:dyDescent="0.25">
      <c r="A2362" s="52" t="s">
        <v>3315</v>
      </c>
      <c r="B2362" s="52" t="s">
        <v>6645</v>
      </c>
      <c r="C2362" s="52" t="s">
        <v>823</v>
      </c>
    </row>
    <row r="2363" spans="1:3" hidden="1" x14ac:dyDescent="0.25">
      <c r="A2363" s="52" t="s">
        <v>3316</v>
      </c>
      <c r="B2363" s="52" t="s">
        <v>6646</v>
      </c>
      <c r="C2363" s="52" t="s">
        <v>823</v>
      </c>
    </row>
    <row r="2364" spans="1:3" hidden="1" x14ac:dyDescent="0.25">
      <c r="A2364" s="52" t="s">
        <v>3317</v>
      </c>
      <c r="B2364" s="52" t="s">
        <v>6647</v>
      </c>
      <c r="C2364" s="52" t="s">
        <v>823</v>
      </c>
    </row>
    <row r="2365" spans="1:3" hidden="1" x14ac:dyDescent="0.25">
      <c r="A2365" s="52" t="s">
        <v>3318</v>
      </c>
      <c r="B2365" s="52" t="s">
        <v>6648</v>
      </c>
      <c r="C2365" s="52" t="s">
        <v>823</v>
      </c>
    </row>
    <row r="2366" spans="1:3" hidden="1" x14ac:dyDescent="0.25">
      <c r="A2366" s="52" t="s">
        <v>3319</v>
      </c>
      <c r="B2366" s="52" t="s">
        <v>6649</v>
      </c>
      <c r="C2366" s="52" t="s">
        <v>823</v>
      </c>
    </row>
    <row r="2367" spans="1:3" hidden="1" x14ac:dyDescent="0.25">
      <c r="A2367" s="52" t="s">
        <v>3320</v>
      </c>
      <c r="B2367" s="52" t="s">
        <v>6650</v>
      </c>
      <c r="C2367" s="52" t="s">
        <v>823</v>
      </c>
    </row>
    <row r="2368" spans="1:3" hidden="1" x14ac:dyDescent="0.25">
      <c r="A2368" s="52" t="s">
        <v>3321</v>
      </c>
      <c r="B2368" s="52" t="s">
        <v>6651</v>
      </c>
      <c r="C2368" s="52" t="s">
        <v>823</v>
      </c>
    </row>
    <row r="2369" spans="1:3" hidden="1" x14ac:dyDescent="0.25">
      <c r="A2369" s="52" t="s">
        <v>3322</v>
      </c>
      <c r="B2369" s="52" t="s">
        <v>6652</v>
      </c>
      <c r="C2369" s="52" t="s">
        <v>823</v>
      </c>
    </row>
    <row r="2370" spans="1:3" hidden="1" x14ac:dyDescent="0.25">
      <c r="A2370" s="52" t="s">
        <v>3323</v>
      </c>
      <c r="B2370" s="52" t="s">
        <v>6653</v>
      </c>
      <c r="C2370" s="52" t="s">
        <v>823</v>
      </c>
    </row>
    <row r="2371" spans="1:3" hidden="1" x14ac:dyDescent="0.25">
      <c r="A2371" s="52" t="s">
        <v>3324</v>
      </c>
      <c r="B2371" s="52" t="s">
        <v>5666</v>
      </c>
      <c r="C2371" s="52" t="s">
        <v>823</v>
      </c>
    </row>
    <row r="2372" spans="1:3" hidden="1" x14ac:dyDescent="0.25">
      <c r="A2372" s="52" t="s">
        <v>3325</v>
      </c>
      <c r="B2372" s="52" t="s">
        <v>6654</v>
      </c>
      <c r="C2372" s="52" t="s">
        <v>823</v>
      </c>
    </row>
    <row r="2373" spans="1:3" hidden="1" x14ac:dyDescent="0.25">
      <c r="A2373" s="52" t="s">
        <v>3326</v>
      </c>
      <c r="B2373" s="52" t="s">
        <v>6655</v>
      </c>
      <c r="C2373" s="52" t="s">
        <v>823</v>
      </c>
    </row>
    <row r="2374" spans="1:3" hidden="1" x14ac:dyDescent="0.25">
      <c r="A2374" s="52" t="s">
        <v>3327</v>
      </c>
      <c r="B2374" s="52" t="s">
        <v>6656</v>
      </c>
      <c r="C2374" s="52" t="s">
        <v>823</v>
      </c>
    </row>
    <row r="2375" spans="1:3" hidden="1" x14ac:dyDescent="0.25">
      <c r="A2375" s="52" t="s">
        <v>3328</v>
      </c>
      <c r="B2375" s="52" t="s">
        <v>6657</v>
      </c>
      <c r="C2375" s="52" t="s">
        <v>823</v>
      </c>
    </row>
    <row r="2376" spans="1:3" hidden="1" x14ac:dyDescent="0.25">
      <c r="A2376" s="52" t="s">
        <v>3329</v>
      </c>
      <c r="B2376" s="52" t="s">
        <v>6658</v>
      </c>
      <c r="C2376" s="52" t="s">
        <v>823</v>
      </c>
    </row>
    <row r="2377" spans="1:3" hidden="1" x14ac:dyDescent="0.25">
      <c r="A2377" s="52" t="s">
        <v>3330</v>
      </c>
      <c r="B2377" s="52" t="s">
        <v>6659</v>
      </c>
      <c r="C2377" s="52" t="s">
        <v>823</v>
      </c>
    </row>
    <row r="2378" spans="1:3" hidden="1" x14ac:dyDescent="0.25">
      <c r="A2378" s="52" t="s">
        <v>3331</v>
      </c>
      <c r="B2378" s="52" t="s">
        <v>6660</v>
      </c>
      <c r="C2378" s="52" t="s">
        <v>823</v>
      </c>
    </row>
    <row r="2379" spans="1:3" hidden="1" x14ac:dyDescent="0.25">
      <c r="A2379" s="52" t="s">
        <v>3332</v>
      </c>
      <c r="B2379" s="52" t="s">
        <v>6661</v>
      </c>
      <c r="C2379" s="52" t="s">
        <v>823</v>
      </c>
    </row>
    <row r="2380" spans="1:3" hidden="1" x14ac:dyDescent="0.25">
      <c r="A2380" s="52" t="s">
        <v>3333</v>
      </c>
      <c r="B2380" s="52" t="s">
        <v>6662</v>
      </c>
      <c r="C2380" s="52" t="s">
        <v>823</v>
      </c>
    </row>
    <row r="2381" spans="1:3" hidden="1" x14ac:dyDescent="0.25">
      <c r="A2381" s="52" t="s">
        <v>3334</v>
      </c>
      <c r="B2381" s="52" t="s">
        <v>6663</v>
      </c>
      <c r="C2381" s="52" t="s">
        <v>823</v>
      </c>
    </row>
    <row r="2382" spans="1:3" hidden="1" x14ac:dyDescent="0.25">
      <c r="A2382" s="52" t="s">
        <v>3335</v>
      </c>
      <c r="B2382" s="52" t="s">
        <v>6467</v>
      </c>
      <c r="C2382" s="52" t="s">
        <v>823</v>
      </c>
    </row>
    <row r="2383" spans="1:3" hidden="1" x14ac:dyDescent="0.25">
      <c r="A2383" s="52" t="s">
        <v>3336</v>
      </c>
      <c r="B2383" s="52" t="s">
        <v>6664</v>
      </c>
      <c r="C2383" s="52" t="s">
        <v>823</v>
      </c>
    </row>
    <row r="2384" spans="1:3" hidden="1" x14ac:dyDescent="0.25">
      <c r="A2384" s="52" t="s">
        <v>3337</v>
      </c>
      <c r="B2384" s="52" t="s">
        <v>6665</v>
      </c>
      <c r="C2384" s="52" t="s">
        <v>823</v>
      </c>
    </row>
    <row r="2385" spans="1:3" hidden="1" x14ac:dyDescent="0.25">
      <c r="A2385" s="52" t="s">
        <v>3338</v>
      </c>
      <c r="B2385" s="52" t="s">
        <v>6666</v>
      </c>
      <c r="C2385" s="52" t="s">
        <v>823</v>
      </c>
    </row>
    <row r="2386" spans="1:3" hidden="1" x14ac:dyDescent="0.25">
      <c r="A2386" s="52" t="s">
        <v>3339</v>
      </c>
      <c r="B2386" s="52" t="s">
        <v>6667</v>
      </c>
      <c r="C2386" s="52" t="s">
        <v>823</v>
      </c>
    </row>
    <row r="2387" spans="1:3" hidden="1" x14ac:dyDescent="0.25">
      <c r="A2387" s="52" t="s">
        <v>3340</v>
      </c>
      <c r="B2387" s="52" t="s">
        <v>6668</v>
      </c>
      <c r="C2387" s="52" t="s">
        <v>823</v>
      </c>
    </row>
    <row r="2388" spans="1:3" hidden="1" x14ac:dyDescent="0.25">
      <c r="A2388" s="52" t="s">
        <v>3341</v>
      </c>
      <c r="B2388" s="52" t="s">
        <v>6669</v>
      </c>
      <c r="C2388" s="52" t="s">
        <v>823</v>
      </c>
    </row>
    <row r="2389" spans="1:3" hidden="1" x14ac:dyDescent="0.25">
      <c r="A2389" s="52" t="s">
        <v>3342</v>
      </c>
      <c r="B2389" s="52" t="s">
        <v>6670</v>
      </c>
      <c r="C2389" s="52" t="s">
        <v>823</v>
      </c>
    </row>
    <row r="2390" spans="1:3" hidden="1" x14ac:dyDescent="0.25">
      <c r="A2390" s="52" t="s">
        <v>3343</v>
      </c>
      <c r="B2390" s="52" t="s">
        <v>6671</v>
      </c>
      <c r="C2390" s="52" t="s">
        <v>823</v>
      </c>
    </row>
    <row r="2391" spans="1:3" hidden="1" x14ac:dyDescent="0.25">
      <c r="A2391" s="52" t="s">
        <v>3344</v>
      </c>
      <c r="B2391" s="52" t="s">
        <v>6672</v>
      </c>
      <c r="C2391" s="52" t="s">
        <v>823</v>
      </c>
    </row>
    <row r="2392" spans="1:3" hidden="1" x14ac:dyDescent="0.25">
      <c r="A2392" s="52" t="s">
        <v>3345</v>
      </c>
      <c r="B2392" s="52" t="s">
        <v>6673</v>
      </c>
      <c r="C2392" s="52" t="s">
        <v>823</v>
      </c>
    </row>
    <row r="2393" spans="1:3" hidden="1" x14ac:dyDescent="0.25">
      <c r="A2393" s="52" t="s">
        <v>3346</v>
      </c>
      <c r="B2393" s="52" t="s">
        <v>6674</v>
      </c>
      <c r="C2393" s="52" t="s">
        <v>823</v>
      </c>
    </row>
    <row r="2394" spans="1:3" hidden="1" x14ac:dyDescent="0.25">
      <c r="A2394" s="52" t="s">
        <v>3347</v>
      </c>
      <c r="B2394" s="52" t="s">
        <v>6675</v>
      </c>
      <c r="C2394" s="52" t="s">
        <v>823</v>
      </c>
    </row>
    <row r="2395" spans="1:3" hidden="1" x14ac:dyDescent="0.25">
      <c r="A2395" s="52" t="s">
        <v>3348</v>
      </c>
      <c r="B2395" s="52" t="s">
        <v>6676</v>
      </c>
      <c r="C2395" s="52" t="s">
        <v>823</v>
      </c>
    </row>
    <row r="2396" spans="1:3" hidden="1" x14ac:dyDescent="0.25">
      <c r="A2396" s="52" t="s">
        <v>3349</v>
      </c>
      <c r="B2396" s="52" t="s">
        <v>6677</v>
      </c>
      <c r="C2396" s="52" t="s">
        <v>823</v>
      </c>
    </row>
    <row r="2397" spans="1:3" hidden="1" x14ac:dyDescent="0.25">
      <c r="A2397" s="52" t="s">
        <v>3350</v>
      </c>
      <c r="B2397" s="52" t="s">
        <v>6678</v>
      </c>
      <c r="C2397" s="52" t="s">
        <v>823</v>
      </c>
    </row>
    <row r="2398" spans="1:3" hidden="1" x14ac:dyDescent="0.25">
      <c r="A2398" s="52" t="s">
        <v>3351</v>
      </c>
      <c r="B2398" s="52" t="s">
        <v>6679</v>
      </c>
      <c r="C2398" s="52" t="s">
        <v>823</v>
      </c>
    </row>
    <row r="2399" spans="1:3" hidden="1" x14ac:dyDescent="0.25">
      <c r="A2399" s="52" t="s">
        <v>3352</v>
      </c>
      <c r="B2399" s="52" t="s">
        <v>6226</v>
      </c>
      <c r="C2399" s="52" t="s">
        <v>823</v>
      </c>
    </row>
    <row r="2400" spans="1:3" hidden="1" x14ac:dyDescent="0.25">
      <c r="A2400" s="52" t="s">
        <v>3353</v>
      </c>
      <c r="B2400" s="52" t="s">
        <v>6680</v>
      </c>
      <c r="C2400" s="52" t="s">
        <v>823</v>
      </c>
    </row>
    <row r="2401" spans="1:3" hidden="1" x14ac:dyDescent="0.25">
      <c r="A2401" s="52" t="s">
        <v>3354</v>
      </c>
      <c r="B2401" s="52" t="s">
        <v>6681</v>
      </c>
      <c r="C2401" s="52" t="s">
        <v>823</v>
      </c>
    </row>
    <row r="2402" spans="1:3" hidden="1" x14ac:dyDescent="0.25">
      <c r="A2402" s="52" t="s">
        <v>3355</v>
      </c>
      <c r="B2402" s="52" t="s">
        <v>6682</v>
      </c>
      <c r="C2402" s="52" t="s">
        <v>823</v>
      </c>
    </row>
    <row r="2403" spans="1:3" hidden="1" x14ac:dyDescent="0.25">
      <c r="A2403" s="52" t="s">
        <v>3356</v>
      </c>
      <c r="B2403" s="52" t="s">
        <v>6683</v>
      </c>
      <c r="C2403" s="52" t="s">
        <v>823</v>
      </c>
    </row>
    <row r="2404" spans="1:3" hidden="1" x14ac:dyDescent="0.25">
      <c r="A2404" s="52" t="s">
        <v>3357</v>
      </c>
      <c r="B2404" s="52" t="s">
        <v>5086</v>
      </c>
      <c r="C2404" s="52" t="s">
        <v>823</v>
      </c>
    </row>
    <row r="2405" spans="1:3" hidden="1" x14ac:dyDescent="0.25">
      <c r="A2405" s="52" t="s">
        <v>3358</v>
      </c>
      <c r="B2405" s="52" t="s">
        <v>6684</v>
      </c>
      <c r="C2405" s="52" t="s">
        <v>823</v>
      </c>
    </row>
    <row r="2406" spans="1:3" hidden="1" x14ac:dyDescent="0.25">
      <c r="A2406" s="52" t="s">
        <v>3359</v>
      </c>
      <c r="B2406" s="52" t="s">
        <v>6685</v>
      </c>
      <c r="C2406" s="52" t="s">
        <v>823</v>
      </c>
    </row>
    <row r="2407" spans="1:3" hidden="1" x14ac:dyDescent="0.25">
      <c r="A2407" s="52" t="s">
        <v>3360</v>
      </c>
      <c r="B2407" s="52" t="s">
        <v>6686</v>
      </c>
      <c r="C2407" s="52" t="s">
        <v>823</v>
      </c>
    </row>
    <row r="2408" spans="1:3" hidden="1" x14ac:dyDescent="0.25">
      <c r="A2408" s="52" t="s">
        <v>3361</v>
      </c>
      <c r="B2408" s="52" t="s">
        <v>5870</v>
      </c>
      <c r="C2408" s="52" t="s">
        <v>823</v>
      </c>
    </row>
    <row r="2409" spans="1:3" hidden="1" x14ac:dyDescent="0.25">
      <c r="A2409" s="52" t="s">
        <v>3362</v>
      </c>
      <c r="B2409" s="52" t="s">
        <v>6687</v>
      </c>
      <c r="C2409" s="52" t="s">
        <v>823</v>
      </c>
    </row>
    <row r="2410" spans="1:3" hidden="1" x14ac:dyDescent="0.25">
      <c r="A2410" s="52" t="s">
        <v>3363</v>
      </c>
      <c r="B2410" s="52" t="s">
        <v>6688</v>
      </c>
      <c r="C2410" s="52" t="s">
        <v>823</v>
      </c>
    </row>
    <row r="2411" spans="1:3" hidden="1" x14ac:dyDescent="0.25">
      <c r="A2411" s="52" t="s">
        <v>3364</v>
      </c>
      <c r="B2411" s="52" t="s">
        <v>6689</v>
      </c>
      <c r="C2411" s="52" t="s">
        <v>823</v>
      </c>
    </row>
    <row r="2412" spans="1:3" hidden="1" x14ac:dyDescent="0.25">
      <c r="A2412" s="52" t="s">
        <v>3365</v>
      </c>
      <c r="B2412" s="52" t="s">
        <v>6690</v>
      </c>
      <c r="C2412" s="52" t="s">
        <v>825</v>
      </c>
    </row>
    <row r="2413" spans="1:3" hidden="1" x14ac:dyDescent="0.25">
      <c r="A2413" s="52" t="s">
        <v>3366</v>
      </c>
      <c r="B2413" s="52" t="s">
        <v>6691</v>
      </c>
      <c r="C2413" s="52" t="s">
        <v>825</v>
      </c>
    </row>
    <row r="2414" spans="1:3" hidden="1" x14ac:dyDescent="0.25">
      <c r="A2414" s="52" t="s">
        <v>3367</v>
      </c>
      <c r="B2414" s="52" t="s">
        <v>6692</v>
      </c>
      <c r="C2414" s="52" t="s">
        <v>825</v>
      </c>
    </row>
    <row r="2415" spans="1:3" hidden="1" x14ac:dyDescent="0.25">
      <c r="A2415" s="52" t="s">
        <v>3368</v>
      </c>
      <c r="B2415" s="52" t="s">
        <v>6693</v>
      </c>
      <c r="C2415" s="52" t="s">
        <v>825</v>
      </c>
    </row>
    <row r="2416" spans="1:3" hidden="1" x14ac:dyDescent="0.25">
      <c r="A2416" s="52" t="s">
        <v>3369</v>
      </c>
      <c r="B2416" s="52" t="s">
        <v>6573</v>
      </c>
      <c r="C2416" s="52" t="s">
        <v>825</v>
      </c>
    </row>
    <row r="2417" spans="1:3" hidden="1" x14ac:dyDescent="0.25">
      <c r="A2417" s="52" t="s">
        <v>3370</v>
      </c>
      <c r="B2417" s="52" t="s">
        <v>6694</v>
      </c>
      <c r="C2417" s="52" t="s">
        <v>825</v>
      </c>
    </row>
    <row r="2418" spans="1:3" hidden="1" x14ac:dyDescent="0.25">
      <c r="A2418" s="52" t="s">
        <v>3371</v>
      </c>
      <c r="B2418" s="52" t="s">
        <v>6695</v>
      </c>
      <c r="C2418" s="52" t="s">
        <v>825</v>
      </c>
    </row>
    <row r="2419" spans="1:3" hidden="1" x14ac:dyDescent="0.25">
      <c r="A2419" s="52" t="s">
        <v>3372</v>
      </c>
      <c r="B2419" s="52" t="s">
        <v>6696</v>
      </c>
      <c r="C2419" s="52" t="s">
        <v>825</v>
      </c>
    </row>
    <row r="2420" spans="1:3" hidden="1" x14ac:dyDescent="0.25">
      <c r="A2420" s="52" t="s">
        <v>3373</v>
      </c>
      <c r="B2420" s="52" t="s">
        <v>6697</v>
      </c>
      <c r="C2420" s="52" t="s">
        <v>825</v>
      </c>
    </row>
    <row r="2421" spans="1:3" hidden="1" x14ac:dyDescent="0.25">
      <c r="A2421" s="52" t="s">
        <v>3374</v>
      </c>
      <c r="B2421" s="52" t="s">
        <v>5464</v>
      </c>
      <c r="C2421" s="52" t="s">
        <v>825</v>
      </c>
    </row>
    <row r="2422" spans="1:3" hidden="1" x14ac:dyDescent="0.25">
      <c r="A2422" s="52" t="s">
        <v>3375</v>
      </c>
      <c r="B2422" s="52" t="s">
        <v>6698</v>
      </c>
      <c r="C2422" s="52" t="s">
        <v>825</v>
      </c>
    </row>
    <row r="2423" spans="1:3" hidden="1" x14ac:dyDescent="0.25">
      <c r="A2423" s="52" t="s">
        <v>3376</v>
      </c>
      <c r="B2423" s="52" t="s">
        <v>6699</v>
      </c>
      <c r="C2423" s="52" t="s">
        <v>825</v>
      </c>
    </row>
    <row r="2424" spans="1:3" hidden="1" x14ac:dyDescent="0.25">
      <c r="A2424" s="52" t="s">
        <v>3377</v>
      </c>
      <c r="B2424" s="52" t="s">
        <v>6700</v>
      </c>
      <c r="C2424" s="52" t="s">
        <v>825</v>
      </c>
    </row>
    <row r="2425" spans="1:3" hidden="1" x14ac:dyDescent="0.25">
      <c r="A2425" s="52" t="s">
        <v>3378</v>
      </c>
      <c r="B2425" s="52" t="s">
        <v>6701</v>
      </c>
      <c r="C2425" s="52" t="s">
        <v>825</v>
      </c>
    </row>
    <row r="2426" spans="1:3" hidden="1" x14ac:dyDescent="0.25">
      <c r="A2426" s="52" t="s">
        <v>3379</v>
      </c>
      <c r="B2426" s="52" t="s">
        <v>6702</v>
      </c>
      <c r="C2426" s="52" t="s">
        <v>825</v>
      </c>
    </row>
    <row r="2427" spans="1:3" hidden="1" x14ac:dyDescent="0.25">
      <c r="A2427" s="52" t="s">
        <v>3380</v>
      </c>
      <c r="B2427" s="52" t="s">
        <v>6703</v>
      </c>
      <c r="C2427" s="52" t="s">
        <v>825</v>
      </c>
    </row>
    <row r="2428" spans="1:3" hidden="1" x14ac:dyDescent="0.25">
      <c r="A2428" s="52" t="s">
        <v>3381</v>
      </c>
      <c r="B2428" s="52" t="s">
        <v>6704</v>
      </c>
      <c r="C2428" s="52" t="s">
        <v>825</v>
      </c>
    </row>
    <row r="2429" spans="1:3" hidden="1" x14ac:dyDescent="0.25">
      <c r="A2429" s="52" t="s">
        <v>3382</v>
      </c>
      <c r="B2429" s="52" t="s">
        <v>6705</v>
      </c>
      <c r="C2429" s="52" t="s">
        <v>825</v>
      </c>
    </row>
    <row r="2430" spans="1:3" hidden="1" x14ac:dyDescent="0.25">
      <c r="A2430" s="52" t="s">
        <v>3383</v>
      </c>
      <c r="B2430" s="52" t="s">
        <v>6706</v>
      </c>
      <c r="C2430" s="52" t="s">
        <v>825</v>
      </c>
    </row>
    <row r="2431" spans="1:3" hidden="1" x14ac:dyDescent="0.25">
      <c r="A2431" s="52" t="s">
        <v>3384</v>
      </c>
      <c r="B2431" s="52" t="s">
        <v>6707</v>
      </c>
      <c r="C2431" s="52" t="s">
        <v>825</v>
      </c>
    </row>
    <row r="2432" spans="1:3" hidden="1" x14ac:dyDescent="0.25">
      <c r="A2432" s="52" t="s">
        <v>3385</v>
      </c>
      <c r="B2432" s="52" t="s">
        <v>6708</v>
      </c>
      <c r="C2432" s="52" t="s">
        <v>825</v>
      </c>
    </row>
    <row r="2433" spans="1:3" hidden="1" x14ac:dyDescent="0.25">
      <c r="A2433" s="52" t="s">
        <v>3386</v>
      </c>
      <c r="B2433" s="52" t="s">
        <v>6709</v>
      </c>
      <c r="C2433" s="52" t="s">
        <v>825</v>
      </c>
    </row>
    <row r="2434" spans="1:3" hidden="1" x14ac:dyDescent="0.25">
      <c r="A2434" s="52" t="s">
        <v>3387</v>
      </c>
      <c r="B2434" s="52" t="s">
        <v>6710</v>
      </c>
      <c r="C2434" s="52" t="s">
        <v>825</v>
      </c>
    </row>
    <row r="2435" spans="1:3" hidden="1" x14ac:dyDescent="0.25">
      <c r="A2435" s="52" t="s">
        <v>3388</v>
      </c>
      <c r="B2435" s="52" t="s">
        <v>6711</v>
      </c>
      <c r="C2435" s="52" t="s">
        <v>825</v>
      </c>
    </row>
    <row r="2436" spans="1:3" hidden="1" x14ac:dyDescent="0.25">
      <c r="A2436" s="52" t="s">
        <v>3389</v>
      </c>
      <c r="B2436" s="52" t="s">
        <v>6712</v>
      </c>
      <c r="C2436" s="52" t="s">
        <v>825</v>
      </c>
    </row>
    <row r="2437" spans="1:3" hidden="1" x14ac:dyDescent="0.25">
      <c r="A2437" s="52" t="s">
        <v>3390</v>
      </c>
      <c r="B2437" s="52" t="s">
        <v>6713</v>
      </c>
      <c r="C2437" s="52" t="s">
        <v>825</v>
      </c>
    </row>
    <row r="2438" spans="1:3" hidden="1" x14ac:dyDescent="0.25">
      <c r="A2438" s="52" t="s">
        <v>3391</v>
      </c>
      <c r="B2438" s="52" t="s">
        <v>6714</v>
      </c>
      <c r="C2438" s="52" t="s">
        <v>825</v>
      </c>
    </row>
    <row r="2439" spans="1:3" hidden="1" x14ac:dyDescent="0.25">
      <c r="A2439" s="52" t="s">
        <v>3392</v>
      </c>
      <c r="B2439" s="52" t="s">
        <v>6715</v>
      </c>
      <c r="C2439" s="52" t="s">
        <v>825</v>
      </c>
    </row>
    <row r="2440" spans="1:3" hidden="1" x14ac:dyDescent="0.25">
      <c r="A2440" s="52" t="s">
        <v>3393</v>
      </c>
      <c r="B2440" s="52" t="s">
        <v>6716</v>
      </c>
      <c r="C2440" s="52" t="s">
        <v>825</v>
      </c>
    </row>
    <row r="2441" spans="1:3" hidden="1" x14ac:dyDescent="0.25">
      <c r="A2441" s="52" t="s">
        <v>3394</v>
      </c>
      <c r="B2441" s="52" t="s">
        <v>6717</v>
      </c>
      <c r="C2441" s="52" t="s">
        <v>825</v>
      </c>
    </row>
    <row r="2442" spans="1:3" hidden="1" x14ac:dyDescent="0.25">
      <c r="A2442" s="52" t="s">
        <v>3395</v>
      </c>
      <c r="B2442" s="52" t="s">
        <v>6718</v>
      </c>
      <c r="C2442" s="52" t="s">
        <v>825</v>
      </c>
    </row>
    <row r="2443" spans="1:3" hidden="1" x14ac:dyDescent="0.25">
      <c r="A2443" s="52" t="s">
        <v>3396</v>
      </c>
      <c r="B2443" s="52" t="s">
        <v>6719</v>
      </c>
      <c r="C2443" s="52" t="s">
        <v>825</v>
      </c>
    </row>
    <row r="2444" spans="1:3" hidden="1" x14ac:dyDescent="0.25">
      <c r="A2444" s="52" t="s">
        <v>3397</v>
      </c>
      <c r="B2444" s="52" t="s">
        <v>6720</v>
      </c>
      <c r="C2444" s="52" t="s">
        <v>825</v>
      </c>
    </row>
    <row r="2445" spans="1:3" hidden="1" x14ac:dyDescent="0.25">
      <c r="A2445" s="52" t="s">
        <v>3398</v>
      </c>
      <c r="B2445" s="52" t="s">
        <v>6721</v>
      </c>
      <c r="C2445" s="52" t="s">
        <v>825</v>
      </c>
    </row>
    <row r="2446" spans="1:3" hidden="1" x14ac:dyDescent="0.25">
      <c r="A2446" s="52" t="s">
        <v>3399</v>
      </c>
      <c r="B2446" s="52" t="s">
        <v>6722</v>
      </c>
      <c r="C2446" s="52" t="s">
        <v>825</v>
      </c>
    </row>
    <row r="2447" spans="1:3" hidden="1" x14ac:dyDescent="0.25">
      <c r="A2447" s="52" t="s">
        <v>4553</v>
      </c>
      <c r="B2447" s="52" t="s">
        <v>6723</v>
      </c>
      <c r="C2447" s="52" t="s">
        <v>825</v>
      </c>
    </row>
    <row r="2448" spans="1:3" hidden="1" x14ac:dyDescent="0.25">
      <c r="A2448" s="52" t="s">
        <v>4554</v>
      </c>
      <c r="B2448" s="52" t="s">
        <v>6724</v>
      </c>
      <c r="C2448" s="52" t="s">
        <v>825</v>
      </c>
    </row>
    <row r="2449" spans="1:3" hidden="1" x14ac:dyDescent="0.25">
      <c r="A2449" s="52" t="s">
        <v>4555</v>
      </c>
      <c r="B2449" s="52" t="s">
        <v>6725</v>
      </c>
      <c r="C2449" s="52" t="s">
        <v>825</v>
      </c>
    </row>
    <row r="2450" spans="1:3" hidden="1" x14ac:dyDescent="0.25">
      <c r="A2450" s="52" t="s">
        <v>4556</v>
      </c>
      <c r="B2450" s="52" t="s">
        <v>6726</v>
      </c>
      <c r="C2450" s="52" t="s">
        <v>825</v>
      </c>
    </row>
    <row r="2451" spans="1:3" hidden="1" x14ac:dyDescent="0.25">
      <c r="A2451" s="52" t="s">
        <v>4557</v>
      </c>
      <c r="B2451" s="52" t="s">
        <v>6727</v>
      </c>
      <c r="C2451" s="52" t="s">
        <v>825</v>
      </c>
    </row>
    <row r="2452" spans="1:3" hidden="1" x14ac:dyDescent="0.25">
      <c r="A2452" s="52" t="s">
        <v>4558</v>
      </c>
      <c r="B2452" s="52" t="s">
        <v>6728</v>
      </c>
      <c r="C2452" s="52" t="s">
        <v>825</v>
      </c>
    </row>
    <row r="2453" spans="1:3" hidden="1" x14ac:dyDescent="0.25">
      <c r="A2453" s="52" t="s">
        <v>4559</v>
      </c>
      <c r="B2453" s="52" t="s">
        <v>6729</v>
      </c>
      <c r="C2453" s="52" t="s">
        <v>825</v>
      </c>
    </row>
    <row r="2454" spans="1:3" hidden="1" x14ac:dyDescent="0.25">
      <c r="A2454" s="52" t="s">
        <v>4560</v>
      </c>
      <c r="B2454" s="52" t="s">
        <v>6730</v>
      </c>
      <c r="C2454" s="52" t="s">
        <v>825</v>
      </c>
    </row>
    <row r="2455" spans="1:3" hidden="1" x14ac:dyDescent="0.25">
      <c r="A2455" s="52" t="s">
        <v>4561</v>
      </c>
      <c r="B2455" s="52" t="s">
        <v>6731</v>
      </c>
      <c r="C2455" s="52" t="s">
        <v>825</v>
      </c>
    </row>
    <row r="2456" spans="1:3" hidden="1" x14ac:dyDescent="0.25">
      <c r="A2456" s="52" t="s">
        <v>3400</v>
      </c>
      <c r="B2456" s="52" t="s">
        <v>6732</v>
      </c>
      <c r="C2456" s="52" t="s">
        <v>825</v>
      </c>
    </row>
    <row r="2457" spans="1:3" hidden="1" x14ac:dyDescent="0.25">
      <c r="A2457" s="52" t="s">
        <v>3401</v>
      </c>
      <c r="B2457" s="52" t="s">
        <v>6733</v>
      </c>
      <c r="C2457" s="52" t="s">
        <v>825</v>
      </c>
    </row>
    <row r="2458" spans="1:3" hidden="1" x14ac:dyDescent="0.25">
      <c r="A2458" s="52" t="s">
        <v>3402</v>
      </c>
      <c r="B2458" s="52" t="s">
        <v>6734</v>
      </c>
      <c r="C2458" s="52" t="s">
        <v>825</v>
      </c>
    </row>
    <row r="2459" spans="1:3" hidden="1" x14ac:dyDescent="0.25">
      <c r="A2459" s="52" t="s">
        <v>3403</v>
      </c>
      <c r="B2459" s="52" t="s">
        <v>6735</v>
      </c>
      <c r="C2459" s="52" t="s">
        <v>825</v>
      </c>
    </row>
    <row r="2460" spans="1:3" hidden="1" x14ac:dyDescent="0.25">
      <c r="A2460" s="52" t="s">
        <v>3404</v>
      </c>
      <c r="B2460" s="52" t="s">
        <v>6736</v>
      </c>
      <c r="C2460" s="52" t="s">
        <v>825</v>
      </c>
    </row>
    <row r="2461" spans="1:3" hidden="1" x14ac:dyDescent="0.25">
      <c r="A2461" s="52" t="s">
        <v>3405</v>
      </c>
      <c r="B2461" s="52" t="s">
        <v>6737</v>
      </c>
      <c r="C2461" s="52" t="s">
        <v>825</v>
      </c>
    </row>
    <row r="2462" spans="1:3" hidden="1" x14ac:dyDescent="0.25">
      <c r="A2462" s="52" t="s">
        <v>3406</v>
      </c>
      <c r="B2462" s="52" t="s">
        <v>6738</v>
      </c>
      <c r="C2462" s="52" t="s">
        <v>825</v>
      </c>
    </row>
    <row r="2463" spans="1:3" hidden="1" x14ac:dyDescent="0.25">
      <c r="A2463" s="52" t="s">
        <v>3407</v>
      </c>
      <c r="B2463" s="52" t="s">
        <v>6739</v>
      </c>
      <c r="C2463" s="52" t="s">
        <v>825</v>
      </c>
    </row>
    <row r="2464" spans="1:3" hidden="1" x14ac:dyDescent="0.25">
      <c r="A2464" s="52" t="s">
        <v>3408</v>
      </c>
      <c r="B2464" s="52" t="s">
        <v>6740</v>
      </c>
      <c r="C2464" s="52" t="s">
        <v>825</v>
      </c>
    </row>
    <row r="2465" spans="1:3" hidden="1" x14ac:dyDescent="0.25">
      <c r="A2465" s="52" t="s">
        <v>3409</v>
      </c>
      <c r="B2465" s="52" t="s">
        <v>6741</v>
      </c>
      <c r="C2465" s="52" t="s">
        <v>825</v>
      </c>
    </row>
    <row r="2466" spans="1:3" hidden="1" x14ac:dyDescent="0.25">
      <c r="A2466" s="52" t="s">
        <v>3410</v>
      </c>
      <c r="B2466" s="52" t="s">
        <v>6742</v>
      </c>
      <c r="C2466" s="52" t="s">
        <v>825</v>
      </c>
    </row>
    <row r="2467" spans="1:3" hidden="1" x14ac:dyDescent="0.25">
      <c r="A2467" s="52" t="s">
        <v>3411</v>
      </c>
      <c r="B2467" s="52" t="s">
        <v>6743</v>
      </c>
      <c r="C2467" s="52" t="s">
        <v>825</v>
      </c>
    </row>
    <row r="2468" spans="1:3" hidden="1" x14ac:dyDescent="0.25">
      <c r="A2468" s="52" t="s">
        <v>3412</v>
      </c>
      <c r="B2468" s="52" t="s">
        <v>6744</v>
      </c>
      <c r="C2468" s="52" t="s">
        <v>825</v>
      </c>
    </row>
    <row r="2469" spans="1:3" hidden="1" x14ac:dyDescent="0.25">
      <c r="A2469" s="52" t="s">
        <v>3413</v>
      </c>
      <c r="B2469" s="52" t="s">
        <v>6745</v>
      </c>
      <c r="C2469" s="52" t="s">
        <v>825</v>
      </c>
    </row>
    <row r="2470" spans="1:3" hidden="1" x14ac:dyDescent="0.25">
      <c r="A2470" s="52" t="s">
        <v>3414</v>
      </c>
      <c r="B2470" s="52" t="s">
        <v>924</v>
      </c>
      <c r="C2470" s="52" t="s">
        <v>825</v>
      </c>
    </row>
    <row r="2471" spans="1:3" hidden="1" x14ac:dyDescent="0.25">
      <c r="A2471" s="52" t="s">
        <v>3415</v>
      </c>
      <c r="B2471" s="52" t="s">
        <v>6746</v>
      </c>
      <c r="C2471" s="52" t="s">
        <v>825</v>
      </c>
    </row>
    <row r="2472" spans="1:3" hidden="1" x14ac:dyDescent="0.25">
      <c r="A2472" s="52" t="s">
        <v>3416</v>
      </c>
      <c r="B2472" s="52" t="s">
        <v>6747</v>
      </c>
      <c r="C2472" s="52" t="s">
        <v>825</v>
      </c>
    </row>
    <row r="2473" spans="1:3" hidden="1" x14ac:dyDescent="0.25">
      <c r="A2473" s="52" t="s">
        <v>3417</v>
      </c>
      <c r="B2473" s="52" t="s">
        <v>6748</v>
      </c>
      <c r="C2473" s="52" t="s">
        <v>825</v>
      </c>
    </row>
    <row r="2474" spans="1:3" hidden="1" x14ac:dyDescent="0.25">
      <c r="A2474" s="52" t="s">
        <v>3418</v>
      </c>
      <c r="B2474" s="52" t="s">
        <v>6749</v>
      </c>
      <c r="C2474" s="52" t="s">
        <v>825</v>
      </c>
    </row>
    <row r="2475" spans="1:3" hidden="1" x14ac:dyDescent="0.25">
      <c r="A2475" s="52" t="s">
        <v>3419</v>
      </c>
      <c r="B2475" s="52" t="s">
        <v>6750</v>
      </c>
      <c r="C2475" s="52" t="s">
        <v>825</v>
      </c>
    </row>
    <row r="2476" spans="1:3" hidden="1" x14ac:dyDescent="0.25">
      <c r="A2476" s="52" t="s">
        <v>3420</v>
      </c>
      <c r="B2476" s="52" t="s">
        <v>6751</v>
      </c>
      <c r="C2476" s="52" t="s">
        <v>825</v>
      </c>
    </row>
    <row r="2477" spans="1:3" hidden="1" x14ac:dyDescent="0.25">
      <c r="A2477" s="52" t="s">
        <v>3421</v>
      </c>
      <c r="B2477" s="52" t="s">
        <v>6752</v>
      </c>
      <c r="C2477" s="52" t="s">
        <v>825</v>
      </c>
    </row>
    <row r="2478" spans="1:3" hidden="1" x14ac:dyDescent="0.25">
      <c r="A2478" s="52" t="s">
        <v>3422</v>
      </c>
      <c r="B2478" s="52" t="s">
        <v>6753</v>
      </c>
      <c r="C2478" s="52" t="s">
        <v>825</v>
      </c>
    </row>
    <row r="2479" spans="1:3" hidden="1" x14ac:dyDescent="0.25">
      <c r="A2479" s="52" t="s">
        <v>3423</v>
      </c>
      <c r="B2479" s="52" t="s">
        <v>6754</v>
      </c>
      <c r="C2479" s="52" t="s">
        <v>825</v>
      </c>
    </row>
    <row r="2480" spans="1:3" hidden="1" x14ac:dyDescent="0.25">
      <c r="A2480" s="52" t="s">
        <v>3424</v>
      </c>
      <c r="B2480" s="52" t="s">
        <v>6755</v>
      </c>
      <c r="C2480" s="52" t="s">
        <v>825</v>
      </c>
    </row>
    <row r="2481" spans="1:3" hidden="1" x14ac:dyDescent="0.25">
      <c r="A2481" s="52" t="s">
        <v>3425</v>
      </c>
      <c r="B2481" s="52" t="s">
        <v>6756</v>
      </c>
      <c r="C2481" s="52" t="s">
        <v>825</v>
      </c>
    </row>
    <row r="2482" spans="1:3" hidden="1" x14ac:dyDescent="0.25">
      <c r="A2482" s="52" t="s">
        <v>3426</v>
      </c>
      <c r="B2482" s="52" t="s">
        <v>6757</v>
      </c>
      <c r="C2482" s="52" t="s">
        <v>825</v>
      </c>
    </row>
    <row r="2483" spans="1:3" hidden="1" x14ac:dyDescent="0.25">
      <c r="A2483" s="52" t="s">
        <v>3427</v>
      </c>
      <c r="B2483" s="52" t="s">
        <v>6758</v>
      </c>
      <c r="C2483" s="52" t="s">
        <v>825</v>
      </c>
    </row>
    <row r="2484" spans="1:3" hidden="1" x14ac:dyDescent="0.25">
      <c r="A2484" s="52" t="s">
        <v>3428</v>
      </c>
      <c r="B2484" s="52" t="s">
        <v>6759</v>
      </c>
      <c r="C2484" s="52" t="s">
        <v>825</v>
      </c>
    </row>
    <row r="2485" spans="1:3" hidden="1" x14ac:dyDescent="0.25">
      <c r="A2485" s="52" t="s">
        <v>3429</v>
      </c>
      <c r="B2485" s="52" t="s">
        <v>6760</v>
      </c>
      <c r="C2485" s="52" t="s">
        <v>825</v>
      </c>
    </row>
    <row r="2486" spans="1:3" hidden="1" x14ac:dyDescent="0.25">
      <c r="A2486" s="52" t="s">
        <v>3430</v>
      </c>
      <c r="B2486" s="52" t="s">
        <v>6761</v>
      </c>
      <c r="C2486" s="52" t="s">
        <v>825</v>
      </c>
    </row>
    <row r="2487" spans="1:3" hidden="1" x14ac:dyDescent="0.25">
      <c r="A2487" s="52" t="s">
        <v>3431</v>
      </c>
      <c r="B2487" s="52" t="s">
        <v>6762</v>
      </c>
      <c r="C2487" s="52" t="s">
        <v>825</v>
      </c>
    </row>
    <row r="2488" spans="1:3" hidden="1" x14ac:dyDescent="0.25">
      <c r="A2488" s="52" t="s">
        <v>3432</v>
      </c>
      <c r="B2488" s="52" t="s">
        <v>6763</v>
      </c>
      <c r="C2488" s="52" t="s">
        <v>825</v>
      </c>
    </row>
    <row r="2489" spans="1:3" hidden="1" x14ac:dyDescent="0.25">
      <c r="A2489" s="52" t="s">
        <v>3433</v>
      </c>
      <c r="B2489" s="52" t="s">
        <v>6764</v>
      </c>
      <c r="C2489" s="52" t="s">
        <v>825</v>
      </c>
    </row>
    <row r="2490" spans="1:3" hidden="1" x14ac:dyDescent="0.25">
      <c r="A2490" s="52" t="s">
        <v>3434</v>
      </c>
      <c r="B2490" s="52" t="s">
        <v>6765</v>
      </c>
      <c r="C2490" s="52" t="s">
        <v>825</v>
      </c>
    </row>
    <row r="2491" spans="1:3" hidden="1" x14ac:dyDescent="0.25">
      <c r="A2491" s="52" t="s">
        <v>3435</v>
      </c>
      <c r="B2491" s="52" t="s">
        <v>6766</v>
      </c>
      <c r="C2491" s="52" t="s">
        <v>825</v>
      </c>
    </row>
    <row r="2492" spans="1:3" hidden="1" x14ac:dyDescent="0.25">
      <c r="A2492" s="52" t="s">
        <v>3436</v>
      </c>
      <c r="B2492" s="52" t="s">
        <v>6767</v>
      </c>
      <c r="C2492" s="52" t="s">
        <v>825</v>
      </c>
    </row>
    <row r="2493" spans="1:3" hidden="1" x14ac:dyDescent="0.25">
      <c r="A2493" s="52" t="s">
        <v>3437</v>
      </c>
      <c r="B2493" s="52" t="s">
        <v>6768</v>
      </c>
      <c r="C2493" s="52" t="s">
        <v>825</v>
      </c>
    </row>
    <row r="2494" spans="1:3" hidden="1" x14ac:dyDescent="0.25">
      <c r="A2494" s="52" t="s">
        <v>3438</v>
      </c>
      <c r="B2494" s="52" t="s">
        <v>5518</v>
      </c>
      <c r="C2494" s="52" t="s">
        <v>825</v>
      </c>
    </row>
    <row r="2495" spans="1:3" hidden="1" x14ac:dyDescent="0.25">
      <c r="A2495" s="52" t="s">
        <v>3439</v>
      </c>
      <c r="B2495" s="52" t="s">
        <v>4721</v>
      </c>
      <c r="C2495" s="52" t="s">
        <v>825</v>
      </c>
    </row>
    <row r="2496" spans="1:3" hidden="1" x14ac:dyDescent="0.25">
      <c r="A2496" s="52" t="s">
        <v>3440</v>
      </c>
      <c r="B2496" s="52" t="s">
        <v>6769</v>
      </c>
      <c r="C2496" s="52" t="s">
        <v>825</v>
      </c>
    </row>
    <row r="2497" spans="1:3" hidden="1" x14ac:dyDescent="0.25">
      <c r="A2497" s="52" t="s">
        <v>3441</v>
      </c>
      <c r="B2497" s="52" t="s">
        <v>6523</v>
      </c>
      <c r="C2497" s="52" t="s">
        <v>825</v>
      </c>
    </row>
    <row r="2498" spans="1:3" hidden="1" x14ac:dyDescent="0.25">
      <c r="A2498" s="52" t="s">
        <v>3442</v>
      </c>
      <c r="B2498" s="52" t="s">
        <v>6770</v>
      </c>
      <c r="C2498" s="52" t="s">
        <v>825</v>
      </c>
    </row>
    <row r="2499" spans="1:3" hidden="1" x14ac:dyDescent="0.25">
      <c r="A2499" s="52" t="s">
        <v>3443</v>
      </c>
      <c r="B2499" s="52" t="s">
        <v>6771</v>
      </c>
      <c r="C2499" s="52" t="s">
        <v>825</v>
      </c>
    </row>
    <row r="2500" spans="1:3" hidden="1" x14ac:dyDescent="0.25">
      <c r="A2500" s="52" t="s">
        <v>3444</v>
      </c>
      <c r="B2500" s="52" t="s">
        <v>6772</v>
      </c>
      <c r="C2500" s="52" t="s">
        <v>825</v>
      </c>
    </row>
    <row r="2501" spans="1:3" hidden="1" x14ac:dyDescent="0.25">
      <c r="A2501" s="52" t="s">
        <v>3445</v>
      </c>
      <c r="B2501" s="52" t="s">
        <v>6773</v>
      </c>
      <c r="C2501" s="52" t="s">
        <v>825</v>
      </c>
    </row>
    <row r="2502" spans="1:3" hidden="1" x14ac:dyDescent="0.25">
      <c r="A2502" s="52" t="s">
        <v>3446</v>
      </c>
      <c r="B2502" s="52" t="s">
        <v>6774</v>
      </c>
      <c r="C2502" s="52" t="s">
        <v>825</v>
      </c>
    </row>
    <row r="2503" spans="1:3" hidden="1" x14ac:dyDescent="0.25">
      <c r="A2503" s="52" t="s">
        <v>3447</v>
      </c>
      <c r="B2503" s="52" t="s">
        <v>6775</v>
      </c>
      <c r="C2503" s="52" t="s">
        <v>825</v>
      </c>
    </row>
    <row r="2504" spans="1:3" hidden="1" x14ac:dyDescent="0.25">
      <c r="A2504" s="52" t="s">
        <v>3448</v>
      </c>
      <c r="B2504" s="52" t="s">
        <v>6776</v>
      </c>
      <c r="C2504" s="52" t="s">
        <v>825</v>
      </c>
    </row>
    <row r="2505" spans="1:3" hidden="1" x14ac:dyDescent="0.25">
      <c r="A2505" s="52" t="s">
        <v>3449</v>
      </c>
      <c r="B2505" s="52" t="s">
        <v>6056</v>
      </c>
      <c r="C2505" s="52" t="s">
        <v>825</v>
      </c>
    </row>
    <row r="2506" spans="1:3" hidden="1" x14ac:dyDescent="0.25">
      <c r="A2506" s="52" t="s">
        <v>3450</v>
      </c>
      <c r="B2506" s="52" t="s">
        <v>6777</v>
      </c>
      <c r="C2506" s="52" t="s">
        <v>825</v>
      </c>
    </row>
    <row r="2507" spans="1:3" hidden="1" x14ac:dyDescent="0.25">
      <c r="A2507" s="52" t="s">
        <v>3451</v>
      </c>
      <c r="B2507" s="52" t="s">
        <v>6778</v>
      </c>
      <c r="C2507" s="52" t="s">
        <v>825</v>
      </c>
    </row>
    <row r="2508" spans="1:3" hidden="1" x14ac:dyDescent="0.25">
      <c r="A2508" s="52" t="s">
        <v>3452</v>
      </c>
      <c r="B2508" s="52" t="s">
        <v>6779</v>
      </c>
      <c r="C2508" s="52" t="s">
        <v>825</v>
      </c>
    </row>
    <row r="2509" spans="1:3" hidden="1" x14ac:dyDescent="0.25">
      <c r="A2509" s="52" t="s">
        <v>3453</v>
      </c>
      <c r="B2509" s="52" t="s">
        <v>6780</v>
      </c>
      <c r="C2509" s="52" t="s">
        <v>825</v>
      </c>
    </row>
    <row r="2510" spans="1:3" hidden="1" x14ac:dyDescent="0.25">
      <c r="A2510" s="52" t="s">
        <v>3454</v>
      </c>
      <c r="B2510" s="52" t="s">
        <v>6781</v>
      </c>
      <c r="C2510" s="52" t="s">
        <v>825</v>
      </c>
    </row>
    <row r="2511" spans="1:3" hidden="1" x14ac:dyDescent="0.25">
      <c r="A2511" s="52" t="s">
        <v>3455</v>
      </c>
      <c r="B2511" s="52" t="s">
        <v>6782</v>
      </c>
      <c r="C2511" s="52" t="s">
        <v>825</v>
      </c>
    </row>
    <row r="2512" spans="1:3" hidden="1" x14ac:dyDescent="0.25">
      <c r="A2512" s="52" t="s">
        <v>3456</v>
      </c>
      <c r="B2512" s="52" t="s">
        <v>6783</v>
      </c>
      <c r="C2512" s="52" t="s">
        <v>825</v>
      </c>
    </row>
    <row r="2513" spans="1:3" hidden="1" x14ac:dyDescent="0.25">
      <c r="A2513" s="52" t="s">
        <v>3457</v>
      </c>
      <c r="B2513" s="52" t="s">
        <v>6784</v>
      </c>
      <c r="C2513" s="52" t="s">
        <v>825</v>
      </c>
    </row>
    <row r="2514" spans="1:3" hidden="1" x14ac:dyDescent="0.25">
      <c r="A2514" s="52" t="s">
        <v>3458</v>
      </c>
      <c r="B2514" s="52" t="s">
        <v>6785</v>
      </c>
      <c r="C2514" s="52" t="s">
        <v>827</v>
      </c>
    </row>
    <row r="2515" spans="1:3" hidden="1" x14ac:dyDescent="0.25">
      <c r="A2515" s="52" t="s">
        <v>3459</v>
      </c>
      <c r="B2515" s="52" t="s">
        <v>6786</v>
      </c>
      <c r="C2515" s="52" t="s">
        <v>827</v>
      </c>
    </row>
    <row r="2516" spans="1:3" hidden="1" x14ac:dyDescent="0.25">
      <c r="A2516" s="52" t="s">
        <v>3460</v>
      </c>
      <c r="B2516" s="52" t="s">
        <v>6787</v>
      </c>
      <c r="C2516" s="52" t="s">
        <v>827</v>
      </c>
    </row>
    <row r="2517" spans="1:3" hidden="1" x14ac:dyDescent="0.25">
      <c r="A2517" s="52" t="s">
        <v>3461</v>
      </c>
      <c r="B2517" s="52" t="s">
        <v>6788</v>
      </c>
      <c r="C2517" s="52" t="s">
        <v>827</v>
      </c>
    </row>
    <row r="2518" spans="1:3" hidden="1" x14ac:dyDescent="0.25">
      <c r="A2518" s="52" t="s">
        <v>3462</v>
      </c>
      <c r="B2518" s="52" t="s">
        <v>6789</v>
      </c>
      <c r="C2518" s="52" t="s">
        <v>827</v>
      </c>
    </row>
    <row r="2519" spans="1:3" hidden="1" x14ac:dyDescent="0.25">
      <c r="A2519" s="52" t="s">
        <v>3463</v>
      </c>
      <c r="B2519" s="52" t="s">
        <v>6790</v>
      </c>
      <c r="C2519" s="52" t="s">
        <v>827</v>
      </c>
    </row>
    <row r="2520" spans="1:3" hidden="1" x14ac:dyDescent="0.25">
      <c r="A2520" s="52" t="s">
        <v>3464</v>
      </c>
      <c r="B2520" s="52" t="s">
        <v>4637</v>
      </c>
      <c r="C2520" s="52" t="s">
        <v>827</v>
      </c>
    </row>
    <row r="2521" spans="1:3" hidden="1" x14ac:dyDescent="0.25">
      <c r="A2521" s="52" t="s">
        <v>3465</v>
      </c>
      <c r="B2521" s="52" t="s">
        <v>6791</v>
      </c>
      <c r="C2521" s="52" t="s">
        <v>827</v>
      </c>
    </row>
    <row r="2522" spans="1:3" hidden="1" x14ac:dyDescent="0.25">
      <c r="A2522" s="52" t="s">
        <v>3466</v>
      </c>
      <c r="B2522" s="52" t="s">
        <v>6792</v>
      </c>
      <c r="C2522" s="52" t="s">
        <v>827</v>
      </c>
    </row>
    <row r="2523" spans="1:3" hidden="1" x14ac:dyDescent="0.25">
      <c r="A2523" s="52" t="s">
        <v>3467</v>
      </c>
      <c r="B2523" s="52" t="s">
        <v>6793</v>
      </c>
      <c r="C2523" s="52" t="s">
        <v>827</v>
      </c>
    </row>
    <row r="2524" spans="1:3" hidden="1" x14ac:dyDescent="0.25">
      <c r="A2524" s="52" t="s">
        <v>3468</v>
      </c>
      <c r="B2524" s="52" t="s">
        <v>6794</v>
      </c>
      <c r="C2524" s="52" t="s">
        <v>827</v>
      </c>
    </row>
    <row r="2525" spans="1:3" hidden="1" x14ac:dyDescent="0.25">
      <c r="A2525" s="52" t="s">
        <v>3469</v>
      </c>
      <c r="B2525" s="52" t="s">
        <v>6795</v>
      </c>
      <c r="C2525" s="52" t="s">
        <v>827</v>
      </c>
    </row>
    <row r="2526" spans="1:3" hidden="1" x14ac:dyDescent="0.25">
      <c r="A2526" s="52" t="s">
        <v>3470</v>
      </c>
      <c r="B2526" s="52" t="s">
        <v>6796</v>
      </c>
      <c r="C2526" s="52" t="s">
        <v>827</v>
      </c>
    </row>
    <row r="2527" spans="1:3" hidden="1" x14ac:dyDescent="0.25">
      <c r="A2527" s="52" t="s">
        <v>3471</v>
      </c>
      <c r="B2527" s="52" t="s">
        <v>6797</v>
      </c>
      <c r="C2527" s="52" t="s">
        <v>827</v>
      </c>
    </row>
    <row r="2528" spans="1:3" hidden="1" x14ac:dyDescent="0.25">
      <c r="A2528" s="52" t="s">
        <v>3472</v>
      </c>
      <c r="B2528" s="52" t="s">
        <v>6798</v>
      </c>
      <c r="C2528" s="52" t="s">
        <v>827</v>
      </c>
    </row>
    <row r="2529" spans="1:3" hidden="1" x14ac:dyDescent="0.25">
      <c r="A2529" s="52" t="s">
        <v>3473</v>
      </c>
      <c r="B2529" s="52" t="s">
        <v>6799</v>
      </c>
      <c r="C2529" s="52" t="s">
        <v>827</v>
      </c>
    </row>
    <row r="2530" spans="1:3" hidden="1" x14ac:dyDescent="0.25">
      <c r="A2530" s="52" t="s">
        <v>3474</v>
      </c>
      <c r="B2530" s="52" t="s">
        <v>6800</v>
      </c>
      <c r="C2530" s="52" t="s">
        <v>827</v>
      </c>
    </row>
    <row r="2531" spans="1:3" hidden="1" x14ac:dyDescent="0.25">
      <c r="A2531" s="52" t="s">
        <v>3475</v>
      </c>
      <c r="B2531" s="52" t="s">
        <v>6801</v>
      </c>
      <c r="C2531" s="52" t="s">
        <v>827</v>
      </c>
    </row>
    <row r="2532" spans="1:3" hidden="1" x14ac:dyDescent="0.25">
      <c r="A2532" s="52" t="s">
        <v>3476</v>
      </c>
      <c r="B2532" s="52" t="s">
        <v>6802</v>
      </c>
      <c r="C2532" s="52" t="s">
        <v>827</v>
      </c>
    </row>
    <row r="2533" spans="1:3" hidden="1" x14ac:dyDescent="0.25">
      <c r="A2533" s="52" t="s">
        <v>3477</v>
      </c>
      <c r="B2533" s="52" t="s">
        <v>6803</v>
      </c>
      <c r="C2533" s="52" t="s">
        <v>827</v>
      </c>
    </row>
    <row r="2534" spans="1:3" hidden="1" x14ac:dyDescent="0.25">
      <c r="A2534" s="52" t="s">
        <v>3478</v>
      </c>
      <c r="B2534" s="52" t="s">
        <v>6804</v>
      </c>
      <c r="C2534" s="52" t="s">
        <v>827</v>
      </c>
    </row>
    <row r="2535" spans="1:3" hidden="1" x14ac:dyDescent="0.25">
      <c r="A2535" s="52" t="s">
        <v>3479</v>
      </c>
      <c r="B2535" s="52" t="s">
        <v>6805</v>
      </c>
      <c r="C2535" s="52" t="s">
        <v>827</v>
      </c>
    </row>
    <row r="2536" spans="1:3" hidden="1" x14ac:dyDescent="0.25">
      <c r="A2536" s="52" t="s">
        <v>3480</v>
      </c>
      <c r="B2536" s="52" t="s">
        <v>6806</v>
      </c>
      <c r="C2536" s="52" t="s">
        <v>827</v>
      </c>
    </row>
    <row r="2537" spans="1:3" hidden="1" x14ac:dyDescent="0.25">
      <c r="A2537" s="52" t="s">
        <v>3481</v>
      </c>
      <c r="B2537" s="52" t="s">
        <v>6807</v>
      </c>
      <c r="C2537" s="52" t="s">
        <v>827</v>
      </c>
    </row>
    <row r="2538" spans="1:3" hidden="1" x14ac:dyDescent="0.25">
      <c r="A2538" s="52" t="s">
        <v>3482</v>
      </c>
      <c r="B2538" s="52" t="s">
        <v>6808</v>
      </c>
      <c r="C2538" s="52" t="s">
        <v>827</v>
      </c>
    </row>
    <row r="2539" spans="1:3" hidden="1" x14ac:dyDescent="0.25">
      <c r="A2539" s="52" t="s">
        <v>3483</v>
      </c>
      <c r="B2539" s="52" t="s">
        <v>6809</v>
      </c>
      <c r="C2539" s="52" t="s">
        <v>827</v>
      </c>
    </row>
    <row r="2540" spans="1:3" hidden="1" x14ac:dyDescent="0.25">
      <c r="A2540" s="52" t="s">
        <v>3484</v>
      </c>
      <c r="B2540" s="52" t="s">
        <v>6810</v>
      </c>
      <c r="C2540" s="52" t="s">
        <v>827</v>
      </c>
    </row>
    <row r="2541" spans="1:3" hidden="1" x14ac:dyDescent="0.25">
      <c r="A2541" s="52" t="s">
        <v>3485</v>
      </c>
      <c r="B2541" s="52" t="s">
        <v>6811</v>
      </c>
      <c r="C2541" s="52" t="s">
        <v>827</v>
      </c>
    </row>
    <row r="2542" spans="1:3" hidden="1" x14ac:dyDescent="0.25">
      <c r="A2542" s="52" t="s">
        <v>3486</v>
      </c>
      <c r="B2542" s="52" t="s">
        <v>6812</v>
      </c>
      <c r="C2542" s="52" t="s">
        <v>827</v>
      </c>
    </row>
    <row r="2543" spans="1:3" hidden="1" x14ac:dyDescent="0.25">
      <c r="A2543" s="52" t="s">
        <v>3487</v>
      </c>
      <c r="B2543" s="52" t="s">
        <v>6813</v>
      </c>
      <c r="C2543" s="52" t="s">
        <v>827</v>
      </c>
    </row>
    <row r="2544" spans="1:3" hidden="1" x14ac:dyDescent="0.25">
      <c r="A2544" s="52" t="s">
        <v>3488</v>
      </c>
      <c r="B2544" s="52" t="s">
        <v>6814</v>
      </c>
      <c r="C2544" s="52" t="s">
        <v>827</v>
      </c>
    </row>
    <row r="2545" spans="1:3" hidden="1" x14ac:dyDescent="0.25">
      <c r="A2545" s="52" t="s">
        <v>3489</v>
      </c>
      <c r="B2545" s="52" t="s">
        <v>6815</v>
      </c>
      <c r="C2545" s="52" t="s">
        <v>827</v>
      </c>
    </row>
    <row r="2546" spans="1:3" hidden="1" x14ac:dyDescent="0.25">
      <c r="A2546" s="52" t="s">
        <v>3490</v>
      </c>
      <c r="B2546" s="52" t="s">
        <v>6816</v>
      </c>
      <c r="C2546" s="52" t="s">
        <v>827</v>
      </c>
    </row>
    <row r="2547" spans="1:3" hidden="1" x14ac:dyDescent="0.25">
      <c r="A2547" s="52" t="s">
        <v>3491</v>
      </c>
      <c r="B2547" s="52" t="s">
        <v>6817</v>
      </c>
      <c r="C2547" s="52" t="s">
        <v>827</v>
      </c>
    </row>
    <row r="2548" spans="1:3" hidden="1" x14ac:dyDescent="0.25">
      <c r="A2548" s="52" t="s">
        <v>3492</v>
      </c>
      <c r="B2548" s="52" t="s">
        <v>6818</v>
      </c>
      <c r="C2548" s="52" t="s">
        <v>827</v>
      </c>
    </row>
    <row r="2549" spans="1:3" hidden="1" x14ac:dyDescent="0.25">
      <c r="A2549" s="52" t="s">
        <v>3493</v>
      </c>
      <c r="B2549" s="52" t="s">
        <v>6819</v>
      </c>
      <c r="C2549" s="52" t="s">
        <v>827</v>
      </c>
    </row>
    <row r="2550" spans="1:3" hidden="1" x14ac:dyDescent="0.25">
      <c r="A2550" s="52" t="s">
        <v>3494</v>
      </c>
      <c r="B2550" s="52" t="s">
        <v>6820</v>
      </c>
      <c r="C2550" s="52" t="s">
        <v>827</v>
      </c>
    </row>
    <row r="2551" spans="1:3" hidden="1" x14ac:dyDescent="0.25">
      <c r="A2551" s="52" t="s">
        <v>3495</v>
      </c>
      <c r="B2551" s="52" t="s">
        <v>6821</v>
      </c>
      <c r="C2551" s="52" t="s">
        <v>827</v>
      </c>
    </row>
    <row r="2552" spans="1:3" hidden="1" x14ac:dyDescent="0.25">
      <c r="A2552" s="52" t="s">
        <v>3496</v>
      </c>
      <c r="B2552" s="52" t="s">
        <v>6822</v>
      </c>
      <c r="C2552" s="52" t="s">
        <v>827</v>
      </c>
    </row>
    <row r="2553" spans="1:3" hidden="1" x14ac:dyDescent="0.25">
      <c r="A2553" s="52" t="s">
        <v>3497</v>
      </c>
      <c r="B2553" s="52" t="s">
        <v>6823</v>
      </c>
      <c r="C2553" s="52" t="s">
        <v>827</v>
      </c>
    </row>
    <row r="2554" spans="1:3" hidden="1" x14ac:dyDescent="0.25">
      <c r="A2554" s="52" t="s">
        <v>3498</v>
      </c>
      <c r="B2554" s="52" t="s">
        <v>6824</v>
      </c>
      <c r="C2554" s="52" t="s">
        <v>827</v>
      </c>
    </row>
    <row r="2555" spans="1:3" hidden="1" x14ac:dyDescent="0.25">
      <c r="A2555" s="52" t="s">
        <v>3499</v>
      </c>
      <c r="B2555" s="52" t="s">
        <v>6825</v>
      </c>
      <c r="C2555" s="52" t="s">
        <v>827</v>
      </c>
    </row>
    <row r="2556" spans="1:3" hidden="1" x14ac:dyDescent="0.25">
      <c r="A2556" s="52" t="s">
        <v>3500</v>
      </c>
      <c r="B2556" s="52" t="s">
        <v>6826</v>
      </c>
      <c r="C2556" s="52" t="s">
        <v>827</v>
      </c>
    </row>
    <row r="2557" spans="1:3" hidden="1" x14ac:dyDescent="0.25">
      <c r="A2557" s="52" t="s">
        <v>3501</v>
      </c>
      <c r="B2557" s="52" t="s">
        <v>6827</v>
      </c>
      <c r="C2557" s="52" t="s">
        <v>827</v>
      </c>
    </row>
    <row r="2558" spans="1:3" hidden="1" x14ac:dyDescent="0.25">
      <c r="A2558" s="52" t="s">
        <v>3502</v>
      </c>
      <c r="B2558" s="52" t="s">
        <v>6828</v>
      </c>
      <c r="C2558" s="52" t="s">
        <v>827</v>
      </c>
    </row>
    <row r="2559" spans="1:3" hidden="1" x14ac:dyDescent="0.25">
      <c r="A2559" s="52" t="s">
        <v>3503</v>
      </c>
      <c r="B2559" s="52" t="s">
        <v>6829</v>
      </c>
      <c r="C2559" s="52" t="s">
        <v>827</v>
      </c>
    </row>
    <row r="2560" spans="1:3" hidden="1" x14ac:dyDescent="0.25">
      <c r="A2560" s="52" t="s">
        <v>3504</v>
      </c>
      <c r="B2560" s="52" t="s">
        <v>6830</v>
      </c>
      <c r="C2560" s="52" t="s">
        <v>827</v>
      </c>
    </row>
    <row r="2561" spans="1:3" hidden="1" x14ac:dyDescent="0.25">
      <c r="A2561" s="52" t="s">
        <v>3505</v>
      </c>
      <c r="B2561" s="52" t="s">
        <v>6831</v>
      </c>
      <c r="C2561" s="52" t="s">
        <v>827</v>
      </c>
    </row>
    <row r="2562" spans="1:3" hidden="1" x14ac:dyDescent="0.25">
      <c r="A2562" s="52" t="s">
        <v>3506</v>
      </c>
      <c r="B2562" s="52" t="s">
        <v>6832</v>
      </c>
      <c r="C2562" s="52" t="s">
        <v>827</v>
      </c>
    </row>
    <row r="2563" spans="1:3" hidden="1" x14ac:dyDescent="0.25">
      <c r="A2563" s="52" t="s">
        <v>3507</v>
      </c>
      <c r="B2563" s="52" t="s">
        <v>6833</v>
      </c>
      <c r="C2563" s="52" t="s">
        <v>827</v>
      </c>
    </row>
    <row r="2564" spans="1:3" hidden="1" x14ac:dyDescent="0.25">
      <c r="A2564" s="52" t="s">
        <v>3508</v>
      </c>
      <c r="B2564" s="52" t="s">
        <v>6834</v>
      </c>
      <c r="C2564" s="52" t="s">
        <v>827</v>
      </c>
    </row>
    <row r="2565" spans="1:3" hidden="1" x14ac:dyDescent="0.25">
      <c r="A2565" s="52" t="s">
        <v>3509</v>
      </c>
      <c r="B2565" s="52" t="s">
        <v>6835</v>
      </c>
      <c r="C2565" s="52" t="s">
        <v>827</v>
      </c>
    </row>
    <row r="2566" spans="1:3" hidden="1" x14ac:dyDescent="0.25">
      <c r="A2566" s="52" t="s">
        <v>3510</v>
      </c>
      <c r="B2566" s="52" t="s">
        <v>6202</v>
      </c>
      <c r="C2566" s="52" t="s">
        <v>827</v>
      </c>
    </row>
    <row r="2567" spans="1:3" hidden="1" x14ac:dyDescent="0.25">
      <c r="A2567" s="52" t="s">
        <v>3511</v>
      </c>
      <c r="B2567" s="52" t="s">
        <v>6836</v>
      </c>
      <c r="C2567" s="52" t="s">
        <v>827</v>
      </c>
    </row>
    <row r="2568" spans="1:3" hidden="1" x14ac:dyDescent="0.25">
      <c r="A2568" s="52" t="s">
        <v>3512</v>
      </c>
      <c r="B2568" s="52" t="s">
        <v>6837</v>
      </c>
      <c r="C2568" s="52" t="s">
        <v>827</v>
      </c>
    </row>
    <row r="2569" spans="1:3" hidden="1" x14ac:dyDescent="0.25">
      <c r="A2569" s="52" t="s">
        <v>3513</v>
      </c>
      <c r="B2569" s="52" t="s">
        <v>6838</v>
      </c>
      <c r="C2569" s="52" t="s">
        <v>827</v>
      </c>
    </row>
    <row r="2570" spans="1:3" hidden="1" x14ac:dyDescent="0.25">
      <c r="A2570" s="52" t="s">
        <v>3514</v>
      </c>
      <c r="B2570" s="52" t="s">
        <v>6839</v>
      </c>
      <c r="C2570" s="52" t="s">
        <v>827</v>
      </c>
    </row>
    <row r="2571" spans="1:3" hidden="1" x14ac:dyDescent="0.25">
      <c r="A2571" s="52" t="s">
        <v>3515</v>
      </c>
      <c r="B2571" s="52" t="s">
        <v>6840</v>
      </c>
      <c r="C2571" s="52" t="s">
        <v>827</v>
      </c>
    </row>
    <row r="2572" spans="1:3" hidden="1" x14ac:dyDescent="0.25">
      <c r="A2572" s="52" t="s">
        <v>3516</v>
      </c>
      <c r="B2572" s="52" t="s">
        <v>6841</v>
      </c>
      <c r="C2572" s="52" t="s">
        <v>827</v>
      </c>
    </row>
    <row r="2573" spans="1:3" hidden="1" x14ac:dyDescent="0.25">
      <c r="A2573" s="52" t="s">
        <v>3517</v>
      </c>
      <c r="B2573" s="52" t="s">
        <v>5244</v>
      </c>
      <c r="C2573" s="52" t="s">
        <v>827</v>
      </c>
    </row>
    <row r="2574" spans="1:3" hidden="1" x14ac:dyDescent="0.25">
      <c r="A2574" s="52" t="s">
        <v>3518</v>
      </c>
      <c r="B2574" s="52" t="s">
        <v>6842</v>
      </c>
      <c r="C2574" s="52" t="s">
        <v>827</v>
      </c>
    </row>
    <row r="2575" spans="1:3" hidden="1" x14ac:dyDescent="0.25">
      <c r="A2575" s="52" t="s">
        <v>3519</v>
      </c>
      <c r="B2575" s="52" t="s">
        <v>6843</v>
      </c>
      <c r="C2575" s="52" t="s">
        <v>827</v>
      </c>
    </row>
    <row r="2576" spans="1:3" hidden="1" x14ac:dyDescent="0.25">
      <c r="A2576" s="52" t="s">
        <v>3520</v>
      </c>
      <c r="B2576" s="52" t="s">
        <v>6844</v>
      </c>
      <c r="C2576" s="52" t="s">
        <v>827</v>
      </c>
    </row>
    <row r="2577" spans="1:3" hidden="1" x14ac:dyDescent="0.25">
      <c r="A2577" s="52" t="s">
        <v>3521</v>
      </c>
      <c r="B2577" s="52" t="s">
        <v>6845</v>
      </c>
      <c r="C2577" s="52" t="s">
        <v>827</v>
      </c>
    </row>
    <row r="2578" spans="1:3" hidden="1" x14ac:dyDescent="0.25">
      <c r="A2578" s="52" t="s">
        <v>3522</v>
      </c>
      <c r="B2578" s="52" t="s">
        <v>6846</v>
      </c>
      <c r="C2578" s="52" t="s">
        <v>827</v>
      </c>
    </row>
    <row r="2579" spans="1:3" hidden="1" x14ac:dyDescent="0.25">
      <c r="A2579" s="52" t="s">
        <v>3523</v>
      </c>
      <c r="B2579" s="52" t="s">
        <v>6847</v>
      </c>
      <c r="C2579" s="52" t="s">
        <v>827</v>
      </c>
    </row>
    <row r="2580" spans="1:3" hidden="1" x14ac:dyDescent="0.25">
      <c r="A2580" s="52" t="s">
        <v>3524</v>
      </c>
      <c r="B2580" s="52" t="s">
        <v>6848</v>
      </c>
      <c r="C2580" s="52" t="s">
        <v>827</v>
      </c>
    </row>
    <row r="2581" spans="1:3" hidden="1" x14ac:dyDescent="0.25">
      <c r="A2581" s="52" t="s">
        <v>3525</v>
      </c>
      <c r="B2581" s="52" t="s">
        <v>6849</v>
      </c>
      <c r="C2581" s="52" t="s">
        <v>827</v>
      </c>
    </row>
    <row r="2582" spans="1:3" hidden="1" x14ac:dyDescent="0.25">
      <c r="A2582" s="52" t="s">
        <v>3526</v>
      </c>
      <c r="B2582" s="52" t="s">
        <v>6850</v>
      </c>
      <c r="C2582" s="52" t="s">
        <v>827</v>
      </c>
    </row>
    <row r="2583" spans="1:3" hidden="1" x14ac:dyDescent="0.25">
      <c r="A2583" s="52" t="s">
        <v>3527</v>
      </c>
      <c r="B2583" s="52" t="s">
        <v>6851</v>
      </c>
      <c r="C2583" s="52" t="s">
        <v>827</v>
      </c>
    </row>
    <row r="2584" spans="1:3" hidden="1" x14ac:dyDescent="0.25">
      <c r="A2584" s="52" t="s">
        <v>3528</v>
      </c>
      <c r="B2584" s="52" t="s">
        <v>6852</v>
      </c>
      <c r="C2584" s="52" t="s">
        <v>827</v>
      </c>
    </row>
    <row r="2585" spans="1:3" hidden="1" x14ac:dyDescent="0.25">
      <c r="A2585" s="52" t="s">
        <v>3529</v>
      </c>
      <c r="B2585" s="52" t="s">
        <v>928</v>
      </c>
      <c r="C2585" s="52" t="s">
        <v>827</v>
      </c>
    </row>
    <row r="2586" spans="1:3" hidden="1" x14ac:dyDescent="0.25">
      <c r="A2586" s="52" t="s">
        <v>3530</v>
      </c>
      <c r="B2586" s="52" t="s">
        <v>4622</v>
      </c>
      <c r="C2586" s="52" t="s">
        <v>827</v>
      </c>
    </row>
    <row r="2587" spans="1:3" hidden="1" x14ac:dyDescent="0.25">
      <c r="A2587" s="52" t="s">
        <v>3531</v>
      </c>
      <c r="B2587" s="52" t="s">
        <v>4670</v>
      </c>
      <c r="C2587" s="52" t="s">
        <v>827</v>
      </c>
    </row>
    <row r="2588" spans="1:3" hidden="1" x14ac:dyDescent="0.25">
      <c r="A2588" s="52" t="s">
        <v>3532</v>
      </c>
      <c r="B2588" s="52" t="s">
        <v>6853</v>
      </c>
      <c r="C2588" s="52" t="s">
        <v>827</v>
      </c>
    </row>
    <row r="2589" spans="1:3" hidden="1" x14ac:dyDescent="0.25">
      <c r="A2589" s="52" t="s">
        <v>3533</v>
      </c>
      <c r="B2589" s="52" t="s">
        <v>6854</v>
      </c>
      <c r="C2589" s="52" t="s">
        <v>827</v>
      </c>
    </row>
    <row r="2590" spans="1:3" hidden="1" x14ac:dyDescent="0.25">
      <c r="A2590" s="52" t="s">
        <v>3534</v>
      </c>
      <c r="B2590" s="52" t="s">
        <v>6855</v>
      </c>
      <c r="C2590" s="52" t="s">
        <v>827</v>
      </c>
    </row>
    <row r="2591" spans="1:3" hidden="1" x14ac:dyDescent="0.25">
      <c r="A2591" s="52" t="s">
        <v>3535</v>
      </c>
      <c r="B2591" s="52" t="s">
        <v>6856</v>
      </c>
      <c r="C2591" s="52" t="s">
        <v>827</v>
      </c>
    </row>
    <row r="2592" spans="1:3" hidden="1" x14ac:dyDescent="0.25">
      <c r="A2592" s="52" t="s">
        <v>3536</v>
      </c>
      <c r="B2592" s="52" t="s">
        <v>6857</v>
      </c>
      <c r="C2592" s="52" t="s">
        <v>827</v>
      </c>
    </row>
    <row r="2593" spans="1:3" hidden="1" x14ac:dyDescent="0.25">
      <c r="A2593" s="52" t="s">
        <v>3537</v>
      </c>
      <c r="B2593" s="52" t="s">
        <v>6858</v>
      </c>
      <c r="C2593" s="52" t="s">
        <v>827</v>
      </c>
    </row>
    <row r="2594" spans="1:3" hidden="1" x14ac:dyDescent="0.25">
      <c r="A2594" s="52" t="s">
        <v>3538</v>
      </c>
      <c r="B2594" s="52" t="s">
        <v>5597</v>
      </c>
      <c r="C2594" s="52" t="s">
        <v>827</v>
      </c>
    </row>
    <row r="2595" spans="1:3" hidden="1" x14ac:dyDescent="0.25">
      <c r="A2595" s="52" t="s">
        <v>3539</v>
      </c>
      <c r="B2595" s="52" t="s">
        <v>6859</v>
      </c>
      <c r="C2595" s="52" t="s">
        <v>827</v>
      </c>
    </row>
    <row r="2596" spans="1:3" hidden="1" x14ac:dyDescent="0.25">
      <c r="A2596" s="52" t="s">
        <v>3540</v>
      </c>
      <c r="B2596" s="52" t="s">
        <v>6860</v>
      </c>
      <c r="C2596" s="52" t="s">
        <v>827</v>
      </c>
    </row>
    <row r="2597" spans="1:3" hidden="1" x14ac:dyDescent="0.25">
      <c r="A2597" s="52" t="s">
        <v>3541</v>
      </c>
      <c r="B2597" s="52" t="s">
        <v>6861</v>
      </c>
      <c r="C2597" s="52" t="s">
        <v>827</v>
      </c>
    </row>
    <row r="2598" spans="1:3" hidden="1" x14ac:dyDescent="0.25">
      <c r="A2598" s="52" t="s">
        <v>3542</v>
      </c>
      <c r="B2598" s="52" t="s">
        <v>6862</v>
      </c>
      <c r="C2598" s="52" t="s">
        <v>827</v>
      </c>
    </row>
    <row r="2599" spans="1:3" hidden="1" x14ac:dyDescent="0.25">
      <c r="A2599" s="52" t="s">
        <v>3543</v>
      </c>
      <c r="B2599" s="52" t="s">
        <v>6863</v>
      </c>
      <c r="C2599" s="52" t="s">
        <v>827</v>
      </c>
    </row>
    <row r="2600" spans="1:3" hidden="1" x14ac:dyDescent="0.25">
      <c r="A2600" s="52" t="s">
        <v>3544</v>
      </c>
      <c r="B2600" s="52" t="s">
        <v>6864</v>
      </c>
      <c r="C2600" s="52" t="s">
        <v>827</v>
      </c>
    </row>
    <row r="2601" spans="1:3" hidden="1" x14ac:dyDescent="0.25">
      <c r="A2601" s="52" t="s">
        <v>3545</v>
      </c>
      <c r="B2601" s="52" t="s">
        <v>6865</v>
      </c>
      <c r="C2601" s="52" t="s">
        <v>827</v>
      </c>
    </row>
    <row r="2602" spans="1:3" hidden="1" x14ac:dyDescent="0.25">
      <c r="A2602" s="52" t="s">
        <v>3546</v>
      </c>
      <c r="B2602" s="52" t="s">
        <v>6866</v>
      </c>
      <c r="C2602" s="52" t="s">
        <v>827</v>
      </c>
    </row>
    <row r="2603" spans="1:3" hidden="1" x14ac:dyDescent="0.25">
      <c r="A2603" s="52" t="s">
        <v>3547</v>
      </c>
      <c r="B2603" s="52" t="s">
        <v>6867</v>
      </c>
      <c r="C2603" s="52" t="s">
        <v>827</v>
      </c>
    </row>
    <row r="2604" spans="1:3" hidden="1" x14ac:dyDescent="0.25">
      <c r="A2604" s="52" t="s">
        <v>3548</v>
      </c>
      <c r="B2604" s="52" t="s">
        <v>6868</v>
      </c>
      <c r="C2604" s="52" t="s">
        <v>827</v>
      </c>
    </row>
    <row r="2605" spans="1:3" hidden="1" x14ac:dyDescent="0.25">
      <c r="A2605" s="52" t="s">
        <v>3549</v>
      </c>
      <c r="B2605" s="52" t="s">
        <v>6869</v>
      </c>
      <c r="C2605" s="52" t="s">
        <v>827</v>
      </c>
    </row>
    <row r="2606" spans="1:3" hidden="1" x14ac:dyDescent="0.25">
      <c r="A2606" s="52" t="s">
        <v>3550</v>
      </c>
      <c r="B2606" s="52" t="s">
        <v>6870</v>
      </c>
      <c r="C2606" s="52" t="s">
        <v>827</v>
      </c>
    </row>
    <row r="2607" spans="1:3" hidden="1" x14ac:dyDescent="0.25">
      <c r="A2607" s="52" t="s">
        <v>3551</v>
      </c>
      <c r="B2607" s="52" t="s">
        <v>6871</v>
      </c>
      <c r="C2607" s="52" t="s">
        <v>827</v>
      </c>
    </row>
    <row r="2608" spans="1:3" hidden="1" x14ac:dyDescent="0.25">
      <c r="A2608" s="52" t="s">
        <v>3552</v>
      </c>
      <c r="B2608" s="52" t="s">
        <v>6872</v>
      </c>
      <c r="C2608" s="52" t="s">
        <v>827</v>
      </c>
    </row>
    <row r="2609" spans="1:3" hidden="1" x14ac:dyDescent="0.25">
      <c r="A2609" s="52" t="s">
        <v>3553</v>
      </c>
      <c r="B2609" s="52" t="s">
        <v>6873</v>
      </c>
      <c r="C2609" s="52" t="s">
        <v>827</v>
      </c>
    </row>
    <row r="2610" spans="1:3" hidden="1" x14ac:dyDescent="0.25">
      <c r="A2610" s="52" t="s">
        <v>3554</v>
      </c>
      <c r="B2610" s="52" t="s">
        <v>6874</v>
      </c>
      <c r="C2610" s="52" t="s">
        <v>827</v>
      </c>
    </row>
    <row r="2611" spans="1:3" hidden="1" x14ac:dyDescent="0.25">
      <c r="A2611" s="52" t="s">
        <v>3555</v>
      </c>
      <c r="B2611" s="52" t="s">
        <v>6764</v>
      </c>
      <c r="C2611" s="52" t="s">
        <v>827</v>
      </c>
    </row>
    <row r="2612" spans="1:3" hidden="1" x14ac:dyDescent="0.25">
      <c r="A2612" s="52" t="s">
        <v>3556</v>
      </c>
      <c r="B2612" s="52" t="s">
        <v>6875</v>
      </c>
      <c r="C2612" s="52" t="s">
        <v>827</v>
      </c>
    </row>
    <row r="2613" spans="1:3" hidden="1" x14ac:dyDescent="0.25">
      <c r="A2613" s="52" t="s">
        <v>3557</v>
      </c>
      <c r="B2613" s="52" t="s">
        <v>5253</v>
      </c>
      <c r="C2613" s="52" t="s">
        <v>827</v>
      </c>
    </row>
    <row r="2614" spans="1:3" hidden="1" x14ac:dyDescent="0.25">
      <c r="A2614" s="52" t="s">
        <v>3558</v>
      </c>
      <c r="B2614" s="52" t="s">
        <v>6876</v>
      </c>
      <c r="C2614" s="52" t="s">
        <v>827</v>
      </c>
    </row>
    <row r="2615" spans="1:3" hidden="1" x14ac:dyDescent="0.25">
      <c r="A2615" s="52" t="s">
        <v>3559</v>
      </c>
      <c r="B2615" s="52" t="s">
        <v>6877</v>
      </c>
      <c r="C2615" s="52" t="s">
        <v>827</v>
      </c>
    </row>
    <row r="2616" spans="1:3" hidden="1" x14ac:dyDescent="0.25">
      <c r="A2616" s="52" t="s">
        <v>3560</v>
      </c>
      <c r="B2616" s="52" t="s">
        <v>6878</v>
      </c>
      <c r="C2616" s="52" t="s">
        <v>827</v>
      </c>
    </row>
    <row r="2617" spans="1:3" hidden="1" x14ac:dyDescent="0.25">
      <c r="A2617" s="52" t="s">
        <v>3561</v>
      </c>
      <c r="B2617" s="52" t="s">
        <v>6879</v>
      </c>
      <c r="C2617" s="52" t="s">
        <v>827</v>
      </c>
    </row>
    <row r="2618" spans="1:3" hidden="1" x14ac:dyDescent="0.25">
      <c r="A2618" s="52" t="s">
        <v>3562</v>
      </c>
      <c r="B2618" s="52" t="s">
        <v>6880</v>
      </c>
      <c r="C2618" s="52" t="s">
        <v>827</v>
      </c>
    </row>
    <row r="2619" spans="1:3" hidden="1" x14ac:dyDescent="0.25">
      <c r="A2619" s="52" t="s">
        <v>3563</v>
      </c>
      <c r="B2619" s="52" t="s">
        <v>6881</v>
      </c>
      <c r="C2619" s="52" t="s">
        <v>827</v>
      </c>
    </row>
    <row r="2620" spans="1:3" hidden="1" x14ac:dyDescent="0.25">
      <c r="A2620" s="52" t="s">
        <v>3564</v>
      </c>
      <c r="B2620" s="52" t="s">
        <v>6882</v>
      </c>
      <c r="C2620" s="52" t="s">
        <v>827</v>
      </c>
    </row>
    <row r="2621" spans="1:3" hidden="1" x14ac:dyDescent="0.25">
      <c r="A2621" s="52" t="s">
        <v>3565</v>
      </c>
      <c r="B2621" s="52" t="s">
        <v>6883</v>
      </c>
      <c r="C2621" s="52" t="s">
        <v>827</v>
      </c>
    </row>
    <row r="2622" spans="1:3" hidden="1" x14ac:dyDescent="0.25">
      <c r="A2622" s="52" t="s">
        <v>3566</v>
      </c>
      <c r="B2622" s="52" t="s">
        <v>6884</v>
      </c>
      <c r="C2622" s="52" t="s">
        <v>827</v>
      </c>
    </row>
    <row r="2623" spans="1:3" hidden="1" x14ac:dyDescent="0.25">
      <c r="A2623" s="52" t="s">
        <v>3567</v>
      </c>
      <c r="B2623" s="52" t="s">
        <v>6885</v>
      </c>
      <c r="C2623" s="52" t="s">
        <v>827</v>
      </c>
    </row>
    <row r="2624" spans="1:3" hidden="1" x14ac:dyDescent="0.25">
      <c r="A2624" s="52" t="s">
        <v>3568</v>
      </c>
      <c r="B2624" s="52" t="s">
        <v>6886</v>
      </c>
      <c r="C2624" s="52" t="s">
        <v>827</v>
      </c>
    </row>
    <row r="2625" spans="1:3" hidden="1" x14ac:dyDescent="0.25">
      <c r="A2625" s="52" t="s">
        <v>3569</v>
      </c>
      <c r="B2625" s="52" t="s">
        <v>6887</v>
      </c>
      <c r="C2625" s="52" t="s">
        <v>827</v>
      </c>
    </row>
    <row r="2626" spans="1:3" hidden="1" x14ac:dyDescent="0.25">
      <c r="A2626" s="52" t="s">
        <v>3570</v>
      </c>
      <c r="B2626" s="52" t="s">
        <v>6114</v>
      </c>
      <c r="C2626" s="52" t="s">
        <v>827</v>
      </c>
    </row>
    <row r="2627" spans="1:3" hidden="1" x14ac:dyDescent="0.25">
      <c r="A2627" s="52" t="s">
        <v>3571</v>
      </c>
      <c r="B2627" s="52" t="s">
        <v>5327</v>
      </c>
      <c r="C2627" s="52" t="s">
        <v>827</v>
      </c>
    </row>
    <row r="2628" spans="1:3" hidden="1" x14ac:dyDescent="0.25">
      <c r="A2628" s="52" t="s">
        <v>3572</v>
      </c>
      <c r="B2628" s="52" t="s">
        <v>4851</v>
      </c>
      <c r="C2628" s="52" t="s">
        <v>827</v>
      </c>
    </row>
    <row r="2629" spans="1:3" hidden="1" x14ac:dyDescent="0.25">
      <c r="A2629" s="52" t="s">
        <v>3573</v>
      </c>
      <c r="B2629" s="52" t="s">
        <v>6888</v>
      </c>
      <c r="C2629" s="52" t="s">
        <v>827</v>
      </c>
    </row>
    <row r="2630" spans="1:3" hidden="1" x14ac:dyDescent="0.25">
      <c r="A2630" s="52" t="s">
        <v>3574</v>
      </c>
      <c r="B2630" s="52" t="s">
        <v>992</v>
      </c>
      <c r="C2630" s="52" t="s">
        <v>827</v>
      </c>
    </row>
    <row r="2631" spans="1:3" hidden="1" x14ac:dyDescent="0.25">
      <c r="A2631" s="52" t="s">
        <v>3575</v>
      </c>
      <c r="B2631" s="52" t="s">
        <v>6889</v>
      </c>
      <c r="C2631" s="52" t="s">
        <v>827</v>
      </c>
    </row>
    <row r="2632" spans="1:3" hidden="1" x14ac:dyDescent="0.25">
      <c r="A2632" s="52" t="s">
        <v>3576</v>
      </c>
      <c r="B2632" s="52" t="s">
        <v>6255</v>
      </c>
      <c r="C2632" s="52" t="s">
        <v>827</v>
      </c>
    </row>
    <row r="2633" spans="1:3" hidden="1" x14ac:dyDescent="0.25">
      <c r="A2633" s="52" t="s">
        <v>3577</v>
      </c>
      <c r="B2633" s="52" t="s">
        <v>6890</v>
      </c>
      <c r="C2633" s="52" t="s">
        <v>827</v>
      </c>
    </row>
    <row r="2634" spans="1:3" hidden="1" x14ac:dyDescent="0.25">
      <c r="A2634" s="52" t="s">
        <v>3578</v>
      </c>
      <c r="B2634" s="52" t="s">
        <v>6891</v>
      </c>
      <c r="C2634" s="52" t="s">
        <v>827</v>
      </c>
    </row>
    <row r="2635" spans="1:3" hidden="1" x14ac:dyDescent="0.25">
      <c r="A2635" s="52" t="s">
        <v>3579</v>
      </c>
      <c r="B2635" s="52" t="s">
        <v>6892</v>
      </c>
      <c r="C2635" s="52" t="s">
        <v>827</v>
      </c>
    </row>
    <row r="2636" spans="1:3" hidden="1" x14ac:dyDescent="0.25">
      <c r="A2636" s="52" t="s">
        <v>3580</v>
      </c>
      <c r="B2636" s="52" t="s">
        <v>6893</v>
      </c>
      <c r="C2636" s="52" t="s">
        <v>827</v>
      </c>
    </row>
    <row r="2637" spans="1:3" hidden="1" x14ac:dyDescent="0.25">
      <c r="A2637" s="52" t="s">
        <v>3581</v>
      </c>
      <c r="B2637" s="52" t="s">
        <v>6894</v>
      </c>
      <c r="C2637" s="52" t="s">
        <v>827</v>
      </c>
    </row>
    <row r="2638" spans="1:3" hidden="1" x14ac:dyDescent="0.25">
      <c r="A2638" s="52" t="s">
        <v>3582</v>
      </c>
      <c r="B2638" s="52" t="s">
        <v>6895</v>
      </c>
      <c r="C2638" s="52" t="s">
        <v>829</v>
      </c>
    </row>
    <row r="2639" spans="1:3" hidden="1" x14ac:dyDescent="0.25">
      <c r="A2639" s="52" t="s">
        <v>3583</v>
      </c>
      <c r="B2639" s="52" t="s">
        <v>6896</v>
      </c>
      <c r="C2639" s="52" t="s">
        <v>829</v>
      </c>
    </row>
    <row r="2640" spans="1:3" hidden="1" x14ac:dyDescent="0.25">
      <c r="A2640" s="52" t="s">
        <v>3584</v>
      </c>
      <c r="B2640" s="52" t="s">
        <v>6897</v>
      </c>
      <c r="C2640" s="52" t="s">
        <v>829</v>
      </c>
    </row>
    <row r="2641" spans="1:3" hidden="1" x14ac:dyDescent="0.25">
      <c r="A2641" s="52" t="s">
        <v>3585</v>
      </c>
      <c r="B2641" s="52" t="s">
        <v>6898</v>
      </c>
      <c r="C2641" s="52" t="s">
        <v>829</v>
      </c>
    </row>
    <row r="2642" spans="1:3" hidden="1" x14ac:dyDescent="0.25">
      <c r="A2642" s="52" t="s">
        <v>3586</v>
      </c>
      <c r="B2642" s="52" t="s">
        <v>6899</v>
      </c>
      <c r="C2642" s="52" t="s">
        <v>829</v>
      </c>
    </row>
    <row r="2643" spans="1:3" hidden="1" x14ac:dyDescent="0.25">
      <c r="A2643" s="52" t="s">
        <v>3587</v>
      </c>
      <c r="B2643" s="52" t="s">
        <v>6900</v>
      </c>
      <c r="C2643" s="52" t="s">
        <v>829</v>
      </c>
    </row>
    <row r="2644" spans="1:3" hidden="1" x14ac:dyDescent="0.25">
      <c r="A2644" s="52" t="s">
        <v>3588</v>
      </c>
      <c r="B2644" s="52" t="s">
        <v>6901</v>
      </c>
      <c r="C2644" s="52" t="s">
        <v>829</v>
      </c>
    </row>
    <row r="2645" spans="1:3" hidden="1" x14ac:dyDescent="0.25">
      <c r="A2645" s="52" t="s">
        <v>3589</v>
      </c>
      <c r="B2645" s="52" t="s">
        <v>6902</v>
      </c>
      <c r="C2645" s="52" t="s">
        <v>829</v>
      </c>
    </row>
    <row r="2646" spans="1:3" hidden="1" x14ac:dyDescent="0.25">
      <c r="A2646" s="52" t="s">
        <v>3590</v>
      </c>
      <c r="B2646" s="52" t="s">
        <v>6903</v>
      </c>
      <c r="C2646" s="52" t="s">
        <v>829</v>
      </c>
    </row>
    <row r="2647" spans="1:3" hidden="1" x14ac:dyDescent="0.25">
      <c r="A2647" s="52" t="s">
        <v>3591</v>
      </c>
      <c r="B2647" s="52" t="s">
        <v>6904</v>
      </c>
      <c r="C2647" s="52" t="s">
        <v>829</v>
      </c>
    </row>
    <row r="2648" spans="1:3" hidden="1" x14ac:dyDescent="0.25">
      <c r="A2648" s="52" t="s">
        <v>3592</v>
      </c>
      <c r="B2648" s="52" t="s">
        <v>5464</v>
      </c>
      <c r="C2648" s="52" t="s">
        <v>829</v>
      </c>
    </row>
    <row r="2649" spans="1:3" hidden="1" x14ac:dyDescent="0.25">
      <c r="A2649" s="52" t="s">
        <v>3593</v>
      </c>
      <c r="B2649" s="52" t="s">
        <v>6905</v>
      </c>
      <c r="C2649" s="52" t="s">
        <v>829</v>
      </c>
    </row>
    <row r="2650" spans="1:3" hidden="1" x14ac:dyDescent="0.25">
      <c r="A2650" s="52" t="s">
        <v>3594</v>
      </c>
      <c r="B2650" s="52" t="s">
        <v>6906</v>
      </c>
      <c r="C2650" s="52" t="s">
        <v>829</v>
      </c>
    </row>
    <row r="2651" spans="1:3" hidden="1" x14ac:dyDescent="0.25">
      <c r="A2651" s="52" t="s">
        <v>3595</v>
      </c>
      <c r="B2651" s="52" t="s">
        <v>6907</v>
      </c>
      <c r="C2651" s="52" t="s">
        <v>829</v>
      </c>
    </row>
    <row r="2652" spans="1:3" hidden="1" x14ac:dyDescent="0.25">
      <c r="A2652" s="52" t="s">
        <v>3596</v>
      </c>
      <c r="B2652" s="52" t="s">
        <v>6908</v>
      </c>
      <c r="C2652" s="52" t="s">
        <v>829</v>
      </c>
    </row>
    <row r="2653" spans="1:3" hidden="1" x14ac:dyDescent="0.25">
      <c r="A2653" s="52" t="s">
        <v>3597</v>
      </c>
      <c r="B2653" s="52" t="s">
        <v>1249</v>
      </c>
      <c r="C2653" s="52" t="s">
        <v>829</v>
      </c>
    </row>
    <row r="2654" spans="1:3" hidden="1" x14ac:dyDescent="0.25">
      <c r="A2654" s="52" t="s">
        <v>3598</v>
      </c>
      <c r="B2654" s="52" t="s">
        <v>6909</v>
      </c>
      <c r="C2654" s="52" t="s">
        <v>829</v>
      </c>
    </row>
    <row r="2655" spans="1:3" hidden="1" x14ac:dyDescent="0.25">
      <c r="A2655" s="52" t="s">
        <v>3599</v>
      </c>
      <c r="B2655" s="52" t="s">
        <v>6910</v>
      </c>
      <c r="C2655" s="52" t="s">
        <v>829</v>
      </c>
    </row>
    <row r="2656" spans="1:3" hidden="1" x14ac:dyDescent="0.25">
      <c r="A2656" s="52" t="s">
        <v>3600</v>
      </c>
      <c r="B2656" s="52" t="s">
        <v>6911</v>
      </c>
      <c r="C2656" s="52" t="s">
        <v>829</v>
      </c>
    </row>
    <row r="2657" spans="1:3" hidden="1" x14ac:dyDescent="0.25">
      <c r="A2657" s="52" t="s">
        <v>3601</v>
      </c>
      <c r="B2657" s="52" t="s">
        <v>6445</v>
      </c>
      <c r="C2657" s="52" t="s">
        <v>829</v>
      </c>
    </row>
    <row r="2658" spans="1:3" hidden="1" x14ac:dyDescent="0.25">
      <c r="A2658" s="52" t="s">
        <v>3602</v>
      </c>
      <c r="B2658" s="52" t="s">
        <v>6912</v>
      </c>
      <c r="C2658" s="52" t="s">
        <v>829</v>
      </c>
    </row>
    <row r="2659" spans="1:3" hidden="1" x14ac:dyDescent="0.25">
      <c r="A2659" s="52" t="s">
        <v>3603</v>
      </c>
      <c r="B2659" s="52" t="s">
        <v>4892</v>
      </c>
      <c r="C2659" s="52" t="s">
        <v>829</v>
      </c>
    </row>
    <row r="2660" spans="1:3" hidden="1" x14ac:dyDescent="0.25">
      <c r="A2660" s="52" t="s">
        <v>3604</v>
      </c>
      <c r="B2660" s="52" t="s">
        <v>6913</v>
      </c>
      <c r="C2660" s="52" t="s">
        <v>829</v>
      </c>
    </row>
    <row r="2661" spans="1:3" hidden="1" x14ac:dyDescent="0.25">
      <c r="A2661" s="52" t="s">
        <v>3605</v>
      </c>
      <c r="B2661" s="52" t="s">
        <v>6914</v>
      </c>
      <c r="C2661" s="52" t="s">
        <v>829</v>
      </c>
    </row>
    <row r="2662" spans="1:3" hidden="1" x14ac:dyDescent="0.25">
      <c r="A2662" s="52" t="s">
        <v>3606</v>
      </c>
      <c r="B2662" s="52" t="s">
        <v>6915</v>
      </c>
      <c r="C2662" s="52" t="s">
        <v>829</v>
      </c>
    </row>
    <row r="2663" spans="1:3" hidden="1" x14ac:dyDescent="0.25">
      <c r="A2663" s="52" t="s">
        <v>3607</v>
      </c>
      <c r="B2663" s="52" t="s">
        <v>6916</v>
      </c>
      <c r="C2663" s="52" t="s">
        <v>829</v>
      </c>
    </row>
    <row r="2664" spans="1:3" hidden="1" x14ac:dyDescent="0.25">
      <c r="A2664" s="52" t="s">
        <v>3608</v>
      </c>
      <c r="B2664" s="52" t="s">
        <v>5572</v>
      </c>
      <c r="C2664" s="52" t="s">
        <v>829</v>
      </c>
    </row>
    <row r="2665" spans="1:3" hidden="1" x14ac:dyDescent="0.25">
      <c r="A2665" s="52" t="s">
        <v>3609</v>
      </c>
      <c r="B2665" s="52" t="s">
        <v>6917</v>
      </c>
      <c r="C2665" s="52" t="s">
        <v>829</v>
      </c>
    </row>
    <row r="2666" spans="1:3" hidden="1" x14ac:dyDescent="0.25">
      <c r="A2666" s="52" t="s">
        <v>3610</v>
      </c>
      <c r="B2666" s="52" t="s">
        <v>6918</v>
      </c>
      <c r="C2666" s="52" t="s">
        <v>829</v>
      </c>
    </row>
    <row r="2667" spans="1:3" hidden="1" x14ac:dyDescent="0.25">
      <c r="A2667" s="52" t="s">
        <v>3611</v>
      </c>
      <c r="B2667" s="52" t="s">
        <v>6838</v>
      </c>
      <c r="C2667" s="52" t="s">
        <v>829</v>
      </c>
    </row>
    <row r="2668" spans="1:3" hidden="1" x14ac:dyDescent="0.25">
      <c r="A2668" s="52" t="s">
        <v>3612</v>
      </c>
      <c r="B2668" s="52" t="s">
        <v>6919</v>
      </c>
      <c r="C2668" s="52" t="s">
        <v>829</v>
      </c>
    </row>
    <row r="2669" spans="1:3" hidden="1" x14ac:dyDescent="0.25">
      <c r="A2669" s="52" t="s">
        <v>3613</v>
      </c>
      <c r="B2669" s="52" t="s">
        <v>6920</v>
      </c>
      <c r="C2669" s="52" t="s">
        <v>829</v>
      </c>
    </row>
    <row r="2670" spans="1:3" hidden="1" x14ac:dyDescent="0.25">
      <c r="A2670" s="52" t="s">
        <v>3614</v>
      </c>
      <c r="B2670" s="52" t="s">
        <v>6921</v>
      </c>
      <c r="C2670" s="52" t="s">
        <v>829</v>
      </c>
    </row>
    <row r="2671" spans="1:3" hidden="1" x14ac:dyDescent="0.25">
      <c r="A2671" s="52" t="s">
        <v>3615</v>
      </c>
      <c r="B2671" s="52" t="s">
        <v>6922</v>
      </c>
      <c r="C2671" s="52" t="s">
        <v>829</v>
      </c>
    </row>
    <row r="2672" spans="1:3" hidden="1" x14ac:dyDescent="0.25">
      <c r="A2672" s="52" t="s">
        <v>3616</v>
      </c>
      <c r="B2672" s="52" t="s">
        <v>5493</v>
      </c>
      <c r="C2672" s="52" t="s">
        <v>829</v>
      </c>
    </row>
    <row r="2673" spans="1:3" hidden="1" x14ac:dyDescent="0.25">
      <c r="A2673" s="52" t="s">
        <v>3617</v>
      </c>
      <c r="B2673" s="52" t="s">
        <v>6467</v>
      </c>
      <c r="C2673" s="52" t="s">
        <v>829</v>
      </c>
    </row>
    <row r="2674" spans="1:3" hidden="1" x14ac:dyDescent="0.25">
      <c r="A2674" s="52" t="s">
        <v>3618</v>
      </c>
      <c r="B2674" s="52" t="s">
        <v>6923</v>
      </c>
      <c r="C2674" s="52" t="s">
        <v>829</v>
      </c>
    </row>
    <row r="2675" spans="1:3" hidden="1" x14ac:dyDescent="0.25">
      <c r="A2675" s="52" t="s">
        <v>3619</v>
      </c>
      <c r="B2675" s="52" t="s">
        <v>6924</v>
      </c>
      <c r="C2675" s="52" t="s">
        <v>829</v>
      </c>
    </row>
    <row r="2676" spans="1:3" hidden="1" x14ac:dyDescent="0.25">
      <c r="A2676" s="52" t="s">
        <v>3620</v>
      </c>
      <c r="B2676" s="52" t="s">
        <v>6925</v>
      </c>
      <c r="C2676" s="52" t="s">
        <v>829</v>
      </c>
    </row>
    <row r="2677" spans="1:3" hidden="1" x14ac:dyDescent="0.25">
      <c r="A2677" s="52" t="s">
        <v>3621</v>
      </c>
      <c r="B2677" s="52" t="s">
        <v>6926</v>
      </c>
      <c r="C2677" s="52" t="s">
        <v>829</v>
      </c>
    </row>
    <row r="2678" spans="1:3" hidden="1" x14ac:dyDescent="0.25">
      <c r="A2678" s="52" t="s">
        <v>3622</v>
      </c>
      <c r="B2678" s="52" t="s">
        <v>6927</v>
      </c>
      <c r="C2678" s="52" t="s">
        <v>829</v>
      </c>
    </row>
    <row r="2679" spans="1:3" hidden="1" x14ac:dyDescent="0.25">
      <c r="A2679" s="52" t="s">
        <v>3623</v>
      </c>
      <c r="B2679" s="52" t="s">
        <v>6928</v>
      </c>
      <c r="C2679" s="52" t="s">
        <v>829</v>
      </c>
    </row>
    <row r="2680" spans="1:3" hidden="1" x14ac:dyDescent="0.25">
      <c r="A2680" s="52" t="s">
        <v>3624</v>
      </c>
      <c r="B2680" s="52" t="s">
        <v>6929</v>
      </c>
      <c r="C2680" s="52" t="s">
        <v>829</v>
      </c>
    </row>
    <row r="2681" spans="1:3" hidden="1" x14ac:dyDescent="0.25">
      <c r="A2681" s="52" t="s">
        <v>3625</v>
      </c>
      <c r="B2681" s="52" t="s">
        <v>6930</v>
      </c>
      <c r="C2681" s="52" t="s">
        <v>829</v>
      </c>
    </row>
    <row r="2682" spans="1:3" hidden="1" x14ac:dyDescent="0.25">
      <c r="A2682" s="52" t="s">
        <v>3626</v>
      </c>
      <c r="B2682" s="52" t="s">
        <v>6931</v>
      </c>
      <c r="C2682" s="52" t="s">
        <v>829</v>
      </c>
    </row>
    <row r="2683" spans="1:3" hidden="1" x14ac:dyDescent="0.25">
      <c r="A2683" s="52" t="s">
        <v>3627</v>
      </c>
      <c r="B2683" s="52" t="s">
        <v>6932</v>
      </c>
      <c r="C2683" s="52" t="s">
        <v>829</v>
      </c>
    </row>
    <row r="2684" spans="1:3" hidden="1" x14ac:dyDescent="0.25">
      <c r="A2684" s="52" t="s">
        <v>3628</v>
      </c>
      <c r="B2684" s="52" t="s">
        <v>6933</v>
      </c>
      <c r="C2684" s="52" t="s">
        <v>829</v>
      </c>
    </row>
    <row r="2685" spans="1:3" hidden="1" x14ac:dyDescent="0.25">
      <c r="A2685" s="52" t="s">
        <v>3629</v>
      </c>
      <c r="B2685" s="52" t="s">
        <v>6934</v>
      </c>
      <c r="C2685" s="52" t="s">
        <v>829</v>
      </c>
    </row>
    <row r="2686" spans="1:3" hidden="1" x14ac:dyDescent="0.25">
      <c r="A2686" s="52" t="s">
        <v>3630</v>
      </c>
      <c r="B2686" s="52" t="s">
        <v>6935</v>
      </c>
      <c r="C2686" s="52" t="s">
        <v>829</v>
      </c>
    </row>
    <row r="2687" spans="1:3" hidden="1" x14ac:dyDescent="0.25">
      <c r="A2687" s="52" t="s">
        <v>3631</v>
      </c>
      <c r="B2687" s="52" t="s">
        <v>6936</v>
      </c>
      <c r="C2687" s="52" t="s">
        <v>829</v>
      </c>
    </row>
    <row r="2688" spans="1:3" hidden="1" x14ac:dyDescent="0.25">
      <c r="A2688" s="52" t="s">
        <v>3632</v>
      </c>
      <c r="B2688" s="52" t="s">
        <v>6937</v>
      </c>
      <c r="C2688" s="52" t="s">
        <v>829</v>
      </c>
    </row>
    <row r="2689" spans="1:3" hidden="1" x14ac:dyDescent="0.25">
      <c r="A2689" s="52" t="s">
        <v>3633</v>
      </c>
      <c r="B2689" s="52" t="s">
        <v>6938</v>
      </c>
      <c r="C2689" s="52" t="s">
        <v>829</v>
      </c>
    </row>
    <row r="2690" spans="1:3" hidden="1" x14ac:dyDescent="0.25">
      <c r="A2690" s="52" t="s">
        <v>3634</v>
      </c>
      <c r="B2690" s="52" t="s">
        <v>6939</v>
      </c>
      <c r="C2690" s="52" t="s">
        <v>829</v>
      </c>
    </row>
    <row r="2691" spans="1:3" hidden="1" x14ac:dyDescent="0.25">
      <c r="A2691" s="52" t="s">
        <v>3635</v>
      </c>
      <c r="B2691" s="52" t="s">
        <v>6940</v>
      </c>
      <c r="C2691" s="52" t="s">
        <v>829</v>
      </c>
    </row>
    <row r="2692" spans="1:3" hidden="1" x14ac:dyDescent="0.25">
      <c r="A2692" s="52" t="s">
        <v>3636</v>
      </c>
      <c r="B2692" s="52" t="s">
        <v>6941</v>
      </c>
      <c r="C2692" s="52" t="s">
        <v>829</v>
      </c>
    </row>
    <row r="2693" spans="1:3" hidden="1" x14ac:dyDescent="0.25">
      <c r="A2693" s="52" t="s">
        <v>3637</v>
      </c>
      <c r="B2693" s="52" t="s">
        <v>6942</v>
      </c>
      <c r="C2693" s="52" t="s">
        <v>829</v>
      </c>
    </row>
    <row r="2694" spans="1:3" hidden="1" x14ac:dyDescent="0.25">
      <c r="A2694" s="52" t="s">
        <v>3638</v>
      </c>
      <c r="B2694" s="52" t="s">
        <v>6943</v>
      </c>
      <c r="C2694" s="52" t="s">
        <v>829</v>
      </c>
    </row>
    <row r="2695" spans="1:3" hidden="1" x14ac:dyDescent="0.25">
      <c r="A2695" s="52" t="s">
        <v>3639</v>
      </c>
      <c r="B2695" s="52" t="s">
        <v>6944</v>
      </c>
      <c r="C2695" s="52" t="s">
        <v>829</v>
      </c>
    </row>
    <row r="2696" spans="1:3" hidden="1" x14ac:dyDescent="0.25">
      <c r="A2696" s="52" t="s">
        <v>3640</v>
      </c>
      <c r="B2696" s="52" t="s">
        <v>6945</v>
      </c>
      <c r="C2696" s="52" t="s">
        <v>829</v>
      </c>
    </row>
    <row r="2697" spans="1:3" hidden="1" x14ac:dyDescent="0.25">
      <c r="A2697" s="52" t="s">
        <v>3641</v>
      </c>
      <c r="B2697" s="52" t="s">
        <v>6946</v>
      </c>
      <c r="C2697" s="52" t="s">
        <v>829</v>
      </c>
    </row>
    <row r="2698" spans="1:3" hidden="1" x14ac:dyDescent="0.25">
      <c r="A2698" s="52" t="s">
        <v>3642</v>
      </c>
      <c r="B2698" s="52" t="s">
        <v>6947</v>
      </c>
      <c r="C2698" s="52" t="s">
        <v>829</v>
      </c>
    </row>
    <row r="2699" spans="1:3" hidden="1" x14ac:dyDescent="0.25">
      <c r="A2699" s="52" t="s">
        <v>3643</v>
      </c>
      <c r="B2699" s="52" t="s">
        <v>6948</v>
      </c>
      <c r="C2699" s="52" t="s">
        <v>829</v>
      </c>
    </row>
    <row r="2700" spans="1:3" hidden="1" x14ac:dyDescent="0.25">
      <c r="A2700" s="52" t="s">
        <v>3644</v>
      </c>
      <c r="B2700" s="52" t="s">
        <v>6949</v>
      </c>
      <c r="C2700" s="52" t="s">
        <v>829</v>
      </c>
    </row>
    <row r="2701" spans="1:3" hidden="1" x14ac:dyDescent="0.25">
      <c r="A2701" s="52" t="s">
        <v>3645</v>
      </c>
      <c r="B2701" s="52" t="s">
        <v>6950</v>
      </c>
      <c r="C2701" s="52" t="s">
        <v>829</v>
      </c>
    </row>
    <row r="2702" spans="1:3" hidden="1" x14ac:dyDescent="0.25">
      <c r="A2702" s="52" t="s">
        <v>3646</v>
      </c>
      <c r="B2702" s="52" t="s">
        <v>6951</v>
      </c>
      <c r="C2702" s="52" t="s">
        <v>829</v>
      </c>
    </row>
    <row r="2703" spans="1:3" hidden="1" x14ac:dyDescent="0.25">
      <c r="A2703" s="52" t="s">
        <v>3647</v>
      </c>
      <c r="B2703" s="52" t="s">
        <v>6952</v>
      </c>
      <c r="C2703" s="52" t="s">
        <v>829</v>
      </c>
    </row>
    <row r="2704" spans="1:3" hidden="1" x14ac:dyDescent="0.25">
      <c r="A2704" s="52" t="s">
        <v>3648</v>
      </c>
      <c r="B2704" s="52" t="s">
        <v>5975</v>
      </c>
      <c r="C2704" s="52" t="s">
        <v>829</v>
      </c>
    </row>
    <row r="2705" spans="1:3" hidden="1" x14ac:dyDescent="0.25">
      <c r="A2705" s="52" t="s">
        <v>3649</v>
      </c>
      <c r="B2705" s="52" t="s">
        <v>6953</v>
      </c>
      <c r="C2705" s="52" t="s">
        <v>829</v>
      </c>
    </row>
    <row r="2706" spans="1:3" hidden="1" x14ac:dyDescent="0.25">
      <c r="A2706" s="52" t="s">
        <v>3650</v>
      </c>
      <c r="B2706" s="52" t="s">
        <v>6954</v>
      </c>
      <c r="C2706" s="52" t="s">
        <v>829</v>
      </c>
    </row>
    <row r="2707" spans="1:3" hidden="1" x14ac:dyDescent="0.25">
      <c r="A2707" s="52" t="s">
        <v>3651</v>
      </c>
      <c r="B2707" s="52" t="s">
        <v>6887</v>
      </c>
      <c r="C2707" s="52" t="s">
        <v>829</v>
      </c>
    </row>
    <row r="2708" spans="1:3" hidden="1" x14ac:dyDescent="0.25">
      <c r="A2708" s="52" t="s">
        <v>3652</v>
      </c>
      <c r="B2708" s="52" t="s">
        <v>5416</v>
      </c>
      <c r="C2708" s="52" t="s">
        <v>829</v>
      </c>
    </row>
    <row r="2709" spans="1:3" hidden="1" x14ac:dyDescent="0.25">
      <c r="A2709" s="52" t="s">
        <v>3653</v>
      </c>
      <c r="B2709" s="52" t="s">
        <v>6955</v>
      </c>
      <c r="C2709" s="52" t="s">
        <v>829</v>
      </c>
    </row>
    <row r="2710" spans="1:3" hidden="1" x14ac:dyDescent="0.25">
      <c r="A2710" s="52" t="s">
        <v>3654</v>
      </c>
      <c r="B2710" s="52" t="s">
        <v>6114</v>
      </c>
      <c r="C2710" s="52" t="s">
        <v>829</v>
      </c>
    </row>
    <row r="2711" spans="1:3" hidden="1" x14ac:dyDescent="0.25">
      <c r="A2711" s="52" t="s">
        <v>3655</v>
      </c>
      <c r="B2711" s="52" t="s">
        <v>4717</v>
      </c>
      <c r="C2711" s="52" t="s">
        <v>829</v>
      </c>
    </row>
    <row r="2712" spans="1:3" hidden="1" x14ac:dyDescent="0.25">
      <c r="A2712" s="52" t="s">
        <v>3656</v>
      </c>
      <c r="B2712" s="52" t="s">
        <v>5976</v>
      </c>
      <c r="C2712" s="52" t="s">
        <v>829</v>
      </c>
    </row>
    <row r="2713" spans="1:3" hidden="1" x14ac:dyDescent="0.25">
      <c r="A2713" s="52" t="s">
        <v>3657</v>
      </c>
      <c r="B2713" s="52" t="s">
        <v>6956</v>
      </c>
      <c r="C2713" s="52" t="s">
        <v>829</v>
      </c>
    </row>
    <row r="2714" spans="1:3" hidden="1" x14ac:dyDescent="0.25">
      <c r="A2714" s="52" t="s">
        <v>3658</v>
      </c>
      <c r="B2714" s="52" t="s">
        <v>6957</v>
      </c>
      <c r="C2714" s="52" t="s">
        <v>829</v>
      </c>
    </row>
    <row r="2715" spans="1:3" hidden="1" x14ac:dyDescent="0.25">
      <c r="A2715" s="52" t="s">
        <v>3659</v>
      </c>
      <c r="B2715" s="52" t="s">
        <v>4851</v>
      </c>
      <c r="C2715" s="52" t="s">
        <v>829</v>
      </c>
    </row>
    <row r="2716" spans="1:3" hidden="1" x14ac:dyDescent="0.25">
      <c r="A2716" s="52" t="s">
        <v>3660</v>
      </c>
      <c r="B2716" s="52" t="s">
        <v>6958</v>
      </c>
      <c r="C2716" s="52" t="s">
        <v>829</v>
      </c>
    </row>
    <row r="2717" spans="1:3" hidden="1" x14ac:dyDescent="0.25">
      <c r="A2717" s="52" t="s">
        <v>3661</v>
      </c>
      <c r="B2717" s="52" t="s">
        <v>6959</v>
      </c>
      <c r="C2717" s="52" t="s">
        <v>829</v>
      </c>
    </row>
    <row r="2718" spans="1:3" hidden="1" x14ac:dyDescent="0.25">
      <c r="A2718" s="52" t="s">
        <v>3662</v>
      </c>
      <c r="B2718" s="52" t="s">
        <v>6245</v>
      </c>
      <c r="C2718" s="52" t="s">
        <v>829</v>
      </c>
    </row>
    <row r="2719" spans="1:3" hidden="1" x14ac:dyDescent="0.25">
      <c r="A2719" s="52" t="s">
        <v>3663</v>
      </c>
      <c r="B2719" s="52" t="s">
        <v>6960</v>
      </c>
      <c r="C2719" s="52" t="s">
        <v>829</v>
      </c>
    </row>
    <row r="2720" spans="1:3" hidden="1" x14ac:dyDescent="0.25">
      <c r="A2720" s="52" t="s">
        <v>3664</v>
      </c>
      <c r="B2720" s="52" t="s">
        <v>6961</v>
      </c>
      <c r="C2720" s="52" t="s">
        <v>829</v>
      </c>
    </row>
    <row r="2721" spans="1:3" hidden="1" x14ac:dyDescent="0.25">
      <c r="A2721" s="52" t="s">
        <v>3665</v>
      </c>
      <c r="B2721" s="52" t="s">
        <v>6962</v>
      </c>
      <c r="C2721" s="52" t="s">
        <v>829</v>
      </c>
    </row>
    <row r="2722" spans="1:3" hidden="1" x14ac:dyDescent="0.25">
      <c r="A2722" s="52" t="s">
        <v>3666</v>
      </c>
      <c r="B2722" s="52" t="s">
        <v>6963</v>
      </c>
      <c r="C2722" s="52" t="s">
        <v>829</v>
      </c>
    </row>
    <row r="2723" spans="1:3" hidden="1" x14ac:dyDescent="0.25">
      <c r="A2723" s="52" t="s">
        <v>3667</v>
      </c>
      <c r="B2723" s="52" t="s">
        <v>6964</v>
      </c>
      <c r="C2723" s="52" t="s">
        <v>829</v>
      </c>
    </row>
    <row r="2724" spans="1:3" hidden="1" x14ac:dyDescent="0.25">
      <c r="A2724" s="52" t="s">
        <v>3668</v>
      </c>
      <c r="B2724" s="52" t="s">
        <v>6965</v>
      </c>
      <c r="C2724" s="52" t="s">
        <v>829</v>
      </c>
    </row>
    <row r="2725" spans="1:3" hidden="1" x14ac:dyDescent="0.25">
      <c r="A2725" s="52" t="s">
        <v>3669</v>
      </c>
      <c r="B2725" s="52" t="s">
        <v>6966</v>
      </c>
      <c r="C2725" s="52" t="s">
        <v>829</v>
      </c>
    </row>
    <row r="2726" spans="1:3" hidden="1" x14ac:dyDescent="0.25">
      <c r="A2726" s="52" t="s">
        <v>3670</v>
      </c>
      <c r="B2726" s="52" t="s">
        <v>6967</v>
      </c>
      <c r="C2726" s="52" t="s">
        <v>829</v>
      </c>
    </row>
    <row r="2727" spans="1:3" hidden="1" x14ac:dyDescent="0.25">
      <c r="A2727" s="52" t="s">
        <v>3671</v>
      </c>
      <c r="B2727" s="52" t="s">
        <v>6123</v>
      </c>
      <c r="C2727" s="52" t="s">
        <v>829</v>
      </c>
    </row>
    <row r="2728" spans="1:3" hidden="1" x14ac:dyDescent="0.25">
      <c r="A2728" s="52" t="s">
        <v>3672</v>
      </c>
      <c r="B2728" s="52" t="s">
        <v>6968</v>
      </c>
      <c r="C2728" s="52" t="s">
        <v>829</v>
      </c>
    </row>
    <row r="2729" spans="1:3" hidden="1" x14ac:dyDescent="0.25">
      <c r="A2729" s="52" t="s">
        <v>3673</v>
      </c>
      <c r="B2729" s="52" t="s">
        <v>6969</v>
      </c>
      <c r="C2729" s="52" t="s">
        <v>829</v>
      </c>
    </row>
    <row r="2730" spans="1:3" hidden="1" x14ac:dyDescent="0.25">
      <c r="A2730" s="52" t="s">
        <v>3674</v>
      </c>
      <c r="B2730" s="52" t="s">
        <v>6970</v>
      </c>
      <c r="C2730" s="52" t="s">
        <v>829</v>
      </c>
    </row>
    <row r="2731" spans="1:3" hidden="1" x14ac:dyDescent="0.25">
      <c r="A2731" s="52" t="s">
        <v>3675</v>
      </c>
      <c r="B2731" s="52" t="s">
        <v>6971</v>
      </c>
      <c r="C2731" s="52" t="s">
        <v>829</v>
      </c>
    </row>
    <row r="2732" spans="1:3" hidden="1" x14ac:dyDescent="0.25">
      <c r="A2732" s="52" t="s">
        <v>3676</v>
      </c>
      <c r="B2732" s="52" t="s">
        <v>5621</v>
      </c>
      <c r="C2732" s="52" t="s">
        <v>829</v>
      </c>
    </row>
    <row r="2733" spans="1:3" hidden="1" x14ac:dyDescent="0.25">
      <c r="A2733" s="52" t="s">
        <v>3677</v>
      </c>
      <c r="B2733" s="52" t="s">
        <v>1234</v>
      </c>
      <c r="C2733" s="52" t="s">
        <v>829</v>
      </c>
    </row>
    <row r="2734" spans="1:3" hidden="1" x14ac:dyDescent="0.25">
      <c r="A2734" s="52" t="s">
        <v>3678</v>
      </c>
      <c r="B2734" s="52" t="s">
        <v>6972</v>
      </c>
      <c r="C2734" s="52" t="s">
        <v>831</v>
      </c>
    </row>
    <row r="2735" spans="1:3" hidden="1" x14ac:dyDescent="0.25">
      <c r="A2735" s="52" t="s">
        <v>3679</v>
      </c>
      <c r="B2735" s="52" t="s">
        <v>6973</v>
      </c>
      <c r="C2735" s="52" t="s">
        <v>831</v>
      </c>
    </row>
    <row r="2736" spans="1:3" hidden="1" x14ac:dyDescent="0.25">
      <c r="A2736" s="52" t="s">
        <v>3680</v>
      </c>
      <c r="B2736" s="52" t="s">
        <v>6974</v>
      </c>
      <c r="C2736" s="52" t="s">
        <v>831</v>
      </c>
    </row>
    <row r="2737" spans="1:3" hidden="1" x14ac:dyDescent="0.25">
      <c r="A2737" s="52" t="s">
        <v>3681</v>
      </c>
      <c r="B2737" s="52" t="s">
        <v>6975</v>
      </c>
      <c r="C2737" s="52" t="s">
        <v>831</v>
      </c>
    </row>
    <row r="2738" spans="1:3" hidden="1" x14ac:dyDescent="0.25">
      <c r="A2738" s="52" t="s">
        <v>3682</v>
      </c>
      <c r="B2738" s="52" t="s">
        <v>6976</v>
      </c>
      <c r="C2738" s="52" t="s">
        <v>831</v>
      </c>
    </row>
    <row r="2739" spans="1:3" hidden="1" x14ac:dyDescent="0.25">
      <c r="A2739" s="52" t="s">
        <v>3683</v>
      </c>
      <c r="B2739" s="52" t="s">
        <v>6977</v>
      </c>
      <c r="C2739" s="52" t="s">
        <v>831</v>
      </c>
    </row>
    <row r="2740" spans="1:3" hidden="1" x14ac:dyDescent="0.25">
      <c r="A2740" s="52" t="s">
        <v>3684</v>
      </c>
      <c r="B2740" s="52" t="s">
        <v>6978</v>
      </c>
      <c r="C2740" s="52" t="s">
        <v>831</v>
      </c>
    </row>
    <row r="2741" spans="1:3" hidden="1" x14ac:dyDescent="0.25">
      <c r="A2741" s="52" t="s">
        <v>3685</v>
      </c>
      <c r="B2741" s="52" t="s">
        <v>6979</v>
      </c>
      <c r="C2741" s="52" t="s">
        <v>831</v>
      </c>
    </row>
    <row r="2742" spans="1:3" hidden="1" x14ac:dyDescent="0.25">
      <c r="A2742" s="52" t="s">
        <v>3686</v>
      </c>
      <c r="B2742" s="52" t="s">
        <v>6980</v>
      </c>
      <c r="C2742" s="52" t="s">
        <v>831</v>
      </c>
    </row>
    <row r="2743" spans="1:3" hidden="1" x14ac:dyDescent="0.25">
      <c r="A2743" s="52" t="s">
        <v>3687</v>
      </c>
      <c r="B2743" s="52" t="s">
        <v>6981</v>
      </c>
      <c r="C2743" s="52" t="s">
        <v>831</v>
      </c>
    </row>
    <row r="2744" spans="1:3" hidden="1" x14ac:dyDescent="0.25">
      <c r="A2744" s="52" t="s">
        <v>3688</v>
      </c>
      <c r="B2744" s="52" t="s">
        <v>6585</v>
      </c>
      <c r="C2744" s="52" t="s">
        <v>831</v>
      </c>
    </row>
    <row r="2745" spans="1:3" hidden="1" x14ac:dyDescent="0.25">
      <c r="A2745" s="52" t="s">
        <v>3689</v>
      </c>
      <c r="B2745" s="52" t="s">
        <v>6982</v>
      </c>
      <c r="C2745" s="52" t="s">
        <v>831</v>
      </c>
    </row>
    <row r="2746" spans="1:3" hidden="1" x14ac:dyDescent="0.25">
      <c r="A2746" s="52" t="s">
        <v>3690</v>
      </c>
      <c r="B2746" s="52" t="s">
        <v>6983</v>
      </c>
      <c r="C2746" s="52" t="s">
        <v>831</v>
      </c>
    </row>
    <row r="2747" spans="1:3" hidden="1" x14ac:dyDescent="0.25">
      <c r="A2747" s="52" t="s">
        <v>3691</v>
      </c>
      <c r="B2747" s="52" t="s">
        <v>6984</v>
      </c>
      <c r="C2747" s="52" t="s">
        <v>831</v>
      </c>
    </row>
    <row r="2748" spans="1:3" hidden="1" x14ac:dyDescent="0.25">
      <c r="A2748" s="52" t="s">
        <v>3692</v>
      </c>
      <c r="B2748" s="52" t="s">
        <v>6985</v>
      </c>
      <c r="C2748" s="52" t="s">
        <v>831</v>
      </c>
    </row>
    <row r="2749" spans="1:3" hidden="1" x14ac:dyDescent="0.25">
      <c r="A2749" s="52" t="s">
        <v>3693</v>
      </c>
      <c r="B2749" s="52" t="s">
        <v>6601</v>
      </c>
      <c r="C2749" s="52" t="s">
        <v>831</v>
      </c>
    </row>
    <row r="2750" spans="1:3" hidden="1" x14ac:dyDescent="0.25">
      <c r="A2750" s="52" t="s">
        <v>3694</v>
      </c>
      <c r="B2750" s="52" t="s">
        <v>6986</v>
      </c>
      <c r="C2750" s="52" t="s">
        <v>831</v>
      </c>
    </row>
    <row r="2751" spans="1:3" hidden="1" x14ac:dyDescent="0.25">
      <c r="A2751" s="52" t="s">
        <v>3695</v>
      </c>
      <c r="B2751" s="52" t="s">
        <v>6987</v>
      </c>
      <c r="C2751" s="52" t="s">
        <v>831</v>
      </c>
    </row>
    <row r="2752" spans="1:3" hidden="1" x14ac:dyDescent="0.25">
      <c r="A2752" s="52" t="s">
        <v>3696</v>
      </c>
      <c r="B2752" s="52" t="s">
        <v>6988</v>
      </c>
      <c r="C2752" s="52" t="s">
        <v>831</v>
      </c>
    </row>
    <row r="2753" spans="1:3" hidden="1" x14ac:dyDescent="0.25">
      <c r="A2753" s="52" t="s">
        <v>3697</v>
      </c>
      <c r="B2753" s="52" t="s">
        <v>6989</v>
      </c>
      <c r="C2753" s="52" t="s">
        <v>831</v>
      </c>
    </row>
    <row r="2754" spans="1:3" hidden="1" x14ac:dyDescent="0.25">
      <c r="A2754" s="52" t="s">
        <v>3698</v>
      </c>
      <c r="B2754" s="52" t="s">
        <v>6990</v>
      </c>
      <c r="C2754" s="52" t="s">
        <v>831</v>
      </c>
    </row>
    <row r="2755" spans="1:3" hidden="1" x14ac:dyDescent="0.25">
      <c r="A2755" s="52" t="s">
        <v>3699</v>
      </c>
      <c r="B2755" s="52" t="s">
        <v>6991</v>
      </c>
      <c r="C2755" s="52" t="s">
        <v>831</v>
      </c>
    </row>
    <row r="2756" spans="1:3" hidden="1" x14ac:dyDescent="0.25">
      <c r="A2756" s="52" t="s">
        <v>3700</v>
      </c>
      <c r="B2756" s="52" t="s">
        <v>6992</v>
      </c>
      <c r="C2756" s="52" t="s">
        <v>831</v>
      </c>
    </row>
    <row r="2757" spans="1:3" hidden="1" x14ac:dyDescent="0.25">
      <c r="A2757" s="52" t="s">
        <v>3701</v>
      </c>
      <c r="B2757" s="52" t="s">
        <v>6993</v>
      </c>
      <c r="C2757" s="52" t="s">
        <v>831</v>
      </c>
    </row>
    <row r="2758" spans="1:3" hidden="1" x14ac:dyDescent="0.25">
      <c r="A2758" s="52" t="s">
        <v>3702</v>
      </c>
      <c r="B2758" s="52" t="s">
        <v>6994</v>
      </c>
      <c r="C2758" s="52" t="s">
        <v>831</v>
      </c>
    </row>
    <row r="2759" spans="1:3" hidden="1" x14ac:dyDescent="0.25">
      <c r="A2759" s="52" t="s">
        <v>3703</v>
      </c>
      <c r="B2759" s="52" t="s">
        <v>6995</v>
      </c>
      <c r="C2759" s="52" t="s">
        <v>831</v>
      </c>
    </row>
    <row r="2760" spans="1:3" hidden="1" x14ac:dyDescent="0.25">
      <c r="A2760" s="52" t="s">
        <v>3704</v>
      </c>
      <c r="B2760" s="52" t="s">
        <v>4651</v>
      </c>
      <c r="C2760" s="52" t="s">
        <v>831</v>
      </c>
    </row>
    <row r="2761" spans="1:3" hidden="1" x14ac:dyDescent="0.25">
      <c r="A2761" s="52" t="s">
        <v>3705</v>
      </c>
      <c r="B2761" s="52" t="s">
        <v>903</v>
      </c>
      <c r="C2761" s="52" t="s">
        <v>831</v>
      </c>
    </row>
    <row r="2762" spans="1:3" hidden="1" x14ac:dyDescent="0.25">
      <c r="A2762" s="52" t="s">
        <v>3706</v>
      </c>
      <c r="B2762" s="52" t="s">
        <v>6996</v>
      </c>
      <c r="C2762" s="52" t="s">
        <v>831</v>
      </c>
    </row>
    <row r="2763" spans="1:3" hidden="1" x14ac:dyDescent="0.25">
      <c r="A2763" s="52" t="s">
        <v>3707</v>
      </c>
      <c r="B2763" s="52" t="s">
        <v>6997</v>
      </c>
      <c r="C2763" s="52" t="s">
        <v>831</v>
      </c>
    </row>
    <row r="2764" spans="1:3" hidden="1" x14ac:dyDescent="0.25">
      <c r="A2764" s="52" t="s">
        <v>3708</v>
      </c>
      <c r="B2764" s="52" t="s">
        <v>6998</v>
      </c>
      <c r="C2764" s="52" t="s">
        <v>831</v>
      </c>
    </row>
    <row r="2765" spans="1:3" hidden="1" x14ac:dyDescent="0.25">
      <c r="A2765" s="52" t="s">
        <v>3709</v>
      </c>
      <c r="B2765" s="52" t="s">
        <v>6999</v>
      </c>
      <c r="C2765" s="52" t="s">
        <v>831</v>
      </c>
    </row>
    <row r="2766" spans="1:3" hidden="1" x14ac:dyDescent="0.25">
      <c r="A2766" s="52" t="s">
        <v>3710</v>
      </c>
      <c r="B2766" s="52" t="s">
        <v>7000</v>
      </c>
      <c r="C2766" s="52" t="s">
        <v>831</v>
      </c>
    </row>
    <row r="2767" spans="1:3" hidden="1" x14ac:dyDescent="0.25">
      <c r="A2767" s="52" t="s">
        <v>3711</v>
      </c>
      <c r="B2767" s="52" t="s">
        <v>7001</v>
      </c>
      <c r="C2767" s="52" t="s">
        <v>831</v>
      </c>
    </row>
    <row r="2768" spans="1:3" hidden="1" x14ac:dyDescent="0.25">
      <c r="A2768" s="52" t="s">
        <v>3712</v>
      </c>
      <c r="B2768" s="52" t="s">
        <v>7002</v>
      </c>
      <c r="C2768" s="52" t="s">
        <v>831</v>
      </c>
    </row>
    <row r="2769" spans="1:3" hidden="1" x14ac:dyDescent="0.25">
      <c r="A2769" s="52" t="s">
        <v>3713</v>
      </c>
      <c r="B2769" s="52" t="s">
        <v>7003</v>
      </c>
      <c r="C2769" s="52" t="s">
        <v>831</v>
      </c>
    </row>
    <row r="2770" spans="1:3" hidden="1" x14ac:dyDescent="0.25">
      <c r="A2770" s="52" t="s">
        <v>3714</v>
      </c>
      <c r="B2770" s="52" t="s">
        <v>7004</v>
      </c>
      <c r="C2770" s="52" t="s">
        <v>831</v>
      </c>
    </row>
    <row r="2771" spans="1:3" hidden="1" x14ac:dyDescent="0.25">
      <c r="A2771" s="52" t="s">
        <v>3715</v>
      </c>
      <c r="B2771" s="52" t="s">
        <v>7005</v>
      </c>
      <c r="C2771" s="52" t="s">
        <v>831</v>
      </c>
    </row>
    <row r="2772" spans="1:3" hidden="1" x14ac:dyDescent="0.25">
      <c r="A2772" s="52" t="s">
        <v>3716</v>
      </c>
      <c r="B2772" s="52" t="s">
        <v>7006</v>
      </c>
      <c r="C2772" s="52" t="s">
        <v>831</v>
      </c>
    </row>
    <row r="2773" spans="1:3" hidden="1" x14ac:dyDescent="0.25">
      <c r="A2773" s="52" t="s">
        <v>3717</v>
      </c>
      <c r="B2773" s="52" t="s">
        <v>7007</v>
      </c>
      <c r="C2773" s="52" t="s">
        <v>831</v>
      </c>
    </row>
    <row r="2774" spans="1:3" hidden="1" x14ac:dyDescent="0.25">
      <c r="A2774" s="52" t="s">
        <v>3718</v>
      </c>
      <c r="B2774" s="52" t="s">
        <v>7008</v>
      </c>
      <c r="C2774" s="52" t="s">
        <v>831</v>
      </c>
    </row>
    <row r="2775" spans="1:3" hidden="1" x14ac:dyDescent="0.25">
      <c r="A2775" s="52" t="s">
        <v>3719</v>
      </c>
      <c r="B2775" s="52" t="s">
        <v>4658</v>
      </c>
      <c r="C2775" s="52" t="s">
        <v>831</v>
      </c>
    </row>
    <row r="2776" spans="1:3" hidden="1" x14ac:dyDescent="0.25">
      <c r="A2776" s="52" t="s">
        <v>3720</v>
      </c>
      <c r="B2776" s="52" t="s">
        <v>7009</v>
      </c>
      <c r="C2776" s="52" t="s">
        <v>831</v>
      </c>
    </row>
    <row r="2777" spans="1:3" hidden="1" x14ac:dyDescent="0.25">
      <c r="A2777" s="52" t="s">
        <v>3721</v>
      </c>
      <c r="B2777" s="52" t="s">
        <v>7010</v>
      </c>
      <c r="C2777" s="52" t="s">
        <v>831</v>
      </c>
    </row>
    <row r="2778" spans="1:3" hidden="1" x14ac:dyDescent="0.25">
      <c r="A2778" s="52" t="s">
        <v>3722</v>
      </c>
      <c r="B2778" s="52" t="s">
        <v>7011</v>
      </c>
      <c r="C2778" s="52" t="s">
        <v>831</v>
      </c>
    </row>
    <row r="2779" spans="1:3" hidden="1" x14ac:dyDescent="0.25">
      <c r="A2779" s="52" t="s">
        <v>3723</v>
      </c>
      <c r="B2779" s="52" t="s">
        <v>7012</v>
      </c>
      <c r="C2779" s="52" t="s">
        <v>831</v>
      </c>
    </row>
    <row r="2780" spans="1:3" hidden="1" x14ac:dyDescent="0.25">
      <c r="A2780" s="52" t="s">
        <v>3724</v>
      </c>
      <c r="B2780" s="52" t="s">
        <v>7013</v>
      </c>
      <c r="C2780" s="52" t="s">
        <v>831</v>
      </c>
    </row>
    <row r="2781" spans="1:3" hidden="1" x14ac:dyDescent="0.25">
      <c r="A2781" s="52" t="s">
        <v>3725</v>
      </c>
      <c r="B2781" s="52" t="s">
        <v>6927</v>
      </c>
      <c r="C2781" s="52" t="s">
        <v>831</v>
      </c>
    </row>
    <row r="2782" spans="1:3" hidden="1" x14ac:dyDescent="0.25">
      <c r="A2782" s="52" t="s">
        <v>3726</v>
      </c>
      <c r="B2782" s="52" t="s">
        <v>7014</v>
      </c>
      <c r="C2782" s="52" t="s">
        <v>831</v>
      </c>
    </row>
    <row r="2783" spans="1:3" hidden="1" x14ac:dyDescent="0.25">
      <c r="A2783" s="52" t="s">
        <v>3727</v>
      </c>
      <c r="B2783" s="52" t="s">
        <v>7015</v>
      </c>
      <c r="C2783" s="52" t="s">
        <v>831</v>
      </c>
    </row>
    <row r="2784" spans="1:3" hidden="1" x14ac:dyDescent="0.25">
      <c r="A2784" s="52" t="s">
        <v>3728</v>
      </c>
      <c r="B2784" s="52" t="s">
        <v>7016</v>
      </c>
      <c r="C2784" s="52" t="s">
        <v>831</v>
      </c>
    </row>
    <row r="2785" spans="1:3" hidden="1" x14ac:dyDescent="0.25">
      <c r="A2785" s="52" t="s">
        <v>3729</v>
      </c>
      <c r="B2785" s="52" t="s">
        <v>7017</v>
      </c>
      <c r="C2785" s="52" t="s">
        <v>831</v>
      </c>
    </row>
    <row r="2786" spans="1:3" hidden="1" x14ac:dyDescent="0.25">
      <c r="A2786" s="52" t="s">
        <v>3730</v>
      </c>
      <c r="B2786" s="52" t="s">
        <v>7018</v>
      </c>
      <c r="C2786" s="52" t="s">
        <v>831</v>
      </c>
    </row>
    <row r="2787" spans="1:3" hidden="1" x14ac:dyDescent="0.25">
      <c r="A2787" s="52" t="s">
        <v>3731</v>
      </c>
      <c r="B2787" s="52" t="s">
        <v>7019</v>
      </c>
      <c r="C2787" s="52" t="s">
        <v>831</v>
      </c>
    </row>
    <row r="2788" spans="1:3" hidden="1" x14ac:dyDescent="0.25">
      <c r="A2788" s="52" t="s">
        <v>3732</v>
      </c>
      <c r="B2788" s="52" t="s">
        <v>7020</v>
      </c>
      <c r="C2788" s="52" t="s">
        <v>831</v>
      </c>
    </row>
    <row r="2789" spans="1:3" hidden="1" x14ac:dyDescent="0.25">
      <c r="A2789" s="52" t="s">
        <v>3733</v>
      </c>
      <c r="B2789" s="52" t="s">
        <v>7021</v>
      </c>
      <c r="C2789" s="52" t="s">
        <v>831</v>
      </c>
    </row>
    <row r="2790" spans="1:3" hidden="1" x14ac:dyDescent="0.25">
      <c r="A2790" s="52" t="s">
        <v>3734</v>
      </c>
      <c r="B2790" s="52" t="s">
        <v>7022</v>
      </c>
      <c r="C2790" s="52" t="s">
        <v>831</v>
      </c>
    </row>
    <row r="2791" spans="1:3" hidden="1" x14ac:dyDescent="0.25">
      <c r="A2791" s="52" t="s">
        <v>3735</v>
      </c>
      <c r="B2791" s="52" t="s">
        <v>7023</v>
      </c>
      <c r="C2791" s="52" t="s">
        <v>831</v>
      </c>
    </row>
    <row r="2792" spans="1:3" hidden="1" x14ac:dyDescent="0.25">
      <c r="A2792" s="52" t="s">
        <v>3736</v>
      </c>
      <c r="B2792" s="52" t="s">
        <v>7024</v>
      </c>
      <c r="C2792" s="52" t="s">
        <v>831</v>
      </c>
    </row>
    <row r="2793" spans="1:3" hidden="1" x14ac:dyDescent="0.25">
      <c r="A2793" s="52" t="s">
        <v>3737</v>
      </c>
      <c r="B2793" s="52" t="s">
        <v>7025</v>
      </c>
      <c r="C2793" s="52" t="s">
        <v>831</v>
      </c>
    </row>
    <row r="2794" spans="1:3" hidden="1" x14ac:dyDescent="0.25">
      <c r="A2794" s="52" t="s">
        <v>3738</v>
      </c>
      <c r="B2794" s="52" t="s">
        <v>7026</v>
      </c>
      <c r="C2794" s="52" t="s">
        <v>831</v>
      </c>
    </row>
    <row r="2795" spans="1:3" hidden="1" x14ac:dyDescent="0.25">
      <c r="A2795" s="52" t="s">
        <v>3739</v>
      </c>
      <c r="B2795" s="52" t="s">
        <v>7027</v>
      </c>
      <c r="C2795" s="52" t="s">
        <v>831</v>
      </c>
    </row>
    <row r="2796" spans="1:3" hidden="1" x14ac:dyDescent="0.25">
      <c r="A2796" s="52" t="s">
        <v>3740</v>
      </c>
      <c r="B2796" s="52" t="s">
        <v>7028</v>
      </c>
      <c r="C2796" s="52" t="s">
        <v>831</v>
      </c>
    </row>
    <row r="2797" spans="1:3" hidden="1" x14ac:dyDescent="0.25">
      <c r="A2797" s="52" t="s">
        <v>3741</v>
      </c>
      <c r="B2797" s="52" t="s">
        <v>959</v>
      </c>
      <c r="C2797" s="52" t="s">
        <v>831</v>
      </c>
    </row>
    <row r="2798" spans="1:3" hidden="1" x14ac:dyDescent="0.25">
      <c r="A2798" s="52" t="s">
        <v>3742</v>
      </c>
      <c r="B2798" s="52" t="s">
        <v>7029</v>
      </c>
      <c r="C2798" s="52" t="s">
        <v>831</v>
      </c>
    </row>
    <row r="2799" spans="1:3" hidden="1" x14ac:dyDescent="0.25">
      <c r="A2799" s="52" t="s">
        <v>3743</v>
      </c>
      <c r="B2799" s="52" t="s">
        <v>7030</v>
      </c>
      <c r="C2799" s="52" t="s">
        <v>831</v>
      </c>
    </row>
    <row r="2800" spans="1:3" hidden="1" x14ac:dyDescent="0.25">
      <c r="A2800" s="52" t="s">
        <v>3744</v>
      </c>
      <c r="B2800" s="52" t="s">
        <v>6168</v>
      </c>
      <c r="C2800" s="52" t="s">
        <v>831</v>
      </c>
    </row>
    <row r="2801" spans="1:3" hidden="1" x14ac:dyDescent="0.25">
      <c r="A2801" s="52" t="s">
        <v>3745</v>
      </c>
      <c r="B2801" s="52" t="s">
        <v>7031</v>
      </c>
      <c r="C2801" s="52" t="s">
        <v>831</v>
      </c>
    </row>
    <row r="2802" spans="1:3" hidden="1" x14ac:dyDescent="0.25">
      <c r="A2802" s="52" t="s">
        <v>3746</v>
      </c>
      <c r="B2802" s="52" t="s">
        <v>7032</v>
      </c>
      <c r="C2802" s="52" t="s">
        <v>831</v>
      </c>
    </row>
    <row r="2803" spans="1:3" hidden="1" x14ac:dyDescent="0.25">
      <c r="A2803" s="52" t="s">
        <v>3747</v>
      </c>
      <c r="B2803" s="52" t="s">
        <v>7033</v>
      </c>
      <c r="C2803" s="52" t="s">
        <v>831</v>
      </c>
    </row>
    <row r="2804" spans="1:3" hidden="1" x14ac:dyDescent="0.25">
      <c r="A2804" s="52" t="s">
        <v>3748</v>
      </c>
      <c r="B2804" s="52" t="s">
        <v>7034</v>
      </c>
      <c r="C2804" s="52" t="s">
        <v>831</v>
      </c>
    </row>
    <row r="2805" spans="1:3" hidden="1" x14ac:dyDescent="0.25">
      <c r="A2805" s="52" t="s">
        <v>3749</v>
      </c>
      <c r="B2805" s="52" t="s">
        <v>7035</v>
      </c>
      <c r="C2805" s="52" t="s">
        <v>831</v>
      </c>
    </row>
    <row r="2806" spans="1:3" hidden="1" x14ac:dyDescent="0.25">
      <c r="A2806" s="52" t="s">
        <v>3750</v>
      </c>
      <c r="B2806" s="52" t="s">
        <v>4716</v>
      </c>
      <c r="C2806" s="52" t="s">
        <v>831</v>
      </c>
    </row>
    <row r="2807" spans="1:3" hidden="1" x14ac:dyDescent="0.25">
      <c r="A2807" s="52" t="s">
        <v>3751</v>
      </c>
      <c r="B2807" s="52" t="s">
        <v>5416</v>
      </c>
      <c r="C2807" s="52" t="s">
        <v>831</v>
      </c>
    </row>
    <row r="2808" spans="1:3" hidden="1" x14ac:dyDescent="0.25">
      <c r="A2808" s="52" t="s">
        <v>3752</v>
      </c>
      <c r="B2808" s="52" t="s">
        <v>7036</v>
      </c>
      <c r="C2808" s="52" t="s">
        <v>831</v>
      </c>
    </row>
    <row r="2809" spans="1:3" hidden="1" x14ac:dyDescent="0.25">
      <c r="A2809" s="52" t="s">
        <v>3753</v>
      </c>
      <c r="B2809" s="52" t="s">
        <v>7037</v>
      </c>
      <c r="C2809" s="52" t="s">
        <v>831</v>
      </c>
    </row>
    <row r="2810" spans="1:3" hidden="1" x14ac:dyDescent="0.25">
      <c r="A2810" s="52" t="s">
        <v>3754</v>
      </c>
      <c r="B2810" s="52" t="s">
        <v>5976</v>
      </c>
      <c r="C2810" s="52" t="s">
        <v>831</v>
      </c>
    </row>
    <row r="2811" spans="1:3" hidden="1" x14ac:dyDescent="0.25">
      <c r="A2811" s="52" t="s">
        <v>3755</v>
      </c>
      <c r="B2811" s="52" t="s">
        <v>7038</v>
      </c>
      <c r="C2811" s="52" t="s">
        <v>831</v>
      </c>
    </row>
    <row r="2812" spans="1:3" hidden="1" x14ac:dyDescent="0.25">
      <c r="A2812" s="52" t="s">
        <v>3756</v>
      </c>
      <c r="B2812" s="52" t="s">
        <v>4721</v>
      </c>
      <c r="C2812" s="52" t="s">
        <v>831</v>
      </c>
    </row>
    <row r="2813" spans="1:3" hidden="1" x14ac:dyDescent="0.25">
      <c r="A2813" s="52" t="s">
        <v>3757</v>
      </c>
      <c r="B2813" s="52" t="s">
        <v>7039</v>
      </c>
      <c r="C2813" s="52" t="s">
        <v>831</v>
      </c>
    </row>
    <row r="2814" spans="1:3" hidden="1" x14ac:dyDescent="0.25">
      <c r="A2814" s="52" t="s">
        <v>3758</v>
      </c>
      <c r="B2814" s="52" t="s">
        <v>7040</v>
      </c>
      <c r="C2814" s="52" t="s">
        <v>831</v>
      </c>
    </row>
    <row r="2815" spans="1:3" hidden="1" x14ac:dyDescent="0.25">
      <c r="A2815" s="52" t="s">
        <v>3759</v>
      </c>
      <c r="B2815" s="52" t="s">
        <v>7041</v>
      </c>
      <c r="C2815" s="52" t="s">
        <v>831</v>
      </c>
    </row>
    <row r="2816" spans="1:3" hidden="1" x14ac:dyDescent="0.25">
      <c r="A2816" s="52" t="s">
        <v>3760</v>
      </c>
      <c r="B2816" s="52" t="s">
        <v>4859</v>
      </c>
      <c r="C2816" s="52" t="s">
        <v>831</v>
      </c>
    </row>
    <row r="2817" spans="1:3" hidden="1" x14ac:dyDescent="0.25">
      <c r="A2817" s="52" t="s">
        <v>3761</v>
      </c>
      <c r="B2817" s="52" t="s">
        <v>7042</v>
      </c>
      <c r="C2817" s="52" t="s">
        <v>831</v>
      </c>
    </row>
    <row r="2818" spans="1:3" hidden="1" x14ac:dyDescent="0.25">
      <c r="A2818" s="52" t="s">
        <v>3762</v>
      </c>
      <c r="B2818" s="52" t="s">
        <v>7043</v>
      </c>
      <c r="C2818" s="52" t="s">
        <v>831</v>
      </c>
    </row>
    <row r="2819" spans="1:3" hidden="1" x14ac:dyDescent="0.25">
      <c r="A2819" s="52" t="s">
        <v>3763</v>
      </c>
      <c r="B2819" s="52" t="s">
        <v>7044</v>
      </c>
      <c r="C2819" s="52" t="s">
        <v>831</v>
      </c>
    </row>
    <row r="2820" spans="1:3" hidden="1" x14ac:dyDescent="0.25">
      <c r="A2820" s="52" t="s">
        <v>3764</v>
      </c>
      <c r="B2820" s="52" t="s">
        <v>7045</v>
      </c>
      <c r="C2820" s="52" t="s">
        <v>831</v>
      </c>
    </row>
    <row r="2821" spans="1:3" hidden="1" x14ac:dyDescent="0.25">
      <c r="A2821" s="52" t="s">
        <v>3765</v>
      </c>
      <c r="B2821" s="52" t="s">
        <v>7046</v>
      </c>
      <c r="C2821" s="52" t="s">
        <v>831</v>
      </c>
    </row>
    <row r="2822" spans="1:3" hidden="1" x14ac:dyDescent="0.25">
      <c r="A2822" s="52" t="s">
        <v>3766</v>
      </c>
      <c r="B2822" s="52" t="s">
        <v>7047</v>
      </c>
      <c r="C2822" s="52" t="s">
        <v>831</v>
      </c>
    </row>
    <row r="2823" spans="1:3" hidden="1" x14ac:dyDescent="0.25">
      <c r="A2823" s="52" t="s">
        <v>3767</v>
      </c>
      <c r="B2823" s="52" t="s">
        <v>7048</v>
      </c>
      <c r="C2823" s="52" t="s">
        <v>831</v>
      </c>
    </row>
    <row r="2824" spans="1:3" hidden="1" x14ac:dyDescent="0.25">
      <c r="A2824" s="52" t="s">
        <v>3768</v>
      </c>
      <c r="B2824" s="52" t="s">
        <v>5047</v>
      </c>
      <c r="C2824" s="52" t="s">
        <v>831</v>
      </c>
    </row>
    <row r="2825" spans="1:3" hidden="1" x14ac:dyDescent="0.25">
      <c r="A2825" s="52" t="s">
        <v>3769</v>
      </c>
      <c r="B2825" s="52" t="s">
        <v>6056</v>
      </c>
      <c r="C2825" s="52" t="s">
        <v>831</v>
      </c>
    </row>
    <row r="2826" spans="1:3" hidden="1" x14ac:dyDescent="0.25">
      <c r="A2826" s="52" t="s">
        <v>3770</v>
      </c>
      <c r="B2826" s="52" t="s">
        <v>6260</v>
      </c>
      <c r="C2826" s="52" t="s">
        <v>831</v>
      </c>
    </row>
    <row r="2827" spans="1:3" hidden="1" x14ac:dyDescent="0.25">
      <c r="A2827" s="52" t="s">
        <v>3771</v>
      </c>
      <c r="B2827" s="52" t="s">
        <v>7049</v>
      </c>
      <c r="C2827" s="52" t="s">
        <v>831</v>
      </c>
    </row>
    <row r="2828" spans="1:3" hidden="1" x14ac:dyDescent="0.25">
      <c r="A2828" s="52" t="s">
        <v>3772</v>
      </c>
      <c r="B2828" s="52" t="s">
        <v>7050</v>
      </c>
      <c r="C2828" s="52" t="s">
        <v>831</v>
      </c>
    </row>
    <row r="2829" spans="1:3" hidden="1" x14ac:dyDescent="0.25">
      <c r="A2829" s="52" t="s">
        <v>3773</v>
      </c>
      <c r="B2829" s="52" t="s">
        <v>6410</v>
      </c>
      <c r="C2829" s="52" t="s">
        <v>832</v>
      </c>
    </row>
    <row r="2830" spans="1:3" hidden="1" x14ac:dyDescent="0.25">
      <c r="A2830" s="52" t="s">
        <v>3774</v>
      </c>
      <c r="B2830" s="52" t="s">
        <v>7051</v>
      </c>
      <c r="C2830" s="52" t="s">
        <v>832</v>
      </c>
    </row>
    <row r="2831" spans="1:3" hidden="1" x14ac:dyDescent="0.25">
      <c r="A2831" s="52" t="s">
        <v>3775</v>
      </c>
      <c r="B2831" s="52" t="s">
        <v>7052</v>
      </c>
      <c r="C2831" s="52" t="s">
        <v>832</v>
      </c>
    </row>
    <row r="2832" spans="1:3" hidden="1" x14ac:dyDescent="0.25">
      <c r="A2832" s="52" t="s">
        <v>3776</v>
      </c>
      <c r="B2832" s="52" t="s">
        <v>7053</v>
      </c>
      <c r="C2832" s="52" t="s">
        <v>832</v>
      </c>
    </row>
    <row r="2833" spans="1:3" hidden="1" x14ac:dyDescent="0.25">
      <c r="A2833" s="52" t="s">
        <v>3777</v>
      </c>
      <c r="B2833" s="52" t="s">
        <v>7054</v>
      </c>
      <c r="C2833" s="52" t="s">
        <v>832</v>
      </c>
    </row>
    <row r="2834" spans="1:3" hidden="1" x14ac:dyDescent="0.25">
      <c r="A2834" s="52" t="s">
        <v>3778</v>
      </c>
      <c r="B2834" s="52" t="s">
        <v>7055</v>
      </c>
      <c r="C2834" s="52" t="s">
        <v>832</v>
      </c>
    </row>
    <row r="2835" spans="1:3" hidden="1" x14ac:dyDescent="0.25">
      <c r="A2835" s="52" t="s">
        <v>3779</v>
      </c>
      <c r="B2835" s="52" t="s">
        <v>7056</v>
      </c>
      <c r="C2835" s="52" t="s">
        <v>832</v>
      </c>
    </row>
    <row r="2836" spans="1:3" hidden="1" x14ac:dyDescent="0.25">
      <c r="A2836" s="52" t="s">
        <v>3780</v>
      </c>
      <c r="B2836" s="52" t="s">
        <v>7057</v>
      </c>
      <c r="C2836" s="52" t="s">
        <v>832</v>
      </c>
    </row>
    <row r="2837" spans="1:3" hidden="1" x14ac:dyDescent="0.25">
      <c r="A2837" s="52" t="s">
        <v>3781</v>
      </c>
      <c r="B2837" s="52" t="s">
        <v>7058</v>
      </c>
      <c r="C2837" s="52" t="s">
        <v>832</v>
      </c>
    </row>
    <row r="2838" spans="1:3" hidden="1" x14ac:dyDescent="0.25">
      <c r="A2838" s="52" t="s">
        <v>3782</v>
      </c>
      <c r="B2838" s="52" t="s">
        <v>7059</v>
      </c>
      <c r="C2838" s="52" t="s">
        <v>832</v>
      </c>
    </row>
    <row r="2839" spans="1:3" hidden="1" x14ac:dyDescent="0.25">
      <c r="A2839" s="52" t="s">
        <v>3783</v>
      </c>
      <c r="B2839" s="52" t="s">
        <v>7060</v>
      </c>
      <c r="C2839" s="52" t="s">
        <v>832</v>
      </c>
    </row>
    <row r="2840" spans="1:3" hidden="1" x14ac:dyDescent="0.25">
      <c r="A2840" s="52" t="s">
        <v>3784</v>
      </c>
      <c r="B2840" s="52" t="s">
        <v>7061</v>
      </c>
      <c r="C2840" s="52" t="s">
        <v>832</v>
      </c>
    </row>
    <row r="2841" spans="1:3" hidden="1" x14ac:dyDescent="0.25">
      <c r="A2841" s="52" t="s">
        <v>3785</v>
      </c>
      <c r="B2841" s="52" t="s">
        <v>7062</v>
      </c>
      <c r="C2841" s="52" t="s">
        <v>832</v>
      </c>
    </row>
    <row r="2842" spans="1:3" hidden="1" x14ac:dyDescent="0.25">
      <c r="A2842" s="52" t="s">
        <v>3786</v>
      </c>
      <c r="B2842" s="52" t="s">
        <v>7063</v>
      </c>
      <c r="C2842" s="52" t="s">
        <v>832</v>
      </c>
    </row>
    <row r="2843" spans="1:3" hidden="1" x14ac:dyDescent="0.25">
      <c r="A2843" s="52" t="s">
        <v>3787</v>
      </c>
      <c r="B2843" s="52" t="s">
        <v>7064</v>
      </c>
      <c r="C2843" s="52" t="s">
        <v>832</v>
      </c>
    </row>
    <row r="2844" spans="1:3" hidden="1" x14ac:dyDescent="0.25">
      <c r="A2844" s="52" t="s">
        <v>3788</v>
      </c>
      <c r="B2844" s="52" t="s">
        <v>7065</v>
      </c>
      <c r="C2844" s="52" t="s">
        <v>832</v>
      </c>
    </row>
    <row r="2845" spans="1:3" hidden="1" x14ac:dyDescent="0.25">
      <c r="A2845" s="52" t="s">
        <v>3789</v>
      </c>
      <c r="B2845" s="52" t="s">
        <v>7066</v>
      </c>
      <c r="C2845" s="52" t="s">
        <v>832</v>
      </c>
    </row>
    <row r="2846" spans="1:3" hidden="1" x14ac:dyDescent="0.25">
      <c r="A2846" s="52" t="s">
        <v>3790</v>
      </c>
      <c r="B2846" s="52" t="s">
        <v>7067</v>
      </c>
      <c r="C2846" s="52" t="s">
        <v>832</v>
      </c>
    </row>
    <row r="2847" spans="1:3" hidden="1" x14ac:dyDescent="0.25">
      <c r="A2847" s="52" t="s">
        <v>3791</v>
      </c>
      <c r="B2847" s="52" t="s">
        <v>7068</v>
      </c>
      <c r="C2847" s="52" t="s">
        <v>832</v>
      </c>
    </row>
    <row r="2848" spans="1:3" hidden="1" x14ac:dyDescent="0.25">
      <c r="A2848" s="52" t="s">
        <v>3792</v>
      </c>
      <c r="B2848" s="52" t="s">
        <v>7069</v>
      </c>
      <c r="C2848" s="52" t="s">
        <v>832</v>
      </c>
    </row>
    <row r="2849" spans="1:3" hidden="1" x14ac:dyDescent="0.25">
      <c r="A2849" s="52" t="s">
        <v>3793</v>
      </c>
      <c r="B2849" s="52" t="s">
        <v>6435</v>
      </c>
      <c r="C2849" s="52" t="s">
        <v>832</v>
      </c>
    </row>
    <row r="2850" spans="1:3" hidden="1" x14ac:dyDescent="0.25">
      <c r="A2850" s="52" t="s">
        <v>3794</v>
      </c>
      <c r="B2850" s="52" t="s">
        <v>7070</v>
      </c>
      <c r="C2850" s="52" t="s">
        <v>832</v>
      </c>
    </row>
    <row r="2851" spans="1:3" hidden="1" x14ac:dyDescent="0.25">
      <c r="A2851" s="52" t="s">
        <v>3795</v>
      </c>
      <c r="B2851" s="52" t="s">
        <v>6642</v>
      </c>
      <c r="C2851" s="52" t="s">
        <v>832</v>
      </c>
    </row>
    <row r="2852" spans="1:3" hidden="1" x14ac:dyDescent="0.25">
      <c r="A2852" s="52" t="s">
        <v>3796</v>
      </c>
      <c r="B2852" s="52" t="s">
        <v>6993</v>
      </c>
      <c r="C2852" s="52" t="s">
        <v>832</v>
      </c>
    </row>
    <row r="2853" spans="1:3" hidden="1" x14ac:dyDescent="0.25">
      <c r="A2853" s="52" t="s">
        <v>3797</v>
      </c>
      <c r="B2853" s="52" t="s">
        <v>7071</v>
      </c>
      <c r="C2853" s="52" t="s">
        <v>832</v>
      </c>
    </row>
    <row r="2854" spans="1:3" hidden="1" x14ac:dyDescent="0.25">
      <c r="A2854" s="52" t="s">
        <v>3798</v>
      </c>
      <c r="B2854" s="52" t="s">
        <v>7072</v>
      </c>
      <c r="C2854" s="52" t="s">
        <v>832</v>
      </c>
    </row>
    <row r="2855" spans="1:3" hidden="1" x14ac:dyDescent="0.25">
      <c r="A2855" s="52" t="s">
        <v>3799</v>
      </c>
      <c r="B2855" s="52" t="s">
        <v>7073</v>
      </c>
      <c r="C2855" s="52" t="s">
        <v>832</v>
      </c>
    </row>
    <row r="2856" spans="1:3" hidden="1" x14ac:dyDescent="0.25">
      <c r="A2856" s="52" t="s">
        <v>3800</v>
      </c>
      <c r="B2856" s="52" t="s">
        <v>7074</v>
      </c>
      <c r="C2856" s="52" t="s">
        <v>832</v>
      </c>
    </row>
    <row r="2857" spans="1:3" hidden="1" x14ac:dyDescent="0.25">
      <c r="A2857" s="52" t="s">
        <v>3801</v>
      </c>
      <c r="B2857" s="52" t="s">
        <v>5556</v>
      </c>
      <c r="C2857" s="52" t="s">
        <v>832</v>
      </c>
    </row>
    <row r="2858" spans="1:3" hidden="1" x14ac:dyDescent="0.25">
      <c r="A2858" s="52" t="s">
        <v>3802</v>
      </c>
      <c r="B2858" s="52" t="s">
        <v>4892</v>
      </c>
      <c r="C2858" s="52" t="s">
        <v>832</v>
      </c>
    </row>
    <row r="2859" spans="1:3" hidden="1" x14ac:dyDescent="0.25">
      <c r="A2859" s="52" t="s">
        <v>3803</v>
      </c>
      <c r="B2859" s="52" t="s">
        <v>7075</v>
      </c>
      <c r="C2859" s="52" t="s">
        <v>832</v>
      </c>
    </row>
    <row r="2860" spans="1:3" hidden="1" x14ac:dyDescent="0.25">
      <c r="A2860" s="52" t="s">
        <v>3804</v>
      </c>
      <c r="B2860" s="52" t="s">
        <v>7076</v>
      </c>
      <c r="C2860" s="52" t="s">
        <v>832</v>
      </c>
    </row>
    <row r="2861" spans="1:3" hidden="1" x14ac:dyDescent="0.25">
      <c r="A2861" s="52" t="s">
        <v>3805</v>
      </c>
      <c r="B2861" s="52" t="s">
        <v>6916</v>
      </c>
      <c r="C2861" s="52" t="s">
        <v>832</v>
      </c>
    </row>
    <row r="2862" spans="1:3" hidden="1" x14ac:dyDescent="0.25">
      <c r="A2862" s="52" t="s">
        <v>3806</v>
      </c>
      <c r="B2862" s="52" t="s">
        <v>7077</v>
      </c>
      <c r="C2862" s="52" t="s">
        <v>832</v>
      </c>
    </row>
    <row r="2863" spans="1:3" hidden="1" x14ac:dyDescent="0.25">
      <c r="A2863" s="52" t="s">
        <v>3807</v>
      </c>
      <c r="B2863" s="52" t="s">
        <v>7078</v>
      </c>
      <c r="C2863" s="52" t="s">
        <v>832</v>
      </c>
    </row>
    <row r="2864" spans="1:3" hidden="1" x14ac:dyDescent="0.25">
      <c r="A2864" s="52" t="s">
        <v>3808</v>
      </c>
      <c r="B2864" s="52" t="s">
        <v>7079</v>
      </c>
      <c r="C2864" s="52" t="s">
        <v>832</v>
      </c>
    </row>
    <row r="2865" spans="1:3" hidden="1" x14ac:dyDescent="0.25">
      <c r="A2865" s="52" t="s">
        <v>3809</v>
      </c>
      <c r="B2865" s="52" t="s">
        <v>7080</v>
      </c>
      <c r="C2865" s="52" t="s">
        <v>832</v>
      </c>
    </row>
    <row r="2866" spans="1:3" hidden="1" x14ac:dyDescent="0.25">
      <c r="A2866" s="52" t="s">
        <v>3810</v>
      </c>
      <c r="B2866" s="52" t="s">
        <v>7081</v>
      </c>
      <c r="C2866" s="52" t="s">
        <v>832</v>
      </c>
    </row>
    <row r="2867" spans="1:3" hidden="1" x14ac:dyDescent="0.25">
      <c r="A2867" s="52" t="s">
        <v>3811</v>
      </c>
      <c r="B2867" s="52" t="s">
        <v>7082</v>
      </c>
      <c r="C2867" s="52" t="s">
        <v>832</v>
      </c>
    </row>
    <row r="2868" spans="1:3" hidden="1" x14ac:dyDescent="0.25">
      <c r="A2868" s="52" t="s">
        <v>3812</v>
      </c>
      <c r="B2868" s="52" t="s">
        <v>6208</v>
      </c>
      <c r="C2868" s="52" t="s">
        <v>832</v>
      </c>
    </row>
    <row r="2869" spans="1:3" hidden="1" x14ac:dyDescent="0.25">
      <c r="A2869" s="52" t="s">
        <v>3813</v>
      </c>
      <c r="B2869" s="52" t="s">
        <v>7083</v>
      </c>
      <c r="C2869" s="52" t="s">
        <v>832</v>
      </c>
    </row>
    <row r="2870" spans="1:3" hidden="1" x14ac:dyDescent="0.25">
      <c r="A2870" s="52" t="s">
        <v>3814</v>
      </c>
      <c r="B2870" s="52" t="s">
        <v>7084</v>
      </c>
      <c r="C2870" s="52" t="s">
        <v>832</v>
      </c>
    </row>
    <row r="2871" spans="1:3" hidden="1" x14ac:dyDescent="0.25">
      <c r="A2871" s="52" t="s">
        <v>3815</v>
      </c>
      <c r="B2871" s="52" t="s">
        <v>7085</v>
      </c>
      <c r="C2871" s="52" t="s">
        <v>832</v>
      </c>
    </row>
    <row r="2872" spans="1:3" hidden="1" x14ac:dyDescent="0.25">
      <c r="A2872" s="52" t="s">
        <v>3816</v>
      </c>
      <c r="B2872" s="52" t="s">
        <v>5701</v>
      </c>
      <c r="C2872" s="52" t="s">
        <v>832</v>
      </c>
    </row>
    <row r="2873" spans="1:3" hidden="1" x14ac:dyDescent="0.25">
      <c r="A2873" s="52" t="s">
        <v>3817</v>
      </c>
      <c r="B2873" s="52" t="s">
        <v>7086</v>
      </c>
      <c r="C2873" s="52" t="s">
        <v>832</v>
      </c>
    </row>
    <row r="2874" spans="1:3" hidden="1" x14ac:dyDescent="0.25">
      <c r="A2874" s="52" t="s">
        <v>3818</v>
      </c>
      <c r="B2874" s="52" t="s">
        <v>7087</v>
      </c>
      <c r="C2874" s="52" t="s">
        <v>832</v>
      </c>
    </row>
    <row r="2875" spans="1:3" hidden="1" x14ac:dyDescent="0.25">
      <c r="A2875" s="52" t="s">
        <v>3819</v>
      </c>
      <c r="B2875" s="52" t="s">
        <v>7088</v>
      </c>
      <c r="C2875" s="52" t="s">
        <v>832</v>
      </c>
    </row>
    <row r="2876" spans="1:3" hidden="1" x14ac:dyDescent="0.25">
      <c r="A2876" s="52" t="s">
        <v>3820</v>
      </c>
      <c r="B2876" s="52" t="s">
        <v>7089</v>
      </c>
      <c r="C2876" s="52" t="s">
        <v>832</v>
      </c>
    </row>
    <row r="2877" spans="1:3" hidden="1" x14ac:dyDescent="0.25">
      <c r="A2877" s="52" t="s">
        <v>3821</v>
      </c>
      <c r="B2877" s="52" t="s">
        <v>5392</v>
      </c>
      <c r="C2877" s="52" t="s">
        <v>832</v>
      </c>
    </row>
    <row r="2878" spans="1:3" hidden="1" x14ac:dyDescent="0.25">
      <c r="A2878" s="52" t="s">
        <v>3822</v>
      </c>
      <c r="B2878" s="52" t="s">
        <v>7090</v>
      </c>
      <c r="C2878" s="52" t="s">
        <v>832</v>
      </c>
    </row>
    <row r="2879" spans="1:3" hidden="1" x14ac:dyDescent="0.25">
      <c r="A2879" s="52" t="s">
        <v>3823</v>
      </c>
      <c r="B2879" s="52" t="s">
        <v>7091</v>
      </c>
      <c r="C2879" s="52" t="s">
        <v>832</v>
      </c>
    </row>
    <row r="2880" spans="1:3" hidden="1" x14ac:dyDescent="0.25">
      <c r="A2880" s="52" t="s">
        <v>3824</v>
      </c>
      <c r="B2880" s="52" t="s">
        <v>7092</v>
      </c>
      <c r="C2880" s="52" t="s">
        <v>832</v>
      </c>
    </row>
    <row r="2881" spans="1:3" hidden="1" x14ac:dyDescent="0.25">
      <c r="A2881" s="52" t="s">
        <v>3825</v>
      </c>
      <c r="B2881" s="52" t="s">
        <v>7093</v>
      </c>
      <c r="C2881" s="52" t="s">
        <v>832</v>
      </c>
    </row>
    <row r="2882" spans="1:3" hidden="1" x14ac:dyDescent="0.25">
      <c r="A2882" s="52" t="s">
        <v>3826</v>
      </c>
      <c r="B2882" s="52" t="s">
        <v>7094</v>
      </c>
      <c r="C2882" s="52" t="s">
        <v>832</v>
      </c>
    </row>
    <row r="2883" spans="1:3" hidden="1" x14ac:dyDescent="0.25">
      <c r="A2883" s="52" t="s">
        <v>3827</v>
      </c>
      <c r="B2883" s="52" t="s">
        <v>7095</v>
      </c>
      <c r="C2883" s="52" t="s">
        <v>832</v>
      </c>
    </row>
    <row r="2884" spans="1:3" hidden="1" x14ac:dyDescent="0.25">
      <c r="A2884" s="52" t="s">
        <v>3828</v>
      </c>
      <c r="B2884" s="52" t="s">
        <v>7096</v>
      </c>
      <c r="C2884" s="52" t="s">
        <v>832</v>
      </c>
    </row>
    <row r="2885" spans="1:3" hidden="1" x14ac:dyDescent="0.25">
      <c r="A2885" s="52" t="s">
        <v>3829</v>
      </c>
      <c r="B2885" s="52" t="s">
        <v>7097</v>
      </c>
      <c r="C2885" s="52" t="s">
        <v>832</v>
      </c>
    </row>
    <row r="2886" spans="1:3" hidden="1" x14ac:dyDescent="0.25">
      <c r="A2886" s="52" t="s">
        <v>3830</v>
      </c>
      <c r="B2886" s="52" t="s">
        <v>7098</v>
      </c>
      <c r="C2886" s="52" t="s">
        <v>832</v>
      </c>
    </row>
    <row r="2887" spans="1:3" hidden="1" x14ac:dyDescent="0.25">
      <c r="A2887" s="52" t="s">
        <v>3831</v>
      </c>
      <c r="B2887" s="52" t="s">
        <v>7099</v>
      </c>
      <c r="C2887" s="52" t="s">
        <v>832</v>
      </c>
    </row>
    <row r="2888" spans="1:3" hidden="1" x14ac:dyDescent="0.25">
      <c r="A2888" s="52" t="s">
        <v>3832</v>
      </c>
      <c r="B2888" s="52" t="s">
        <v>7100</v>
      </c>
      <c r="C2888" s="52" t="s">
        <v>832</v>
      </c>
    </row>
    <row r="2889" spans="1:3" hidden="1" x14ac:dyDescent="0.25">
      <c r="A2889" s="52" t="s">
        <v>3833</v>
      </c>
      <c r="B2889" s="52" t="s">
        <v>7101</v>
      </c>
      <c r="C2889" s="52" t="s">
        <v>832</v>
      </c>
    </row>
    <row r="2890" spans="1:3" hidden="1" x14ac:dyDescent="0.25">
      <c r="A2890" s="52" t="s">
        <v>3834</v>
      </c>
      <c r="B2890" s="52" t="s">
        <v>7102</v>
      </c>
      <c r="C2890" s="52" t="s">
        <v>832</v>
      </c>
    </row>
    <row r="2891" spans="1:3" hidden="1" x14ac:dyDescent="0.25">
      <c r="A2891" s="52" t="s">
        <v>3835</v>
      </c>
      <c r="B2891" s="52" t="s">
        <v>7103</v>
      </c>
      <c r="C2891" s="52" t="s">
        <v>832</v>
      </c>
    </row>
    <row r="2892" spans="1:3" hidden="1" x14ac:dyDescent="0.25">
      <c r="A2892" s="52" t="s">
        <v>3836</v>
      </c>
      <c r="B2892" s="52" t="s">
        <v>7104</v>
      </c>
      <c r="C2892" s="52" t="s">
        <v>832</v>
      </c>
    </row>
    <row r="2893" spans="1:3" hidden="1" x14ac:dyDescent="0.25">
      <c r="A2893" s="52" t="s">
        <v>3837</v>
      </c>
      <c r="B2893" s="52" t="s">
        <v>7105</v>
      </c>
      <c r="C2893" s="52" t="s">
        <v>832</v>
      </c>
    </row>
    <row r="2894" spans="1:3" hidden="1" x14ac:dyDescent="0.25">
      <c r="A2894" s="52" t="s">
        <v>3838</v>
      </c>
      <c r="B2894" s="52" t="s">
        <v>7106</v>
      </c>
      <c r="C2894" s="52" t="s">
        <v>832</v>
      </c>
    </row>
    <row r="2895" spans="1:3" hidden="1" x14ac:dyDescent="0.25">
      <c r="A2895" s="52" t="s">
        <v>3839</v>
      </c>
      <c r="B2895" s="52" t="s">
        <v>7107</v>
      </c>
      <c r="C2895" s="52" t="s">
        <v>832</v>
      </c>
    </row>
    <row r="2896" spans="1:3" hidden="1" x14ac:dyDescent="0.25">
      <c r="A2896" s="52" t="s">
        <v>3840</v>
      </c>
      <c r="B2896" s="52" t="s">
        <v>7108</v>
      </c>
      <c r="C2896" s="52" t="s">
        <v>832</v>
      </c>
    </row>
    <row r="2897" spans="1:3" hidden="1" x14ac:dyDescent="0.25">
      <c r="A2897" s="52" t="s">
        <v>3841</v>
      </c>
      <c r="B2897" s="52" t="s">
        <v>7109</v>
      </c>
      <c r="C2897" s="52" t="s">
        <v>832</v>
      </c>
    </row>
    <row r="2898" spans="1:3" hidden="1" x14ac:dyDescent="0.25">
      <c r="A2898" s="52" t="s">
        <v>3842</v>
      </c>
      <c r="B2898" s="52" t="s">
        <v>7110</v>
      </c>
      <c r="C2898" s="52" t="s">
        <v>832</v>
      </c>
    </row>
    <row r="2899" spans="1:3" hidden="1" x14ac:dyDescent="0.25">
      <c r="A2899" s="52" t="s">
        <v>3843</v>
      </c>
      <c r="B2899" s="52" t="s">
        <v>5611</v>
      </c>
      <c r="C2899" s="52" t="s">
        <v>832</v>
      </c>
    </row>
    <row r="2900" spans="1:3" hidden="1" x14ac:dyDescent="0.25">
      <c r="A2900" s="52" t="s">
        <v>3844</v>
      </c>
      <c r="B2900" s="52" t="s">
        <v>7111</v>
      </c>
      <c r="C2900" s="52" t="s">
        <v>832</v>
      </c>
    </row>
    <row r="2901" spans="1:3" hidden="1" x14ac:dyDescent="0.25">
      <c r="A2901" s="52" t="s">
        <v>3845</v>
      </c>
      <c r="B2901" s="52" t="s">
        <v>6953</v>
      </c>
      <c r="C2901" s="52" t="s">
        <v>832</v>
      </c>
    </row>
    <row r="2902" spans="1:3" hidden="1" x14ac:dyDescent="0.25">
      <c r="A2902" s="52" t="s">
        <v>3846</v>
      </c>
      <c r="B2902" s="52" t="s">
        <v>7112</v>
      </c>
      <c r="C2902" s="52" t="s">
        <v>832</v>
      </c>
    </row>
    <row r="2903" spans="1:3" hidden="1" x14ac:dyDescent="0.25">
      <c r="A2903" s="52" t="s">
        <v>3847</v>
      </c>
      <c r="B2903" s="52" t="s">
        <v>7113</v>
      </c>
      <c r="C2903" s="52" t="s">
        <v>832</v>
      </c>
    </row>
    <row r="2904" spans="1:3" hidden="1" x14ac:dyDescent="0.25">
      <c r="A2904" s="52" t="s">
        <v>3848</v>
      </c>
      <c r="B2904" s="52" t="s">
        <v>6954</v>
      </c>
      <c r="C2904" s="52" t="s">
        <v>832</v>
      </c>
    </row>
    <row r="2905" spans="1:3" hidden="1" x14ac:dyDescent="0.25">
      <c r="A2905" s="52" t="s">
        <v>3849</v>
      </c>
      <c r="B2905" s="52" t="s">
        <v>7114</v>
      </c>
      <c r="C2905" s="52" t="s">
        <v>832</v>
      </c>
    </row>
    <row r="2906" spans="1:3" hidden="1" x14ac:dyDescent="0.25">
      <c r="A2906" s="52" t="s">
        <v>3850</v>
      </c>
      <c r="B2906" s="52" t="s">
        <v>7115</v>
      </c>
      <c r="C2906" s="52" t="s">
        <v>832</v>
      </c>
    </row>
    <row r="2907" spans="1:3" hidden="1" x14ac:dyDescent="0.25">
      <c r="A2907" s="52" t="s">
        <v>3851</v>
      </c>
      <c r="B2907" s="52" t="s">
        <v>7116</v>
      </c>
      <c r="C2907" s="52" t="s">
        <v>832</v>
      </c>
    </row>
    <row r="2908" spans="1:3" hidden="1" x14ac:dyDescent="0.25">
      <c r="A2908" s="52" t="s">
        <v>3852</v>
      </c>
      <c r="B2908" s="52" t="s">
        <v>4717</v>
      </c>
      <c r="C2908" s="52" t="s">
        <v>832</v>
      </c>
    </row>
    <row r="2909" spans="1:3" hidden="1" x14ac:dyDescent="0.25">
      <c r="A2909" s="52" t="s">
        <v>3853</v>
      </c>
      <c r="B2909" s="52" t="s">
        <v>7117</v>
      </c>
      <c r="C2909" s="52" t="s">
        <v>832</v>
      </c>
    </row>
    <row r="2910" spans="1:3" hidden="1" x14ac:dyDescent="0.25">
      <c r="A2910" s="52" t="s">
        <v>3854</v>
      </c>
      <c r="B2910" s="52" t="s">
        <v>5976</v>
      </c>
      <c r="C2910" s="52" t="s">
        <v>832</v>
      </c>
    </row>
    <row r="2911" spans="1:3" hidden="1" x14ac:dyDescent="0.25">
      <c r="A2911" s="52" t="s">
        <v>3855</v>
      </c>
      <c r="B2911" s="52" t="s">
        <v>7118</v>
      </c>
      <c r="C2911" s="52" t="s">
        <v>832</v>
      </c>
    </row>
    <row r="2912" spans="1:3" hidden="1" x14ac:dyDescent="0.25">
      <c r="A2912" s="52" t="s">
        <v>3856</v>
      </c>
      <c r="B2912" s="52" t="s">
        <v>7119</v>
      </c>
      <c r="C2912" s="52" t="s">
        <v>832</v>
      </c>
    </row>
    <row r="2913" spans="1:3" hidden="1" x14ac:dyDescent="0.25">
      <c r="A2913" s="52" t="s">
        <v>3857</v>
      </c>
      <c r="B2913" s="52" t="s">
        <v>7120</v>
      </c>
      <c r="C2913" s="52" t="s">
        <v>832</v>
      </c>
    </row>
    <row r="2914" spans="1:3" hidden="1" x14ac:dyDescent="0.25">
      <c r="A2914" s="52" t="s">
        <v>3858</v>
      </c>
      <c r="B2914" s="52" t="s">
        <v>7121</v>
      </c>
      <c r="C2914" s="52" t="s">
        <v>832</v>
      </c>
    </row>
    <row r="2915" spans="1:3" hidden="1" x14ac:dyDescent="0.25">
      <c r="A2915" s="52" t="s">
        <v>3859</v>
      </c>
      <c r="B2915" s="52" t="s">
        <v>7122</v>
      </c>
      <c r="C2915" s="52" t="s">
        <v>832</v>
      </c>
    </row>
    <row r="2916" spans="1:3" hidden="1" x14ac:dyDescent="0.25">
      <c r="A2916" s="52" t="s">
        <v>3860</v>
      </c>
      <c r="B2916" s="52" t="s">
        <v>4851</v>
      </c>
      <c r="C2916" s="52" t="s">
        <v>832</v>
      </c>
    </row>
    <row r="2917" spans="1:3" hidden="1" x14ac:dyDescent="0.25">
      <c r="A2917" s="52" t="s">
        <v>3861</v>
      </c>
      <c r="B2917" s="52" t="s">
        <v>6958</v>
      </c>
      <c r="C2917" s="52" t="s">
        <v>832</v>
      </c>
    </row>
    <row r="2918" spans="1:3" hidden="1" x14ac:dyDescent="0.25">
      <c r="A2918" s="52" t="s">
        <v>3862</v>
      </c>
      <c r="B2918" s="52" t="s">
        <v>7123</v>
      </c>
      <c r="C2918" s="52" t="s">
        <v>832</v>
      </c>
    </row>
    <row r="2919" spans="1:3" hidden="1" x14ac:dyDescent="0.25">
      <c r="A2919" s="52" t="s">
        <v>3863</v>
      </c>
      <c r="B2919" s="52" t="s">
        <v>7124</v>
      </c>
      <c r="C2919" s="52" t="s">
        <v>832</v>
      </c>
    </row>
    <row r="2920" spans="1:3" hidden="1" x14ac:dyDescent="0.25">
      <c r="A2920" s="52" t="s">
        <v>3864</v>
      </c>
      <c r="B2920" s="52" t="s">
        <v>5727</v>
      </c>
      <c r="C2920" s="52" t="s">
        <v>832</v>
      </c>
    </row>
    <row r="2921" spans="1:3" hidden="1" x14ac:dyDescent="0.25">
      <c r="A2921" s="52" t="s">
        <v>3865</v>
      </c>
      <c r="B2921" s="52" t="s">
        <v>7125</v>
      </c>
      <c r="C2921" s="52" t="s">
        <v>832</v>
      </c>
    </row>
    <row r="2922" spans="1:3" hidden="1" x14ac:dyDescent="0.25">
      <c r="A2922" s="52" t="s">
        <v>3866</v>
      </c>
      <c r="B2922" s="52" t="s">
        <v>7126</v>
      </c>
      <c r="C2922" s="52" t="s">
        <v>832</v>
      </c>
    </row>
    <row r="2923" spans="1:3" hidden="1" x14ac:dyDescent="0.25">
      <c r="A2923" s="52" t="s">
        <v>3867</v>
      </c>
      <c r="B2923" s="52" t="s">
        <v>7127</v>
      </c>
      <c r="C2923" s="52" t="s">
        <v>832</v>
      </c>
    </row>
    <row r="2924" spans="1:3" hidden="1" x14ac:dyDescent="0.25">
      <c r="A2924" s="52" t="s">
        <v>3868</v>
      </c>
      <c r="B2924" s="52" t="s">
        <v>7128</v>
      </c>
      <c r="C2924" s="52" t="s">
        <v>832</v>
      </c>
    </row>
    <row r="2925" spans="1:3" hidden="1" x14ac:dyDescent="0.25">
      <c r="A2925" s="52" t="s">
        <v>3869</v>
      </c>
      <c r="B2925" s="52" t="s">
        <v>7129</v>
      </c>
      <c r="C2925" s="52" t="s">
        <v>832</v>
      </c>
    </row>
    <row r="2926" spans="1:3" hidden="1" x14ac:dyDescent="0.25">
      <c r="A2926" s="52" t="s">
        <v>3870</v>
      </c>
      <c r="B2926" s="52" t="s">
        <v>7130</v>
      </c>
      <c r="C2926" s="52" t="s">
        <v>832</v>
      </c>
    </row>
    <row r="2927" spans="1:3" hidden="1" x14ac:dyDescent="0.25">
      <c r="A2927" s="52" t="s">
        <v>3871</v>
      </c>
      <c r="B2927" s="52" t="s">
        <v>6890</v>
      </c>
      <c r="C2927" s="52" t="s">
        <v>832</v>
      </c>
    </row>
    <row r="2928" spans="1:3" hidden="1" x14ac:dyDescent="0.25">
      <c r="A2928" s="52" t="s">
        <v>3872</v>
      </c>
      <c r="B2928" s="52" t="s">
        <v>7131</v>
      </c>
      <c r="C2928" s="52" t="s">
        <v>832</v>
      </c>
    </row>
    <row r="2929" spans="1:3" hidden="1" x14ac:dyDescent="0.25">
      <c r="A2929" s="52" t="s">
        <v>3873</v>
      </c>
      <c r="B2929" s="52" t="s">
        <v>7132</v>
      </c>
      <c r="C2929" s="52" t="s">
        <v>832</v>
      </c>
    </row>
    <row r="2930" spans="1:3" hidden="1" x14ac:dyDescent="0.25">
      <c r="A2930" s="52" t="s">
        <v>3874</v>
      </c>
      <c r="B2930" s="52" t="s">
        <v>7133</v>
      </c>
      <c r="C2930" s="52" t="s">
        <v>832</v>
      </c>
    </row>
    <row r="2931" spans="1:3" hidden="1" x14ac:dyDescent="0.25">
      <c r="A2931" s="52" t="s">
        <v>3875</v>
      </c>
      <c r="B2931" s="52" t="s">
        <v>7134</v>
      </c>
      <c r="C2931" s="52" t="s">
        <v>834</v>
      </c>
    </row>
    <row r="2932" spans="1:3" hidden="1" x14ac:dyDescent="0.25">
      <c r="A2932" s="52" t="s">
        <v>3876</v>
      </c>
      <c r="B2932" s="52" t="s">
        <v>7135</v>
      </c>
      <c r="C2932" s="52" t="s">
        <v>834</v>
      </c>
    </row>
    <row r="2933" spans="1:3" hidden="1" x14ac:dyDescent="0.25">
      <c r="A2933" s="52" t="s">
        <v>3877</v>
      </c>
      <c r="B2933" s="52" t="s">
        <v>7136</v>
      </c>
      <c r="C2933" s="52" t="s">
        <v>834</v>
      </c>
    </row>
    <row r="2934" spans="1:3" hidden="1" x14ac:dyDescent="0.25">
      <c r="A2934" s="52" t="s">
        <v>3878</v>
      </c>
      <c r="B2934" s="52" t="s">
        <v>7137</v>
      </c>
      <c r="C2934" s="52" t="s">
        <v>834</v>
      </c>
    </row>
    <row r="2935" spans="1:3" hidden="1" x14ac:dyDescent="0.25">
      <c r="A2935" s="52" t="s">
        <v>3879</v>
      </c>
      <c r="B2935" s="52" t="s">
        <v>7138</v>
      </c>
      <c r="C2935" s="52" t="s">
        <v>834</v>
      </c>
    </row>
    <row r="2936" spans="1:3" hidden="1" x14ac:dyDescent="0.25">
      <c r="A2936" s="52" t="s">
        <v>3880</v>
      </c>
      <c r="B2936" s="52" t="s">
        <v>7139</v>
      </c>
      <c r="C2936" s="52" t="s">
        <v>834</v>
      </c>
    </row>
    <row r="2937" spans="1:3" hidden="1" x14ac:dyDescent="0.25">
      <c r="A2937" s="52" t="s">
        <v>3881</v>
      </c>
      <c r="B2937" s="52" t="s">
        <v>7140</v>
      </c>
      <c r="C2937" s="52" t="s">
        <v>834</v>
      </c>
    </row>
    <row r="2938" spans="1:3" hidden="1" x14ac:dyDescent="0.25">
      <c r="A2938" s="52" t="s">
        <v>3882</v>
      </c>
      <c r="B2938" s="52" t="s">
        <v>7141</v>
      </c>
      <c r="C2938" s="52" t="s">
        <v>834</v>
      </c>
    </row>
    <row r="2939" spans="1:3" hidden="1" x14ac:dyDescent="0.25">
      <c r="A2939" s="52" t="s">
        <v>3883</v>
      </c>
      <c r="B2939" s="52" t="s">
        <v>7142</v>
      </c>
      <c r="C2939" s="52" t="s">
        <v>834</v>
      </c>
    </row>
    <row r="2940" spans="1:3" hidden="1" x14ac:dyDescent="0.25">
      <c r="A2940" s="52" t="s">
        <v>3884</v>
      </c>
      <c r="B2940" s="52" t="s">
        <v>7143</v>
      </c>
      <c r="C2940" s="52" t="s">
        <v>834</v>
      </c>
    </row>
    <row r="2941" spans="1:3" hidden="1" x14ac:dyDescent="0.25">
      <c r="A2941" s="52" t="s">
        <v>3885</v>
      </c>
      <c r="B2941" s="52" t="s">
        <v>7144</v>
      </c>
      <c r="C2941" s="52" t="s">
        <v>834</v>
      </c>
    </row>
    <row r="2942" spans="1:3" hidden="1" x14ac:dyDescent="0.25">
      <c r="A2942" s="52" t="s">
        <v>3886</v>
      </c>
      <c r="B2942" s="52" t="s">
        <v>7145</v>
      </c>
      <c r="C2942" s="52" t="s">
        <v>834</v>
      </c>
    </row>
    <row r="2943" spans="1:3" hidden="1" x14ac:dyDescent="0.25">
      <c r="A2943" s="52" t="s">
        <v>3887</v>
      </c>
      <c r="B2943" s="52" t="s">
        <v>7067</v>
      </c>
      <c r="C2943" s="52" t="s">
        <v>834</v>
      </c>
    </row>
    <row r="2944" spans="1:3" hidden="1" x14ac:dyDescent="0.25">
      <c r="A2944" s="52" t="s">
        <v>3888</v>
      </c>
      <c r="B2944" s="52" t="s">
        <v>7146</v>
      </c>
      <c r="C2944" s="52" t="s">
        <v>834</v>
      </c>
    </row>
    <row r="2945" spans="1:3" hidden="1" x14ac:dyDescent="0.25">
      <c r="A2945" s="52" t="s">
        <v>3889</v>
      </c>
      <c r="B2945" s="52" t="s">
        <v>7147</v>
      </c>
      <c r="C2945" s="52" t="s">
        <v>834</v>
      </c>
    </row>
    <row r="2946" spans="1:3" hidden="1" x14ac:dyDescent="0.25">
      <c r="A2946" s="52" t="s">
        <v>3890</v>
      </c>
      <c r="B2946" s="52" t="s">
        <v>7148</v>
      </c>
      <c r="C2946" s="52" t="s">
        <v>834</v>
      </c>
    </row>
    <row r="2947" spans="1:3" hidden="1" x14ac:dyDescent="0.25">
      <c r="A2947" s="52" t="s">
        <v>3891</v>
      </c>
      <c r="B2947" s="52" t="s">
        <v>7149</v>
      </c>
      <c r="C2947" s="52" t="s">
        <v>834</v>
      </c>
    </row>
    <row r="2948" spans="1:3" hidden="1" x14ac:dyDescent="0.25">
      <c r="A2948" s="52" t="s">
        <v>3892</v>
      </c>
      <c r="B2948" s="52" t="s">
        <v>7150</v>
      </c>
      <c r="C2948" s="52" t="s">
        <v>834</v>
      </c>
    </row>
    <row r="2949" spans="1:3" hidden="1" x14ac:dyDescent="0.25">
      <c r="A2949" s="52" t="s">
        <v>3893</v>
      </c>
      <c r="B2949" s="52" t="s">
        <v>5893</v>
      </c>
      <c r="C2949" s="52" t="s">
        <v>834</v>
      </c>
    </row>
    <row r="2950" spans="1:3" hidden="1" x14ac:dyDescent="0.25">
      <c r="A2950" s="52" t="s">
        <v>3894</v>
      </c>
      <c r="B2950" s="52" t="s">
        <v>7151</v>
      </c>
      <c r="C2950" s="52" t="s">
        <v>834</v>
      </c>
    </row>
    <row r="2951" spans="1:3" hidden="1" x14ac:dyDescent="0.25">
      <c r="A2951" s="52" t="s">
        <v>3895</v>
      </c>
      <c r="B2951" s="52" t="s">
        <v>7152</v>
      </c>
      <c r="C2951" s="52" t="s">
        <v>834</v>
      </c>
    </row>
    <row r="2952" spans="1:3" hidden="1" x14ac:dyDescent="0.25">
      <c r="A2952" s="52" t="s">
        <v>3896</v>
      </c>
      <c r="B2952" s="52" t="s">
        <v>5304</v>
      </c>
      <c r="C2952" s="52" t="s">
        <v>834</v>
      </c>
    </row>
    <row r="2953" spans="1:3" hidden="1" x14ac:dyDescent="0.25">
      <c r="A2953" s="52" t="s">
        <v>3897</v>
      </c>
      <c r="B2953" s="52" t="s">
        <v>7153</v>
      </c>
      <c r="C2953" s="52" t="s">
        <v>834</v>
      </c>
    </row>
    <row r="2954" spans="1:3" hidden="1" x14ac:dyDescent="0.25">
      <c r="A2954" s="52" t="s">
        <v>3898</v>
      </c>
      <c r="B2954" s="52" t="s">
        <v>4651</v>
      </c>
      <c r="C2954" s="52" t="s">
        <v>834</v>
      </c>
    </row>
    <row r="2955" spans="1:3" hidden="1" x14ac:dyDescent="0.25">
      <c r="A2955" s="52" t="s">
        <v>3899</v>
      </c>
      <c r="B2955" s="52" t="s">
        <v>5309</v>
      </c>
      <c r="C2955" s="52" t="s">
        <v>834</v>
      </c>
    </row>
    <row r="2956" spans="1:3" hidden="1" x14ac:dyDescent="0.25">
      <c r="A2956" s="52" t="s">
        <v>3900</v>
      </c>
      <c r="B2956" s="52" t="s">
        <v>6912</v>
      </c>
      <c r="C2956" s="52" t="s">
        <v>834</v>
      </c>
    </row>
    <row r="2957" spans="1:3" hidden="1" x14ac:dyDescent="0.25">
      <c r="A2957" s="52" t="s">
        <v>3901</v>
      </c>
      <c r="B2957" s="52" t="s">
        <v>5666</v>
      </c>
      <c r="C2957" s="52" t="s">
        <v>834</v>
      </c>
    </row>
    <row r="2958" spans="1:3" hidden="1" x14ac:dyDescent="0.25">
      <c r="A2958" s="52" t="s">
        <v>3902</v>
      </c>
      <c r="B2958" s="52" t="s">
        <v>5667</v>
      </c>
      <c r="C2958" s="52" t="s">
        <v>834</v>
      </c>
    </row>
    <row r="2959" spans="1:3" hidden="1" x14ac:dyDescent="0.25">
      <c r="A2959" s="52" t="s">
        <v>3903</v>
      </c>
      <c r="B2959" s="52" t="s">
        <v>7154</v>
      </c>
      <c r="C2959" s="52" t="s">
        <v>834</v>
      </c>
    </row>
    <row r="2960" spans="1:3" hidden="1" x14ac:dyDescent="0.25">
      <c r="A2960" s="52" t="s">
        <v>3904</v>
      </c>
      <c r="B2960" s="52" t="s">
        <v>7155</v>
      </c>
      <c r="C2960" s="52" t="s">
        <v>834</v>
      </c>
    </row>
    <row r="2961" spans="1:3" hidden="1" x14ac:dyDescent="0.25">
      <c r="A2961" s="52" t="s">
        <v>3905</v>
      </c>
      <c r="B2961" s="52" t="s">
        <v>7156</v>
      </c>
      <c r="C2961" s="52" t="s">
        <v>834</v>
      </c>
    </row>
    <row r="2962" spans="1:3" hidden="1" x14ac:dyDescent="0.25">
      <c r="A2962" s="52" t="s">
        <v>3906</v>
      </c>
      <c r="B2962" s="52" t="s">
        <v>7157</v>
      </c>
      <c r="C2962" s="52" t="s">
        <v>834</v>
      </c>
    </row>
    <row r="2963" spans="1:3" hidden="1" x14ac:dyDescent="0.25">
      <c r="A2963" s="52" t="s">
        <v>3907</v>
      </c>
      <c r="B2963" s="52" t="s">
        <v>6916</v>
      </c>
      <c r="C2963" s="52" t="s">
        <v>834</v>
      </c>
    </row>
    <row r="2964" spans="1:3" hidden="1" x14ac:dyDescent="0.25">
      <c r="A2964" s="52" t="s">
        <v>3908</v>
      </c>
      <c r="B2964" s="52" t="s">
        <v>4897</v>
      </c>
      <c r="C2964" s="52" t="s">
        <v>834</v>
      </c>
    </row>
    <row r="2965" spans="1:3" hidden="1" x14ac:dyDescent="0.25">
      <c r="A2965" s="52" t="s">
        <v>3909</v>
      </c>
      <c r="B2965" s="52" t="s">
        <v>7158</v>
      </c>
      <c r="C2965" s="52" t="s">
        <v>834</v>
      </c>
    </row>
    <row r="2966" spans="1:3" hidden="1" x14ac:dyDescent="0.25">
      <c r="A2966" s="52" t="s">
        <v>3910</v>
      </c>
      <c r="B2966" s="52" t="s">
        <v>7159</v>
      </c>
      <c r="C2966" s="52" t="s">
        <v>834</v>
      </c>
    </row>
    <row r="2967" spans="1:3" hidden="1" x14ac:dyDescent="0.25">
      <c r="A2967" s="52" t="s">
        <v>3911</v>
      </c>
      <c r="B2967" s="52" t="s">
        <v>7160</v>
      </c>
      <c r="C2967" s="52" t="s">
        <v>834</v>
      </c>
    </row>
    <row r="2968" spans="1:3" hidden="1" x14ac:dyDescent="0.25">
      <c r="A2968" s="52" t="s">
        <v>3912</v>
      </c>
      <c r="B2968" s="52" t="s">
        <v>1114</v>
      </c>
      <c r="C2968" s="52" t="s">
        <v>834</v>
      </c>
    </row>
    <row r="2969" spans="1:3" hidden="1" x14ac:dyDescent="0.25">
      <c r="A2969" s="52" t="s">
        <v>3913</v>
      </c>
      <c r="B2969" s="52" t="s">
        <v>7161</v>
      </c>
      <c r="C2969" s="52" t="s">
        <v>834</v>
      </c>
    </row>
    <row r="2970" spans="1:3" hidden="1" x14ac:dyDescent="0.25">
      <c r="A2970" s="52" t="s">
        <v>3914</v>
      </c>
      <c r="B2970" s="52" t="s">
        <v>7162</v>
      </c>
      <c r="C2970" s="52" t="s">
        <v>834</v>
      </c>
    </row>
    <row r="2971" spans="1:3" hidden="1" x14ac:dyDescent="0.25">
      <c r="A2971" s="52" t="s">
        <v>3915</v>
      </c>
      <c r="B2971" s="52" t="s">
        <v>5373</v>
      </c>
      <c r="C2971" s="52" t="s">
        <v>834</v>
      </c>
    </row>
    <row r="2972" spans="1:3" hidden="1" x14ac:dyDescent="0.25">
      <c r="A2972" s="52" t="s">
        <v>3916</v>
      </c>
      <c r="B2972" s="52" t="s">
        <v>7163</v>
      </c>
      <c r="C2972" s="52" t="s">
        <v>834</v>
      </c>
    </row>
    <row r="2973" spans="1:3" hidden="1" x14ac:dyDescent="0.25">
      <c r="A2973" s="52" t="s">
        <v>3917</v>
      </c>
      <c r="B2973" s="52" t="s">
        <v>7164</v>
      </c>
      <c r="C2973" s="52" t="s">
        <v>834</v>
      </c>
    </row>
    <row r="2974" spans="1:3" hidden="1" x14ac:dyDescent="0.25">
      <c r="A2974" s="52" t="s">
        <v>3918</v>
      </c>
      <c r="B2974" s="52" t="s">
        <v>7165</v>
      </c>
      <c r="C2974" s="52" t="s">
        <v>834</v>
      </c>
    </row>
    <row r="2975" spans="1:3" hidden="1" x14ac:dyDescent="0.25">
      <c r="A2975" s="52" t="s">
        <v>3919</v>
      </c>
      <c r="B2975" s="52" t="s">
        <v>7166</v>
      </c>
      <c r="C2975" s="52" t="s">
        <v>834</v>
      </c>
    </row>
    <row r="2976" spans="1:3" hidden="1" x14ac:dyDescent="0.25">
      <c r="A2976" s="52" t="s">
        <v>3920</v>
      </c>
      <c r="B2976" s="52" t="s">
        <v>7167</v>
      </c>
      <c r="C2976" s="52" t="s">
        <v>834</v>
      </c>
    </row>
    <row r="2977" spans="1:3" hidden="1" x14ac:dyDescent="0.25">
      <c r="A2977" s="52" t="s">
        <v>3921</v>
      </c>
      <c r="B2977" s="52" t="s">
        <v>7168</v>
      </c>
      <c r="C2977" s="52" t="s">
        <v>834</v>
      </c>
    </row>
    <row r="2978" spans="1:3" hidden="1" x14ac:dyDescent="0.25">
      <c r="A2978" s="52" t="s">
        <v>3922</v>
      </c>
      <c r="B2978" s="52" t="s">
        <v>922</v>
      </c>
      <c r="C2978" s="52" t="s">
        <v>834</v>
      </c>
    </row>
    <row r="2979" spans="1:3" hidden="1" x14ac:dyDescent="0.25">
      <c r="A2979" s="52" t="s">
        <v>3923</v>
      </c>
      <c r="B2979" s="52" t="s">
        <v>7169</v>
      </c>
      <c r="C2979" s="52" t="s">
        <v>834</v>
      </c>
    </row>
    <row r="2980" spans="1:3" hidden="1" x14ac:dyDescent="0.25">
      <c r="A2980" s="52" t="s">
        <v>3924</v>
      </c>
      <c r="B2980" s="52" t="s">
        <v>7170</v>
      </c>
      <c r="C2980" s="52" t="s">
        <v>834</v>
      </c>
    </row>
    <row r="2981" spans="1:3" hidden="1" x14ac:dyDescent="0.25">
      <c r="A2981" s="52" t="s">
        <v>3925</v>
      </c>
      <c r="B2981" s="52" t="s">
        <v>7171</v>
      </c>
      <c r="C2981" s="52" t="s">
        <v>834</v>
      </c>
    </row>
    <row r="2982" spans="1:3" hidden="1" x14ac:dyDescent="0.25">
      <c r="A2982" s="52" t="s">
        <v>3926</v>
      </c>
      <c r="B2982" s="52" t="s">
        <v>7172</v>
      </c>
      <c r="C2982" s="52" t="s">
        <v>834</v>
      </c>
    </row>
    <row r="2983" spans="1:3" hidden="1" x14ac:dyDescent="0.25">
      <c r="A2983" s="52" t="s">
        <v>3927</v>
      </c>
      <c r="B2983" s="52" t="s">
        <v>7173</v>
      </c>
      <c r="C2983" s="52" t="s">
        <v>834</v>
      </c>
    </row>
    <row r="2984" spans="1:3" hidden="1" x14ac:dyDescent="0.25">
      <c r="A2984" s="52" t="s">
        <v>3928</v>
      </c>
      <c r="B2984" s="52" t="s">
        <v>7174</v>
      </c>
      <c r="C2984" s="52" t="s">
        <v>834</v>
      </c>
    </row>
    <row r="2985" spans="1:3" hidden="1" x14ac:dyDescent="0.25">
      <c r="A2985" s="52" t="s">
        <v>3929</v>
      </c>
      <c r="B2985" s="52" t="s">
        <v>6667</v>
      </c>
      <c r="C2985" s="52" t="s">
        <v>834</v>
      </c>
    </row>
    <row r="2986" spans="1:3" hidden="1" x14ac:dyDescent="0.25">
      <c r="A2986" s="52" t="s">
        <v>3930</v>
      </c>
      <c r="B2986" s="52" t="s">
        <v>7175</v>
      </c>
      <c r="C2986" s="52" t="s">
        <v>834</v>
      </c>
    </row>
    <row r="2987" spans="1:3" hidden="1" x14ac:dyDescent="0.25">
      <c r="A2987" s="52" t="s">
        <v>3931</v>
      </c>
      <c r="B2987" s="52" t="s">
        <v>7176</v>
      </c>
      <c r="C2987" s="52" t="s">
        <v>834</v>
      </c>
    </row>
    <row r="2988" spans="1:3" hidden="1" x14ac:dyDescent="0.25">
      <c r="A2988" s="52" t="s">
        <v>3932</v>
      </c>
      <c r="B2988" s="52" t="s">
        <v>945</v>
      </c>
      <c r="C2988" s="52" t="s">
        <v>834</v>
      </c>
    </row>
    <row r="2989" spans="1:3" hidden="1" x14ac:dyDescent="0.25">
      <c r="A2989" s="52" t="s">
        <v>3933</v>
      </c>
      <c r="B2989" s="52" t="s">
        <v>7177</v>
      </c>
      <c r="C2989" s="52" t="s">
        <v>834</v>
      </c>
    </row>
    <row r="2990" spans="1:3" hidden="1" x14ac:dyDescent="0.25">
      <c r="A2990" s="52" t="s">
        <v>3934</v>
      </c>
      <c r="B2990" s="52" t="s">
        <v>7178</v>
      </c>
      <c r="C2990" s="52" t="s">
        <v>834</v>
      </c>
    </row>
    <row r="2991" spans="1:3" hidden="1" x14ac:dyDescent="0.25">
      <c r="A2991" s="52" t="s">
        <v>3935</v>
      </c>
      <c r="B2991" s="52" t="s">
        <v>7179</v>
      </c>
      <c r="C2991" s="52" t="s">
        <v>834</v>
      </c>
    </row>
    <row r="2992" spans="1:3" hidden="1" x14ac:dyDescent="0.25">
      <c r="A2992" s="52" t="s">
        <v>3936</v>
      </c>
      <c r="B2992" s="52" t="s">
        <v>7180</v>
      </c>
      <c r="C2992" s="52" t="s">
        <v>834</v>
      </c>
    </row>
    <row r="2993" spans="1:3" hidden="1" x14ac:dyDescent="0.25">
      <c r="A2993" s="52" t="s">
        <v>3937</v>
      </c>
      <c r="B2993" s="52" t="s">
        <v>7181</v>
      </c>
      <c r="C2993" s="52" t="s">
        <v>834</v>
      </c>
    </row>
    <row r="2994" spans="1:3" hidden="1" x14ac:dyDescent="0.25">
      <c r="A2994" s="52" t="s">
        <v>3938</v>
      </c>
      <c r="B2994" s="52" t="s">
        <v>7182</v>
      </c>
      <c r="C2994" s="52" t="s">
        <v>834</v>
      </c>
    </row>
    <row r="2995" spans="1:3" hidden="1" x14ac:dyDescent="0.25">
      <c r="A2995" s="52" t="s">
        <v>3939</v>
      </c>
      <c r="B2995" s="52" t="s">
        <v>7183</v>
      </c>
      <c r="C2995" s="52" t="s">
        <v>834</v>
      </c>
    </row>
    <row r="2996" spans="1:3" hidden="1" x14ac:dyDescent="0.25">
      <c r="A2996" s="52" t="s">
        <v>3940</v>
      </c>
      <c r="B2996" s="52" t="s">
        <v>7184</v>
      </c>
      <c r="C2996" s="52" t="s">
        <v>834</v>
      </c>
    </row>
    <row r="2997" spans="1:3" hidden="1" x14ac:dyDescent="0.25">
      <c r="A2997" s="52" t="s">
        <v>3941</v>
      </c>
      <c r="B2997" s="52" t="s">
        <v>7185</v>
      </c>
      <c r="C2997" s="52" t="s">
        <v>834</v>
      </c>
    </row>
    <row r="2998" spans="1:3" hidden="1" x14ac:dyDescent="0.25">
      <c r="A2998" s="52" t="s">
        <v>3942</v>
      </c>
      <c r="B2998" s="52" t="s">
        <v>7026</v>
      </c>
      <c r="C2998" s="52" t="s">
        <v>834</v>
      </c>
    </row>
    <row r="2999" spans="1:3" hidden="1" x14ac:dyDescent="0.25">
      <c r="A2999" s="52" t="s">
        <v>3943</v>
      </c>
      <c r="B2999" s="52" t="s">
        <v>7186</v>
      </c>
      <c r="C2999" s="52" t="s">
        <v>834</v>
      </c>
    </row>
    <row r="3000" spans="1:3" hidden="1" x14ac:dyDescent="0.25">
      <c r="A3000" s="52" t="s">
        <v>3944</v>
      </c>
      <c r="B3000" s="52" t="s">
        <v>7027</v>
      </c>
      <c r="C3000" s="52" t="s">
        <v>834</v>
      </c>
    </row>
    <row r="3001" spans="1:3" hidden="1" x14ac:dyDescent="0.25">
      <c r="A3001" s="52" t="s">
        <v>3945</v>
      </c>
      <c r="B3001" s="52" t="s">
        <v>7187</v>
      </c>
      <c r="C3001" s="52" t="s">
        <v>834</v>
      </c>
    </row>
    <row r="3002" spans="1:3" hidden="1" x14ac:dyDescent="0.25">
      <c r="A3002" s="52" t="s">
        <v>3946</v>
      </c>
      <c r="B3002" s="52" t="s">
        <v>5516</v>
      </c>
      <c r="C3002" s="52" t="s">
        <v>834</v>
      </c>
    </row>
    <row r="3003" spans="1:3" hidden="1" x14ac:dyDescent="0.25">
      <c r="A3003" s="52" t="s">
        <v>3947</v>
      </c>
      <c r="B3003" s="52" t="s">
        <v>7188</v>
      </c>
      <c r="C3003" s="52" t="s">
        <v>834</v>
      </c>
    </row>
    <row r="3004" spans="1:3" hidden="1" x14ac:dyDescent="0.25">
      <c r="A3004" s="52" t="s">
        <v>3948</v>
      </c>
      <c r="B3004" s="52" t="s">
        <v>4716</v>
      </c>
      <c r="C3004" s="52" t="s">
        <v>834</v>
      </c>
    </row>
    <row r="3005" spans="1:3" hidden="1" x14ac:dyDescent="0.25">
      <c r="A3005" s="52" t="s">
        <v>3949</v>
      </c>
      <c r="B3005" s="52" t="s">
        <v>6238</v>
      </c>
      <c r="C3005" s="52" t="s">
        <v>834</v>
      </c>
    </row>
    <row r="3006" spans="1:3" hidden="1" x14ac:dyDescent="0.25">
      <c r="A3006" s="52" t="s">
        <v>3950</v>
      </c>
      <c r="B3006" s="52" t="s">
        <v>6887</v>
      </c>
      <c r="C3006" s="52" t="s">
        <v>834</v>
      </c>
    </row>
    <row r="3007" spans="1:3" hidden="1" x14ac:dyDescent="0.25">
      <c r="A3007" s="52" t="s">
        <v>3951</v>
      </c>
      <c r="B3007" s="52" t="s">
        <v>6958</v>
      </c>
      <c r="C3007" s="52" t="s">
        <v>834</v>
      </c>
    </row>
    <row r="3008" spans="1:3" hidden="1" x14ac:dyDescent="0.25">
      <c r="A3008" s="52" t="s">
        <v>3952</v>
      </c>
      <c r="B3008" s="52" t="s">
        <v>7189</v>
      </c>
      <c r="C3008" s="52" t="s">
        <v>834</v>
      </c>
    </row>
    <row r="3009" spans="1:3" hidden="1" x14ac:dyDescent="0.25">
      <c r="A3009" s="52" t="s">
        <v>3953</v>
      </c>
      <c r="B3009" s="52" t="s">
        <v>7190</v>
      </c>
      <c r="C3009" s="52" t="s">
        <v>834</v>
      </c>
    </row>
    <row r="3010" spans="1:3" hidden="1" x14ac:dyDescent="0.25">
      <c r="A3010" s="52" t="s">
        <v>3954</v>
      </c>
      <c r="B3010" s="52" t="s">
        <v>7191</v>
      </c>
      <c r="C3010" s="52" t="s">
        <v>834</v>
      </c>
    </row>
    <row r="3011" spans="1:3" hidden="1" x14ac:dyDescent="0.25">
      <c r="A3011" s="52" t="s">
        <v>3955</v>
      </c>
      <c r="B3011" s="52" t="s">
        <v>7192</v>
      </c>
      <c r="C3011" s="52" t="s">
        <v>834</v>
      </c>
    </row>
    <row r="3012" spans="1:3" hidden="1" x14ac:dyDescent="0.25">
      <c r="A3012" s="52" t="s">
        <v>3956</v>
      </c>
      <c r="B3012" s="52" t="s">
        <v>7193</v>
      </c>
      <c r="C3012" s="52" t="s">
        <v>834</v>
      </c>
    </row>
    <row r="3013" spans="1:3" hidden="1" x14ac:dyDescent="0.25">
      <c r="A3013" s="52" t="s">
        <v>3957</v>
      </c>
      <c r="B3013" s="52" t="s">
        <v>7194</v>
      </c>
      <c r="C3013" s="52" t="s">
        <v>834</v>
      </c>
    </row>
    <row r="3014" spans="1:3" hidden="1" x14ac:dyDescent="0.25">
      <c r="A3014" s="52" t="s">
        <v>3958</v>
      </c>
      <c r="B3014" s="52" t="s">
        <v>7195</v>
      </c>
      <c r="C3014" s="52" t="s">
        <v>834</v>
      </c>
    </row>
    <row r="3015" spans="1:3" hidden="1" x14ac:dyDescent="0.25">
      <c r="A3015" s="52" t="s">
        <v>3959</v>
      </c>
      <c r="B3015" s="52" t="s">
        <v>7196</v>
      </c>
      <c r="C3015" s="52" t="s">
        <v>834</v>
      </c>
    </row>
    <row r="3016" spans="1:3" hidden="1" x14ac:dyDescent="0.25">
      <c r="A3016" s="52" t="s">
        <v>3960</v>
      </c>
      <c r="B3016" s="52" t="s">
        <v>7197</v>
      </c>
      <c r="C3016" s="52" t="s">
        <v>834</v>
      </c>
    </row>
    <row r="3017" spans="1:3" hidden="1" x14ac:dyDescent="0.25">
      <c r="A3017" s="52" t="s">
        <v>3961</v>
      </c>
      <c r="B3017" s="52" t="s">
        <v>7198</v>
      </c>
      <c r="C3017" s="52" t="s">
        <v>834</v>
      </c>
    </row>
    <row r="3018" spans="1:3" hidden="1" x14ac:dyDescent="0.25">
      <c r="A3018" s="52" t="s">
        <v>3962</v>
      </c>
      <c r="B3018" s="52" t="s">
        <v>7199</v>
      </c>
      <c r="C3018" s="52" t="s">
        <v>834</v>
      </c>
    </row>
    <row r="3019" spans="1:3" hidden="1" x14ac:dyDescent="0.25">
      <c r="A3019" s="52" t="s">
        <v>3963</v>
      </c>
      <c r="B3019" s="52" t="s">
        <v>5619</v>
      </c>
      <c r="C3019" s="52" t="s">
        <v>834</v>
      </c>
    </row>
    <row r="3020" spans="1:3" hidden="1" x14ac:dyDescent="0.25">
      <c r="A3020" s="52" t="s">
        <v>3964</v>
      </c>
      <c r="B3020" s="52" t="s">
        <v>7131</v>
      </c>
      <c r="C3020" s="52" t="s">
        <v>834</v>
      </c>
    </row>
    <row r="3021" spans="1:3" hidden="1" x14ac:dyDescent="0.25">
      <c r="A3021" s="52" t="s">
        <v>3965</v>
      </c>
      <c r="B3021" s="52" t="s">
        <v>7200</v>
      </c>
      <c r="C3021" s="52" t="s">
        <v>834</v>
      </c>
    </row>
    <row r="3022" spans="1:3" hidden="1" x14ac:dyDescent="0.25">
      <c r="A3022" s="52" t="s">
        <v>3966</v>
      </c>
      <c r="B3022" s="52" t="s">
        <v>7201</v>
      </c>
      <c r="C3022" s="52" t="s">
        <v>834</v>
      </c>
    </row>
    <row r="3023" spans="1:3" hidden="1" x14ac:dyDescent="0.25">
      <c r="A3023" s="52" t="s">
        <v>3967</v>
      </c>
      <c r="B3023" s="52" t="s">
        <v>7202</v>
      </c>
      <c r="C3023" s="52" t="s">
        <v>834</v>
      </c>
    </row>
    <row r="3024" spans="1:3" hidden="1" x14ac:dyDescent="0.25">
      <c r="A3024" s="52" t="s">
        <v>3968</v>
      </c>
      <c r="B3024" s="52" t="s">
        <v>7203</v>
      </c>
      <c r="C3024" s="52" t="s">
        <v>834</v>
      </c>
    </row>
    <row r="3025" spans="1:3" hidden="1" x14ac:dyDescent="0.25">
      <c r="A3025" s="52" t="s">
        <v>3969</v>
      </c>
      <c r="B3025" s="52" t="s">
        <v>5341</v>
      </c>
      <c r="C3025" s="52" t="s">
        <v>834</v>
      </c>
    </row>
    <row r="3026" spans="1:3" hidden="1" x14ac:dyDescent="0.25">
      <c r="A3026" s="52" t="s">
        <v>3970</v>
      </c>
      <c r="B3026" s="52" t="s">
        <v>7204</v>
      </c>
      <c r="C3026" s="52" t="s">
        <v>834</v>
      </c>
    </row>
    <row r="3027" spans="1:3" hidden="1" x14ac:dyDescent="0.25">
      <c r="A3027" s="52" t="s">
        <v>3971</v>
      </c>
      <c r="B3027" s="52" t="s">
        <v>7205</v>
      </c>
      <c r="C3027" s="52" t="s">
        <v>834</v>
      </c>
    </row>
    <row r="3028" spans="1:3" hidden="1" x14ac:dyDescent="0.25">
      <c r="A3028" s="52" t="s">
        <v>3972</v>
      </c>
      <c r="B3028" s="52" t="s">
        <v>7206</v>
      </c>
      <c r="C3028" s="52" t="s">
        <v>834</v>
      </c>
    </row>
    <row r="3029" spans="1:3" hidden="1" x14ac:dyDescent="0.25">
      <c r="A3029" s="52" t="s">
        <v>3973</v>
      </c>
      <c r="B3029" s="52" t="s">
        <v>5344</v>
      </c>
      <c r="C3029" s="52" t="s">
        <v>834</v>
      </c>
    </row>
    <row r="3030" spans="1:3" hidden="1" x14ac:dyDescent="0.25">
      <c r="A3030" s="52" t="s">
        <v>3974</v>
      </c>
      <c r="B3030" s="52" t="s">
        <v>7207</v>
      </c>
      <c r="C3030" s="52" t="s">
        <v>834</v>
      </c>
    </row>
    <row r="3031" spans="1:3" hidden="1" x14ac:dyDescent="0.25">
      <c r="A3031" s="52" t="s">
        <v>3975</v>
      </c>
      <c r="B3031" s="52" t="s">
        <v>4745</v>
      </c>
      <c r="C3031" s="52" t="s">
        <v>834</v>
      </c>
    </row>
    <row r="3032" spans="1:3" hidden="1" x14ac:dyDescent="0.25">
      <c r="A3032" s="52" t="s">
        <v>3976</v>
      </c>
      <c r="B3032" s="52" t="s">
        <v>7208</v>
      </c>
      <c r="C3032" s="52" t="s">
        <v>834</v>
      </c>
    </row>
    <row r="3033" spans="1:3" hidden="1" x14ac:dyDescent="0.25">
      <c r="A3033" s="52" t="s">
        <v>3977</v>
      </c>
      <c r="B3033" s="52" t="s">
        <v>7209</v>
      </c>
      <c r="C3033" s="52" t="s">
        <v>836</v>
      </c>
    </row>
    <row r="3034" spans="1:3" hidden="1" x14ac:dyDescent="0.25">
      <c r="A3034" s="52" t="s">
        <v>3978</v>
      </c>
      <c r="B3034" s="52" t="s">
        <v>7210</v>
      </c>
      <c r="C3034" s="52" t="s">
        <v>836</v>
      </c>
    </row>
    <row r="3035" spans="1:3" hidden="1" x14ac:dyDescent="0.25">
      <c r="A3035" s="52" t="s">
        <v>3979</v>
      </c>
      <c r="B3035" s="52" t="s">
        <v>6896</v>
      </c>
      <c r="C3035" s="52" t="s">
        <v>836</v>
      </c>
    </row>
    <row r="3036" spans="1:3" hidden="1" x14ac:dyDescent="0.25">
      <c r="A3036" s="52" t="s">
        <v>3980</v>
      </c>
      <c r="B3036" s="52" t="s">
        <v>7211</v>
      </c>
      <c r="C3036" s="52" t="s">
        <v>836</v>
      </c>
    </row>
    <row r="3037" spans="1:3" hidden="1" x14ac:dyDescent="0.25">
      <c r="A3037" s="52" t="s">
        <v>3981</v>
      </c>
      <c r="B3037" s="52" t="s">
        <v>7212</v>
      </c>
      <c r="C3037" s="52" t="s">
        <v>836</v>
      </c>
    </row>
    <row r="3038" spans="1:3" hidden="1" x14ac:dyDescent="0.25">
      <c r="A3038" s="52" t="s">
        <v>3982</v>
      </c>
      <c r="B3038" s="52" t="s">
        <v>7213</v>
      </c>
      <c r="C3038" s="52" t="s">
        <v>836</v>
      </c>
    </row>
    <row r="3039" spans="1:3" hidden="1" x14ac:dyDescent="0.25">
      <c r="A3039" s="52" t="s">
        <v>3983</v>
      </c>
      <c r="B3039" s="52" t="s">
        <v>7214</v>
      </c>
      <c r="C3039" s="52" t="s">
        <v>836</v>
      </c>
    </row>
    <row r="3040" spans="1:3" hidden="1" x14ac:dyDescent="0.25">
      <c r="A3040" s="52" t="s">
        <v>3984</v>
      </c>
      <c r="B3040" s="52" t="s">
        <v>7215</v>
      </c>
      <c r="C3040" s="52" t="s">
        <v>836</v>
      </c>
    </row>
    <row r="3041" spans="1:3" hidden="1" x14ac:dyDescent="0.25">
      <c r="A3041" s="52" t="s">
        <v>3985</v>
      </c>
      <c r="B3041" s="52" t="s">
        <v>7216</v>
      </c>
      <c r="C3041" s="52" t="s">
        <v>836</v>
      </c>
    </row>
    <row r="3042" spans="1:3" hidden="1" x14ac:dyDescent="0.25">
      <c r="A3042" s="52" t="s">
        <v>3986</v>
      </c>
      <c r="B3042" s="52" t="s">
        <v>7217</v>
      </c>
      <c r="C3042" s="52" t="s">
        <v>836</v>
      </c>
    </row>
    <row r="3043" spans="1:3" hidden="1" x14ac:dyDescent="0.25">
      <c r="A3043" s="52" t="s">
        <v>3987</v>
      </c>
      <c r="B3043" s="52" t="s">
        <v>7218</v>
      </c>
      <c r="C3043" s="52" t="s">
        <v>836</v>
      </c>
    </row>
    <row r="3044" spans="1:3" hidden="1" x14ac:dyDescent="0.25">
      <c r="A3044" s="52" t="s">
        <v>3988</v>
      </c>
      <c r="B3044" s="52" t="s">
        <v>7219</v>
      </c>
      <c r="C3044" s="52" t="s">
        <v>836</v>
      </c>
    </row>
    <row r="3045" spans="1:3" hidden="1" x14ac:dyDescent="0.25">
      <c r="A3045" s="52" t="s">
        <v>3989</v>
      </c>
      <c r="B3045" s="52" t="s">
        <v>7220</v>
      </c>
      <c r="C3045" s="52" t="s">
        <v>836</v>
      </c>
    </row>
    <row r="3046" spans="1:3" hidden="1" x14ac:dyDescent="0.25">
      <c r="A3046" s="52" t="s">
        <v>3990</v>
      </c>
      <c r="B3046" s="52" t="s">
        <v>7221</v>
      </c>
      <c r="C3046" s="52" t="s">
        <v>836</v>
      </c>
    </row>
    <row r="3047" spans="1:3" hidden="1" x14ac:dyDescent="0.25">
      <c r="A3047" s="52" t="s">
        <v>3991</v>
      </c>
      <c r="B3047" s="52" t="s">
        <v>7222</v>
      </c>
      <c r="C3047" s="52" t="s">
        <v>836</v>
      </c>
    </row>
    <row r="3048" spans="1:3" hidden="1" x14ac:dyDescent="0.25">
      <c r="A3048" s="52" t="s">
        <v>3992</v>
      </c>
      <c r="B3048" s="52" t="s">
        <v>7223</v>
      </c>
      <c r="C3048" s="52" t="s">
        <v>836</v>
      </c>
    </row>
    <row r="3049" spans="1:3" hidden="1" x14ac:dyDescent="0.25">
      <c r="A3049" s="52" t="s">
        <v>3993</v>
      </c>
      <c r="B3049" s="52" t="s">
        <v>7224</v>
      </c>
      <c r="C3049" s="52" t="s">
        <v>836</v>
      </c>
    </row>
    <row r="3050" spans="1:3" hidden="1" x14ac:dyDescent="0.25">
      <c r="A3050" s="52" t="s">
        <v>3994</v>
      </c>
      <c r="B3050" s="52" t="s">
        <v>7225</v>
      </c>
      <c r="C3050" s="52" t="s">
        <v>836</v>
      </c>
    </row>
    <row r="3051" spans="1:3" hidden="1" x14ac:dyDescent="0.25">
      <c r="A3051" s="52" t="s">
        <v>3995</v>
      </c>
      <c r="B3051" s="52" t="s">
        <v>7226</v>
      </c>
      <c r="C3051" s="52" t="s">
        <v>836</v>
      </c>
    </row>
    <row r="3052" spans="1:3" hidden="1" x14ac:dyDescent="0.25">
      <c r="A3052" s="52" t="s">
        <v>3996</v>
      </c>
      <c r="B3052" s="52" t="s">
        <v>5551</v>
      </c>
      <c r="C3052" s="52" t="s">
        <v>836</v>
      </c>
    </row>
    <row r="3053" spans="1:3" hidden="1" x14ac:dyDescent="0.25">
      <c r="A3053" s="52" t="s">
        <v>3997</v>
      </c>
      <c r="B3053" s="52" t="s">
        <v>7227</v>
      </c>
      <c r="C3053" s="52" t="s">
        <v>836</v>
      </c>
    </row>
    <row r="3054" spans="1:3" hidden="1" x14ac:dyDescent="0.25">
      <c r="A3054" s="52" t="s">
        <v>3998</v>
      </c>
      <c r="B3054" s="52" t="s">
        <v>7228</v>
      </c>
      <c r="C3054" s="52" t="s">
        <v>836</v>
      </c>
    </row>
    <row r="3055" spans="1:3" hidden="1" x14ac:dyDescent="0.25">
      <c r="A3055" s="52" t="s">
        <v>3999</v>
      </c>
      <c r="B3055" s="52" t="s">
        <v>7229</v>
      </c>
      <c r="C3055" s="52" t="s">
        <v>836</v>
      </c>
    </row>
    <row r="3056" spans="1:3" hidden="1" x14ac:dyDescent="0.25">
      <c r="A3056" s="52" t="s">
        <v>4000</v>
      </c>
      <c r="B3056" s="52" t="s">
        <v>7230</v>
      </c>
      <c r="C3056" s="52" t="s">
        <v>836</v>
      </c>
    </row>
    <row r="3057" spans="1:3" hidden="1" x14ac:dyDescent="0.25">
      <c r="A3057" s="52" t="s">
        <v>4001</v>
      </c>
      <c r="B3057" s="52" t="s">
        <v>7231</v>
      </c>
      <c r="C3057" s="52" t="s">
        <v>836</v>
      </c>
    </row>
    <row r="3058" spans="1:3" hidden="1" x14ac:dyDescent="0.25">
      <c r="A3058" s="52" t="s">
        <v>4002</v>
      </c>
      <c r="B3058" s="52" t="s">
        <v>5307</v>
      </c>
      <c r="C3058" s="52" t="s">
        <v>836</v>
      </c>
    </row>
    <row r="3059" spans="1:3" hidden="1" x14ac:dyDescent="0.25">
      <c r="A3059" s="52" t="s">
        <v>4003</v>
      </c>
      <c r="B3059" s="52" t="s">
        <v>7232</v>
      </c>
      <c r="C3059" s="52" t="s">
        <v>836</v>
      </c>
    </row>
    <row r="3060" spans="1:3" hidden="1" x14ac:dyDescent="0.25">
      <c r="A3060" s="52" t="s">
        <v>4004</v>
      </c>
      <c r="B3060" s="52" t="s">
        <v>7233</v>
      </c>
      <c r="C3060" s="52" t="s">
        <v>836</v>
      </c>
    </row>
    <row r="3061" spans="1:3" hidden="1" x14ac:dyDescent="0.25">
      <c r="A3061" s="52" t="s">
        <v>4005</v>
      </c>
      <c r="B3061" s="52" t="s">
        <v>7234</v>
      </c>
      <c r="C3061" s="52" t="s">
        <v>836</v>
      </c>
    </row>
    <row r="3062" spans="1:3" hidden="1" x14ac:dyDescent="0.25">
      <c r="A3062" s="52" t="s">
        <v>4006</v>
      </c>
      <c r="B3062" s="52" t="s">
        <v>5556</v>
      </c>
      <c r="C3062" s="52" t="s">
        <v>836</v>
      </c>
    </row>
    <row r="3063" spans="1:3" hidden="1" x14ac:dyDescent="0.25">
      <c r="A3063" s="52" t="s">
        <v>4007</v>
      </c>
      <c r="B3063" s="52" t="s">
        <v>7235</v>
      </c>
      <c r="C3063" s="52" t="s">
        <v>836</v>
      </c>
    </row>
    <row r="3064" spans="1:3" hidden="1" x14ac:dyDescent="0.25">
      <c r="A3064" s="52" t="s">
        <v>4008</v>
      </c>
      <c r="B3064" s="52" t="s">
        <v>7236</v>
      </c>
      <c r="C3064" s="52" t="s">
        <v>836</v>
      </c>
    </row>
    <row r="3065" spans="1:3" hidden="1" x14ac:dyDescent="0.25">
      <c r="A3065" s="52" t="s">
        <v>4009</v>
      </c>
      <c r="B3065" s="52" t="s">
        <v>7237</v>
      </c>
      <c r="C3065" s="52" t="s">
        <v>836</v>
      </c>
    </row>
    <row r="3066" spans="1:3" hidden="1" x14ac:dyDescent="0.25">
      <c r="A3066" s="52" t="s">
        <v>4010</v>
      </c>
      <c r="B3066" s="52" t="s">
        <v>7238</v>
      </c>
      <c r="C3066" s="52" t="s">
        <v>836</v>
      </c>
    </row>
    <row r="3067" spans="1:3" hidden="1" x14ac:dyDescent="0.25">
      <c r="A3067" s="52" t="s">
        <v>4011</v>
      </c>
      <c r="B3067" s="52" t="s">
        <v>7239</v>
      </c>
      <c r="C3067" s="52" t="s">
        <v>836</v>
      </c>
    </row>
    <row r="3068" spans="1:3" hidden="1" x14ac:dyDescent="0.25">
      <c r="A3068" s="52" t="s">
        <v>4012</v>
      </c>
      <c r="B3068" s="52" t="s">
        <v>7240</v>
      </c>
      <c r="C3068" s="52" t="s">
        <v>836</v>
      </c>
    </row>
    <row r="3069" spans="1:3" hidden="1" x14ac:dyDescent="0.25">
      <c r="A3069" s="52" t="s">
        <v>4013</v>
      </c>
      <c r="B3069" s="52" t="s">
        <v>7241</v>
      </c>
      <c r="C3069" s="52" t="s">
        <v>836</v>
      </c>
    </row>
    <row r="3070" spans="1:3" hidden="1" x14ac:dyDescent="0.25">
      <c r="A3070" s="52" t="s">
        <v>4014</v>
      </c>
      <c r="B3070" s="52" t="s">
        <v>7242</v>
      </c>
      <c r="C3070" s="52" t="s">
        <v>836</v>
      </c>
    </row>
    <row r="3071" spans="1:3" hidden="1" x14ac:dyDescent="0.25">
      <c r="A3071" s="52" t="s">
        <v>4015</v>
      </c>
      <c r="B3071" s="52" t="s">
        <v>6916</v>
      </c>
      <c r="C3071" s="52" t="s">
        <v>836</v>
      </c>
    </row>
    <row r="3072" spans="1:3" hidden="1" x14ac:dyDescent="0.25">
      <c r="A3072" s="52" t="s">
        <v>4016</v>
      </c>
      <c r="B3072" s="52" t="s">
        <v>7243</v>
      </c>
      <c r="C3072" s="52" t="s">
        <v>836</v>
      </c>
    </row>
    <row r="3073" spans="1:3" hidden="1" x14ac:dyDescent="0.25">
      <c r="A3073" s="52" t="s">
        <v>4017</v>
      </c>
      <c r="B3073" s="52" t="s">
        <v>7244</v>
      </c>
      <c r="C3073" s="52" t="s">
        <v>836</v>
      </c>
    </row>
    <row r="3074" spans="1:3" hidden="1" x14ac:dyDescent="0.25">
      <c r="A3074" s="52" t="s">
        <v>4018</v>
      </c>
      <c r="B3074" s="52" t="s">
        <v>7245</v>
      </c>
      <c r="C3074" s="52" t="s">
        <v>836</v>
      </c>
    </row>
    <row r="3075" spans="1:3" hidden="1" x14ac:dyDescent="0.25">
      <c r="A3075" s="52" t="s">
        <v>4019</v>
      </c>
      <c r="B3075" s="52" t="s">
        <v>7246</v>
      </c>
      <c r="C3075" s="52" t="s">
        <v>836</v>
      </c>
    </row>
    <row r="3076" spans="1:3" hidden="1" x14ac:dyDescent="0.25">
      <c r="A3076" s="52" t="s">
        <v>4020</v>
      </c>
      <c r="B3076" s="52" t="s">
        <v>7247</v>
      </c>
      <c r="C3076" s="52" t="s">
        <v>836</v>
      </c>
    </row>
    <row r="3077" spans="1:3" hidden="1" x14ac:dyDescent="0.25">
      <c r="A3077" s="52" t="s">
        <v>4021</v>
      </c>
      <c r="B3077" s="52" t="s">
        <v>7248</v>
      </c>
      <c r="C3077" s="52" t="s">
        <v>836</v>
      </c>
    </row>
    <row r="3078" spans="1:3" hidden="1" x14ac:dyDescent="0.25">
      <c r="A3078" s="52" t="s">
        <v>4022</v>
      </c>
      <c r="B3078" s="52" t="s">
        <v>7249</v>
      </c>
      <c r="C3078" s="52" t="s">
        <v>836</v>
      </c>
    </row>
    <row r="3079" spans="1:3" hidden="1" x14ac:dyDescent="0.25">
      <c r="A3079" s="52" t="s">
        <v>4023</v>
      </c>
      <c r="B3079" s="52" t="s">
        <v>7250</v>
      </c>
      <c r="C3079" s="52" t="s">
        <v>836</v>
      </c>
    </row>
    <row r="3080" spans="1:3" hidden="1" x14ac:dyDescent="0.25">
      <c r="A3080" s="52" t="s">
        <v>4024</v>
      </c>
      <c r="B3080" s="52" t="s">
        <v>7251</v>
      </c>
      <c r="C3080" s="52" t="s">
        <v>836</v>
      </c>
    </row>
    <row r="3081" spans="1:3" hidden="1" x14ac:dyDescent="0.25">
      <c r="A3081" s="52" t="s">
        <v>4025</v>
      </c>
      <c r="B3081" s="52" t="s">
        <v>7252</v>
      </c>
      <c r="C3081" s="52" t="s">
        <v>836</v>
      </c>
    </row>
    <row r="3082" spans="1:3" hidden="1" x14ac:dyDescent="0.25">
      <c r="A3082" s="52" t="s">
        <v>4026</v>
      </c>
      <c r="B3082" s="52" t="s">
        <v>7253</v>
      </c>
      <c r="C3082" s="52" t="s">
        <v>836</v>
      </c>
    </row>
    <row r="3083" spans="1:3" hidden="1" x14ac:dyDescent="0.25">
      <c r="A3083" s="52" t="s">
        <v>4027</v>
      </c>
      <c r="B3083" s="52" t="s">
        <v>7254</v>
      </c>
      <c r="C3083" s="52" t="s">
        <v>836</v>
      </c>
    </row>
    <row r="3084" spans="1:3" hidden="1" x14ac:dyDescent="0.25">
      <c r="A3084" s="52" t="s">
        <v>4028</v>
      </c>
      <c r="B3084" s="52" t="s">
        <v>7255</v>
      </c>
      <c r="C3084" s="52" t="s">
        <v>836</v>
      </c>
    </row>
    <row r="3085" spans="1:3" hidden="1" x14ac:dyDescent="0.25">
      <c r="A3085" s="52" t="s">
        <v>4029</v>
      </c>
      <c r="B3085" s="52" t="s">
        <v>6663</v>
      </c>
      <c r="C3085" s="52" t="s">
        <v>836</v>
      </c>
    </row>
    <row r="3086" spans="1:3" hidden="1" x14ac:dyDescent="0.25">
      <c r="A3086" s="52" t="s">
        <v>4030</v>
      </c>
      <c r="B3086" s="52" t="s">
        <v>7256</v>
      </c>
      <c r="C3086" s="52" t="s">
        <v>836</v>
      </c>
    </row>
    <row r="3087" spans="1:3" hidden="1" x14ac:dyDescent="0.25">
      <c r="A3087" s="52" t="s">
        <v>4031</v>
      </c>
      <c r="B3087" s="52" t="s">
        <v>7257</v>
      </c>
      <c r="C3087" s="52" t="s">
        <v>836</v>
      </c>
    </row>
    <row r="3088" spans="1:3" hidden="1" x14ac:dyDescent="0.25">
      <c r="A3088" s="52" t="s">
        <v>4032</v>
      </c>
      <c r="B3088" s="52" t="s">
        <v>7258</v>
      </c>
      <c r="C3088" s="52" t="s">
        <v>836</v>
      </c>
    </row>
    <row r="3089" spans="1:3" hidden="1" x14ac:dyDescent="0.25">
      <c r="A3089" s="52" t="s">
        <v>4033</v>
      </c>
      <c r="B3089" s="52" t="s">
        <v>7259</v>
      </c>
      <c r="C3089" s="52" t="s">
        <v>836</v>
      </c>
    </row>
    <row r="3090" spans="1:3" hidden="1" x14ac:dyDescent="0.25">
      <c r="A3090" s="52" t="s">
        <v>4034</v>
      </c>
      <c r="B3090" s="52" t="s">
        <v>7260</v>
      </c>
      <c r="C3090" s="52" t="s">
        <v>836</v>
      </c>
    </row>
    <row r="3091" spans="1:3" hidden="1" x14ac:dyDescent="0.25">
      <c r="A3091" s="52" t="s">
        <v>4035</v>
      </c>
      <c r="B3091" s="52" t="s">
        <v>7261</v>
      </c>
      <c r="C3091" s="52" t="s">
        <v>836</v>
      </c>
    </row>
    <row r="3092" spans="1:3" hidden="1" x14ac:dyDescent="0.25">
      <c r="A3092" s="52" t="s">
        <v>4036</v>
      </c>
      <c r="B3092" s="52" t="s">
        <v>7262</v>
      </c>
      <c r="C3092" s="52" t="s">
        <v>836</v>
      </c>
    </row>
    <row r="3093" spans="1:3" hidden="1" x14ac:dyDescent="0.25">
      <c r="A3093" s="52" t="s">
        <v>4037</v>
      </c>
      <c r="B3093" s="52" t="s">
        <v>7263</v>
      </c>
      <c r="C3093" s="52" t="s">
        <v>836</v>
      </c>
    </row>
    <row r="3094" spans="1:3" hidden="1" x14ac:dyDescent="0.25">
      <c r="A3094" s="52" t="s">
        <v>4038</v>
      </c>
      <c r="B3094" s="52" t="s">
        <v>7264</v>
      </c>
      <c r="C3094" s="52" t="s">
        <v>836</v>
      </c>
    </row>
    <row r="3095" spans="1:3" hidden="1" x14ac:dyDescent="0.25">
      <c r="A3095" s="52" t="s">
        <v>4039</v>
      </c>
      <c r="B3095" s="52" t="s">
        <v>6669</v>
      </c>
      <c r="C3095" s="52" t="s">
        <v>836</v>
      </c>
    </row>
    <row r="3096" spans="1:3" hidden="1" x14ac:dyDescent="0.25">
      <c r="A3096" s="52" t="s">
        <v>4040</v>
      </c>
      <c r="B3096" s="52" t="s">
        <v>7265</v>
      </c>
      <c r="C3096" s="52" t="s">
        <v>836</v>
      </c>
    </row>
    <row r="3097" spans="1:3" hidden="1" x14ac:dyDescent="0.25">
      <c r="A3097" s="52" t="s">
        <v>4041</v>
      </c>
      <c r="B3097" s="52" t="s">
        <v>7020</v>
      </c>
      <c r="C3097" s="52" t="s">
        <v>836</v>
      </c>
    </row>
    <row r="3098" spans="1:3" hidden="1" x14ac:dyDescent="0.25">
      <c r="A3098" s="52" t="s">
        <v>4042</v>
      </c>
      <c r="B3098" s="52" t="s">
        <v>7266</v>
      </c>
      <c r="C3098" s="52" t="s">
        <v>836</v>
      </c>
    </row>
    <row r="3099" spans="1:3" hidden="1" x14ac:dyDescent="0.25">
      <c r="A3099" s="52" t="s">
        <v>4043</v>
      </c>
      <c r="B3099" s="52" t="s">
        <v>7267</v>
      </c>
      <c r="C3099" s="52" t="s">
        <v>836</v>
      </c>
    </row>
    <row r="3100" spans="1:3" hidden="1" x14ac:dyDescent="0.25">
      <c r="A3100" s="52" t="s">
        <v>4044</v>
      </c>
      <c r="B3100" s="52" t="s">
        <v>6932</v>
      </c>
      <c r="C3100" s="52" t="s">
        <v>836</v>
      </c>
    </row>
    <row r="3101" spans="1:3" hidden="1" x14ac:dyDescent="0.25">
      <c r="A3101" s="52" t="s">
        <v>4045</v>
      </c>
      <c r="B3101" s="52" t="s">
        <v>7268</v>
      </c>
      <c r="C3101" s="52" t="s">
        <v>836</v>
      </c>
    </row>
    <row r="3102" spans="1:3" hidden="1" x14ac:dyDescent="0.25">
      <c r="A3102" s="52" t="s">
        <v>4046</v>
      </c>
      <c r="B3102" s="52" t="s">
        <v>7269</v>
      </c>
      <c r="C3102" s="52" t="s">
        <v>836</v>
      </c>
    </row>
    <row r="3103" spans="1:3" hidden="1" x14ac:dyDescent="0.25">
      <c r="A3103" s="52" t="s">
        <v>4047</v>
      </c>
      <c r="B3103" s="52" t="s">
        <v>6312</v>
      </c>
      <c r="C3103" s="52" t="s">
        <v>836</v>
      </c>
    </row>
    <row r="3104" spans="1:3" hidden="1" x14ac:dyDescent="0.25">
      <c r="A3104" s="52" t="s">
        <v>4048</v>
      </c>
      <c r="B3104" s="52" t="s">
        <v>7270</v>
      </c>
      <c r="C3104" s="52" t="s">
        <v>836</v>
      </c>
    </row>
    <row r="3105" spans="1:3" hidden="1" x14ac:dyDescent="0.25">
      <c r="A3105" s="52" t="s">
        <v>4049</v>
      </c>
      <c r="B3105" s="52" t="s">
        <v>7271</v>
      </c>
      <c r="C3105" s="52" t="s">
        <v>836</v>
      </c>
    </row>
    <row r="3106" spans="1:3" hidden="1" x14ac:dyDescent="0.25">
      <c r="A3106" s="52" t="s">
        <v>4050</v>
      </c>
      <c r="B3106" s="52" t="s">
        <v>7178</v>
      </c>
      <c r="C3106" s="52" t="s">
        <v>836</v>
      </c>
    </row>
    <row r="3107" spans="1:3" hidden="1" x14ac:dyDescent="0.25">
      <c r="A3107" s="52" t="s">
        <v>4051</v>
      </c>
      <c r="B3107" s="52" t="s">
        <v>7272</v>
      </c>
      <c r="C3107" s="52" t="s">
        <v>836</v>
      </c>
    </row>
    <row r="3108" spans="1:3" hidden="1" x14ac:dyDescent="0.25">
      <c r="A3108" s="52" t="s">
        <v>4052</v>
      </c>
      <c r="B3108" s="52" t="s">
        <v>7273</v>
      </c>
      <c r="C3108" s="52" t="s">
        <v>836</v>
      </c>
    </row>
    <row r="3109" spans="1:3" hidden="1" x14ac:dyDescent="0.25">
      <c r="A3109" s="52" t="s">
        <v>4053</v>
      </c>
      <c r="B3109" s="52" t="s">
        <v>7274</v>
      </c>
      <c r="C3109" s="52" t="s">
        <v>836</v>
      </c>
    </row>
    <row r="3110" spans="1:3" hidden="1" x14ac:dyDescent="0.25">
      <c r="A3110" s="52" t="s">
        <v>4054</v>
      </c>
      <c r="B3110" s="52" t="s">
        <v>7275</v>
      </c>
      <c r="C3110" s="52" t="s">
        <v>836</v>
      </c>
    </row>
    <row r="3111" spans="1:3" hidden="1" x14ac:dyDescent="0.25">
      <c r="A3111" s="52" t="s">
        <v>4055</v>
      </c>
      <c r="B3111" s="52" t="s">
        <v>7276</v>
      </c>
      <c r="C3111" s="52" t="s">
        <v>836</v>
      </c>
    </row>
    <row r="3112" spans="1:3" hidden="1" x14ac:dyDescent="0.25">
      <c r="A3112" s="52" t="s">
        <v>4056</v>
      </c>
      <c r="B3112" s="52" t="s">
        <v>7277</v>
      </c>
      <c r="C3112" s="52" t="s">
        <v>836</v>
      </c>
    </row>
    <row r="3113" spans="1:3" hidden="1" x14ac:dyDescent="0.25">
      <c r="A3113" s="52" t="s">
        <v>4057</v>
      </c>
      <c r="B3113" s="52" t="s">
        <v>7278</v>
      </c>
      <c r="C3113" s="52" t="s">
        <v>836</v>
      </c>
    </row>
    <row r="3114" spans="1:3" hidden="1" x14ac:dyDescent="0.25">
      <c r="A3114" s="52" t="s">
        <v>4058</v>
      </c>
      <c r="B3114" s="52" t="s">
        <v>7279</v>
      </c>
      <c r="C3114" s="52" t="s">
        <v>836</v>
      </c>
    </row>
    <row r="3115" spans="1:3" hidden="1" x14ac:dyDescent="0.25">
      <c r="A3115" s="52" t="s">
        <v>4059</v>
      </c>
      <c r="B3115" s="52" t="s">
        <v>7280</v>
      </c>
      <c r="C3115" s="52" t="s">
        <v>836</v>
      </c>
    </row>
    <row r="3116" spans="1:3" hidden="1" x14ac:dyDescent="0.25">
      <c r="A3116" s="52" t="s">
        <v>4060</v>
      </c>
      <c r="B3116" s="52" t="s">
        <v>6222</v>
      </c>
      <c r="C3116" s="52" t="s">
        <v>836</v>
      </c>
    </row>
    <row r="3117" spans="1:3" hidden="1" x14ac:dyDescent="0.25">
      <c r="A3117" s="52" t="s">
        <v>4061</v>
      </c>
      <c r="B3117" s="52" t="s">
        <v>6519</v>
      </c>
      <c r="C3117" s="52" t="s">
        <v>836</v>
      </c>
    </row>
    <row r="3118" spans="1:3" hidden="1" x14ac:dyDescent="0.25">
      <c r="A3118" s="52" t="s">
        <v>4062</v>
      </c>
      <c r="B3118" s="52" t="s">
        <v>7281</v>
      </c>
      <c r="C3118" s="52" t="s">
        <v>836</v>
      </c>
    </row>
    <row r="3119" spans="1:3" hidden="1" x14ac:dyDescent="0.25">
      <c r="A3119" s="52" t="s">
        <v>4063</v>
      </c>
      <c r="B3119" s="52" t="s">
        <v>7282</v>
      </c>
      <c r="C3119" s="52" t="s">
        <v>836</v>
      </c>
    </row>
    <row r="3120" spans="1:3" hidden="1" x14ac:dyDescent="0.25">
      <c r="A3120" s="52" t="s">
        <v>4064</v>
      </c>
      <c r="B3120" s="52" t="s">
        <v>7283</v>
      </c>
      <c r="C3120" s="52" t="s">
        <v>836</v>
      </c>
    </row>
    <row r="3121" spans="1:3" hidden="1" x14ac:dyDescent="0.25">
      <c r="A3121" s="52" t="s">
        <v>4065</v>
      </c>
      <c r="B3121" s="52" t="s">
        <v>7284</v>
      </c>
      <c r="C3121" s="52" t="s">
        <v>836</v>
      </c>
    </row>
    <row r="3122" spans="1:3" hidden="1" x14ac:dyDescent="0.25">
      <c r="A3122" s="52" t="s">
        <v>4066</v>
      </c>
      <c r="B3122" s="52" t="s">
        <v>7285</v>
      </c>
      <c r="C3122" s="52" t="s">
        <v>836</v>
      </c>
    </row>
    <row r="3123" spans="1:3" hidden="1" x14ac:dyDescent="0.25">
      <c r="A3123" s="52" t="s">
        <v>4067</v>
      </c>
      <c r="B3123" s="52" t="s">
        <v>7286</v>
      </c>
      <c r="C3123" s="52" t="s">
        <v>836</v>
      </c>
    </row>
    <row r="3124" spans="1:3" hidden="1" x14ac:dyDescent="0.25">
      <c r="A3124" s="52" t="s">
        <v>4068</v>
      </c>
      <c r="B3124" s="52" t="s">
        <v>7287</v>
      </c>
      <c r="C3124" s="52" t="s">
        <v>836</v>
      </c>
    </row>
    <row r="3125" spans="1:3" hidden="1" x14ac:dyDescent="0.25">
      <c r="A3125" s="52" t="s">
        <v>4069</v>
      </c>
      <c r="B3125" s="52" t="s">
        <v>7288</v>
      </c>
      <c r="C3125" s="52" t="s">
        <v>836</v>
      </c>
    </row>
    <row r="3126" spans="1:3" hidden="1" x14ac:dyDescent="0.25">
      <c r="A3126" s="52" t="s">
        <v>4070</v>
      </c>
      <c r="B3126" s="52" t="s">
        <v>7289</v>
      </c>
      <c r="C3126" s="52" t="s">
        <v>836</v>
      </c>
    </row>
    <row r="3127" spans="1:3" hidden="1" x14ac:dyDescent="0.25">
      <c r="A3127" s="52" t="s">
        <v>4071</v>
      </c>
      <c r="B3127" s="52" t="s">
        <v>4716</v>
      </c>
      <c r="C3127" s="52" t="s">
        <v>836</v>
      </c>
    </row>
    <row r="3128" spans="1:3" hidden="1" x14ac:dyDescent="0.25">
      <c r="A3128" s="52" t="s">
        <v>4072</v>
      </c>
      <c r="B3128" s="52" t="s">
        <v>7290</v>
      </c>
      <c r="C3128" s="52" t="s">
        <v>836</v>
      </c>
    </row>
    <row r="3129" spans="1:3" hidden="1" x14ac:dyDescent="0.25">
      <c r="A3129" s="52" t="s">
        <v>4073</v>
      </c>
      <c r="B3129" s="52" t="s">
        <v>6954</v>
      </c>
      <c r="C3129" s="52" t="s">
        <v>836</v>
      </c>
    </row>
    <row r="3130" spans="1:3" hidden="1" x14ac:dyDescent="0.25">
      <c r="A3130" s="52" t="s">
        <v>4074</v>
      </c>
      <c r="B3130" s="52" t="s">
        <v>7291</v>
      </c>
      <c r="C3130" s="52" t="s">
        <v>836</v>
      </c>
    </row>
    <row r="3131" spans="1:3" hidden="1" x14ac:dyDescent="0.25">
      <c r="A3131" s="52" t="s">
        <v>4075</v>
      </c>
      <c r="B3131" s="52" t="s">
        <v>7292</v>
      </c>
      <c r="C3131" s="52" t="s">
        <v>836</v>
      </c>
    </row>
    <row r="3132" spans="1:3" hidden="1" x14ac:dyDescent="0.25">
      <c r="A3132" s="52" t="s">
        <v>4076</v>
      </c>
      <c r="B3132" s="52" t="s">
        <v>5976</v>
      </c>
      <c r="C3132" s="52" t="s">
        <v>836</v>
      </c>
    </row>
    <row r="3133" spans="1:3" hidden="1" x14ac:dyDescent="0.25">
      <c r="A3133" s="52" t="s">
        <v>4077</v>
      </c>
      <c r="B3133" s="52" t="s">
        <v>7293</v>
      </c>
      <c r="C3133" s="52" t="s">
        <v>836</v>
      </c>
    </row>
    <row r="3134" spans="1:3" hidden="1" x14ac:dyDescent="0.25">
      <c r="A3134" s="52" t="s">
        <v>4078</v>
      </c>
      <c r="B3134" s="52" t="s">
        <v>7294</v>
      </c>
      <c r="C3134" s="52" t="s">
        <v>836</v>
      </c>
    </row>
    <row r="3135" spans="1:3" hidden="1" x14ac:dyDescent="0.25">
      <c r="A3135" s="52" t="s">
        <v>4079</v>
      </c>
      <c r="B3135" s="52" t="s">
        <v>7295</v>
      </c>
      <c r="C3135" s="52" t="s">
        <v>836</v>
      </c>
    </row>
    <row r="3136" spans="1:3" hidden="1" x14ac:dyDescent="0.25">
      <c r="A3136" s="52" t="s">
        <v>4080</v>
      </c>
      <c r="B3136" s="52" t="s">
        <v>7296</v>
      </c>
      <c r="C3136" s="52" t="s">
        <v>836</v>
      </c>
    </row>
    <row r="3137" spans="1:3" hidden="1" x14ac:dyDescent="0.25">
      <c r="A3137" s="52" t="s">
        <v>4081</v>
      </c>
      <c r="B3137" s="52" t="s">
        <v>7297</v>
      </c>
      <c r="C3137" s="52" t="s">
        <v>836</v>
      </c>
    </row>
    <row r="3138" spans="1:3" hidden="1" x14ac:dyDescent="0.25">
      <c r="A3138" s="52" t="s">
        <v>4082</v>
      </c>
      <c r="B3138" s="52" t="s">
        <v>7298</v>
      </c>
      <c r="C3138" s="52" t="s">
        <v>836</v>
      </c>
    </row>
    <row r="3139" spans="1:3" hidden="1" x14ac:dyDescent="0.25">
      <c r="A3139" s="52" t="s">
        <v>4083</v>
      </c>
      <c r="B3139" s="52" t="s">
        <v>7299</v>
      </c>
      <c r="C3139" s="52" t="s">
        <v>836</v>
      </c>
    </row>
    <row r="3140" spans="1:3" hidden="1" x14ac:dyDescent="0.25">
      <c r="A3140" s="52" t="s">
        <v>4084</v>
      </c>
      <c r="B3140" s="52" t="s">
        <v>7300</v>
      </c>
      <c r="C3140" s="52" t="s">
        <v>836</v>
      </c>
    </row>
    <row r="3141" spans="1:3" hidden="1" x14ac:dyDescent="0.25">
      <c r="A3141" s="52" t="s">
        <v>4085</v>
      </c>
      <c r="B3141" s="52" t="s">
        <v>7127</v>
      </c>
      <c r="C3141" s="52" t="s">
        <v>836</v>
      </c>
    </row>
    <row r="3142" spans="1:3" hidden="1" x14ac:dyDescent="0.25">
      <c r="A3142" s="52" t="s">
        <v>4086</v>
      </c>
      <c r="B3142" s="52" t="s">
        <v>6963</v>
      </c>
      <c r="C3142" s="52" t="s">
        <v>836</v>
      </c>
    </row>
    <row r="3143" spans="1:3" hidden="1" x14ac:dyDescent="0.25">
      <c r="A3143" s="52" t="s">
        <v>4087</v>
      </c>
      <c r="B3143" s="52" t="s">
        <v>7301</v>
      </c>
      <c r="C3143" s="52" t="s">
        <v>836</v>
      </c>
    </row>
    <row r="3144" spans="1:3" hidden="1" x14ac:dyDescent="0.25">
      <c r="A3144" s="52" t="s">
        <v>4088</v>
      </c>
      <c r="B3144" s="52" t="s">
        <v>7302</v>
      </c>
      <c r="C3144" s="52" t="s">
        <v>836</v>
      </c>
    </row>
    <row r="3145" spans="1:3" hidden="1" x14ac:dyDescent="0.25">
      <c r="A3145" s="52" t="s">
        <v>4089</v>
      </c>
      <c r="B3145" s="52" t="s">
        <v>7303</v>
      </c>
      <c r="C3145" s="52" t="s">
        <v>836</v>
      </c>
    </row>
    <row r="3146" spans="1:3" hidden="1" x14ac:dyDescent="0.25">
      <c r="A3146" s="52" t="s">
        <v>4090</v>
      </c>
      <c r="B3146" s="52" t="s">
        <v>7304</v>
      </c>
      <c r="C3146" s="52" t="s">
        <v>836</v>
      </c>
    </row>
    <row r="3147" spans="1:3" hidden="1" x14ac:dyDescent="0.25">
      <c r="A3147" s="52" t="s">
        <v>4091</v>
      </c>
      <c r="B3147" s="52" t="s">
        <v>7305</v>
      </c>
      <c r="C3147" s="52" t="s">
        <v>836</v>
      </c>
    </row>
    <row r="3148" spans="1:3" hidden="1" x14ac:dyDescent="0.25">
      <c r="A3148" s="52" t="s">
        <v>4092</v>
      </c>
      <c r="B3148" s="52" t="s">
        <v>7306</v>
      </c>
      <c r="C3148" s="52" t="s">
        <v>836</v>
      </c>
    </row>
    <row r="3149" spans="1:3" hidden="1" x14ac:dyDescent="0.25">
      <c r="A3149" s="52" t="s">
        <v>4093</v>
      </c>
      <c r="B3149" s="52" t="s">
        <v>7307</v>
      </c>
      <c r="C3149" s="52" t="s">
        <v>836</v>
      </c>
    </row>
    <row r="3150" spans="1:3" hidden="1" x14ac:dyDescent="0.25">
      <c r="A3150" s="52" t="s">
        <v>4094</v>
      </c>
      <c r="B3150" s="52" t="s">
        <v>7308</v>
      </c>
      <c r="C3150" s="52" t="s">
        <v>836</v>
      </c>
    </row>
    <row r="3151" spans="1:3" hidden="1" x14ac:dyDescent="0.25">
      <c r="A3151" s="52" t="s">
        <v>4095</v>
      </c>
      <c r="B3151" s="52" t="s">
        <v>7309</v>
      </c>
      <c r="C3151" s="52" t="s">
        <v>836</v>
      </c>
    </row>
    <row r="3152" spans="1:3" hidden="1" x14ac:dyDescent="0.25">
      <c r="A3152" s="52" t="s">
        <v>4096</v>
      </c>
      <c r="B3152" s="52" t="s">
        <v>7310</v>
      </c>
      <c r="C3152" s="52" t="s">
        <v>836</v>
      </c>
    </row>
    <row r="3153" spans="1:3" hidden="1" x14ac:dyDescent="0.25">
      <c r="A3153" s="52" t="s">
        <v>4097</v>
      </c>
      <c r="B3153" s="52" t="s">
        <v>5862</v>
      </c>
      <c r="C3153" s="52" t="s">
        <v>836</v>
      </c>
    </row>
    <row r="3154" spans="1:3" hidden="1" x14ac:dyDescent="0.25">
      <c r="A3154" s="52" t="s">
        <v>4098</v>
      </c>
      <c r="B3154" s="52" t="s">
        <v>7311</v>
      </c>
      <c r="C3154" s="52" t="s">
        <v>836</v>
      </c>
    </row>
    <row r="3155" spans="1:3" hidden="1" x14ac:dyDescent="0.25">
      <c r="A3155" s="52" t="s">
        <v>4099</v>
      </c>
      <c r="B3155" s="52" t="s">
        <v>5623</v>
      </c>
      <c r="C3155" s="52" t="s">
        <v>836</v>
      </c>
    </row>
    <row r="3156" spans="1:3" hidden="1" x14ac:dyDescent="0.25">
      <c r="A3156" s="52" t="s">
        <v>4100</v>
      </c>
      <c r="B3156" s="52" t="s">
        <v>7312</v>
      </c>
      <c r="C3156" s="52" t="s">
        <v>836</v>
      </c>
    </row>
    <row r="3157" spans="1:3" hidden="1" x14ac:dyDescent="0.25">
      <c r="A3157" s="52" t="s">
        <v>4101</v>
      </c>
      <c r="B3157" s="52" t="s">
        <v>6410</v>
      </c>
      <c r="C3157" s="52" t="s">
        <v>838</v>
      </c>
    </row>
    <row r="3158" spans="1:3" hidden="1" x14ac:dyDescent="0.25">
      <c r="A3158" s="52" t="s">
        <v>4102</v>
      </c>
      <c r="B3158" s="52" t="s">
        <v>7313</v>
      </c>
      <c r="C3158" s="52" t="s">
        <v>838</v>
      </c>
    </row>
    <row r="3159" spans="1:3" hidden="1" x14ac:dyDescent="0.25">
      <c r="A3159" s="52" t="s">
        <v>4103</v>
      </c>
      <c r="B3159" s="52" t="s">
        <v>7314</v>
      </c>
      <c r="C3159" s="52" t="s">
        <v>838</v>
      </c>
    </row>
    <row r="3160" spans="1:3" hidden="1" x14ac:dyDescent="0.25">
      <c r="A3160" s="52" t="s">
        <v>4104</v>
      </c>
      <c r="B3160" s="52" t="s">
        <v>7315</v>
      </c>
      <c r="C3160" s="52" t="s">
        <v>838</v>
      </c>
    </row>
    <row r="3161" spans="1:3" hidden="1" x14ac:dyDescent="0.25">
      <c r="A3161" s="52" t="s">
        <v>4105</v>
      </c>
      <c r="B3161" s="52" t="s">
        <v>7316</v>
      </c>
      <c r="C3161" s="52" t="s">
        <v>838</v>
      </c>
    </row>
    <row r="3162" spans="1:3" hidden="1" x14ac:dyDescent="0.25">
      <c r="A3162" s="52" t="s">
        <v>4106</v>
      </c>
      <c r="B3162" s="52" t="s">
        <v>7317</v>
      </c>
      <c r="C3162" s="52" t="s">
        <v>838</v>
      </c>
    </row>
    <row r="3163" spans="1:3" hidden="1" x14ac:dyDescent="0.25">
      <c r="A3163" s="52" t="s">
        <v>4107</v>
      </c>
      <c r="B3163" s="52" t="s">
        <v>7318</v>
      </c>
      <c r="C3163" s="52" t="s">
        <v>838</v>
      </c>
    </row>
    <row r="3164" spans="1:3" hidden="1" x14ac:dyDescent="0.25">
      <c r="A3164" s="52" t="s">
        <v>4108</v>
      </c>
      <c r="B3164" s="52" t="s">
        <v>6585</v>
      </c>
      <c r="C3164" s="52" t="s">
        <v>838</v>
      </c>
    </row>
    <row r="3165" spans="1:3" hidden="1" x14ac:dyDescent="0.25">
      <c r="A3165" s="52" t="s">
        <v>4109</v>
      </c>
      <c r="B3165" s="52" t="s">
        <v>7319</v>
      </c>
      <c r="C3165" s="52" t="s">
        <v>838</v>
      </c>
    </row>
    <row r="3166" spans="1:3" hidden="1" x14ac:dyDescent="0.25">
      <c r="A3166" s="52" t="s">
        <v>4110</v>
      </c>
      <c r="B3166" s="52" t="s">
        <v>7320</v>
      </c>
      <c r="C3166" s="52" t="s">
        <v>838</v>
      </c>
    </row>
    <row r="3167" spans="1:3" hidden="1" x14ac:dyDescent="0.25">
      <c r="A3167" s="52" t="s">
        <v>4111</v>
      </c>
      <c r="B3167" s="52" t="s">
        <v>7321</v>
      </c>
      <c r="C3167" s="52" t="s">
        <v>838</v>
      </c>
    </row>
    <row r="3168" spans="1:3" hidden="1" x14ac:dyDescent="0.25">
      <c r="A3168" s="52" t="s">
        <v>4112</v>
      </c>
      <c r="B3168" s="52" t="s">
        <v>7322</v>
      </c>
      <c r="C3168" s="52" t="s">
        <v>838</v>
      </c>
    </row>
    <row r="3169" spans="1:3" hidden="1" x14ac:dyDescent="0.25">
      <c r="A3169" s="52" t="s">
        <v>4113</v>
      </c>
      <c r="B3169" s="52" t="s">
        <v>7323</v>
      </c>
      <c r="C3169" s="52" t="s">
        <v>838</v>
      </c>
    </row>
    <row r="3170" spans="1:3" hidden="1" x14ac:dyDescent="0.25">
      <c r="A3170" s="52" t="s">
        <v>4114</v>
      </c>
      <c r="B3170" s="52" t="s">
        <v>7324</v>
      </c>
      <c r="C3170" s="52" t="s">
        <v>838</v>
      </c>
    </row>
    <row r="3171" spans="1:3" hidden="1" x14ac:dyDescent="0.25">
      <c r="A3171" s="52" t="s">
        <v>4115</v>
      </c>
      <c r="B3171" s="52" t="s">
        <v>7325</v>
      </c>
      <c r="C3171" s="52" t="s">
        <v>838</v>
      </c>
    </row>
    <row r="3172" spans="1:3" hidden="1" x14ac:dyDescent="0.25">
      <c r="A3172" s="52" t="s">
        <v>4116</v>
      </c>
      <c r="B3172" s="52" t="s">
        <v>7326</v>
      </c>
      <c r="C3172" s="52" t="s">
        <v>838</v>
      </c>
    </row>
    <row r="3173" spans="1:3" hidden="1" x14ac:dyDescent="0.25">
      <c r="A3173" s="52" t="s">
        <v>4117</v>
      </c>
      <c r="B3173" s="52" t="s">
        <v>7327</v>
      </c>
      <c r="C3173" s="52" t="s">
        <v>838</v>
      </c>
    </row>
    <row r="3174" spans="1:3" hidden="1" x14ac:dyDescent="0.25">
      <c r="A3174" s="52" t="s">
        <v>4118</v>
      </c>
      <c r="B3174" s="52" t="s">
        <v>6595</v>
      </c>
      <c r="C3174" s="52" t="s">
        <v>838</v>
      </c>
    </row>
    <row r="3175" spans="1:3" hidden="1" x14ac:dyDescent="0.25">
      <c r="A3175" s="52" t="s">
        <v>4119</v>
      </c>
      <c r="B3175" s="52" t="s">
        <v>7328</v>
      </c>
      <c r="C3175" s="52" t="s">
        <v>838</v>
      </c>
    </row>
    <row r="3176" spans="1:3" hidden="1" x14ac:dyDescent="0.25">
      <c r="A3176" s="52" t="s">
        <v>4120</v>
      </c>
      <c r="B3176" s="52" t="s">
        <v>7329</v>
      </c>
      <c r="C3176" s="52" t="s">
        <v>838</v>
      </c>
    </row>
    <row r="3177" spans="1:3" hidden="1" x14ac:dyDescent="0.25">
      <c r="A3177" s="52" t="s">
        <v>4121</v>
      </c>
      <c r="B3177" s="52" t="s">
        <v>5464</v>
      </c>
      <c r="C3177" s="52" t="s">
        <v>838</v>
      </c>
    </row>
    <row r="3178" spans="1:3" hidden="1" x14ac:dyDescent="0.25">
      <c r="A3178" s="52" t="s">
        <v>4122</v>
      </c>
      <c r="B3178" s="52" t="s">
        <v>7330</v>
      </c>
      <c r="C3178" s="52" t="s">
        <v>838</v>
      </c>
    </row>
    <row r="3179" spans="1:3" hidden="1" x14ac:dyDescent="0.25">
      <c r="A3179" s="52" t="s">
        <v>4123</v>
      </c>
      <c r="B3179" s="52" t="s">
        <v>7331</v>
      </c>
      <c r="C3179" s="52" t="s">
        <v>838</v>
      </c>
    </row>
    <row r="3180" spans="1:3" hidden="1" x14ac:dyDescent="0.25">
      <c r="A3180" s="52" t="s">
        <v>4124</v>
      </c>
      <c r="B3180" s="52" t="s">
        <v>7332</v>
      </c>
      <c r="C3180" s="52" t="s">
        <v>838</v>
      </c>
    </row>
    <row r="3181" spans="1:3" hidden="1" x14ac:dyDescent="0.25">
      <c r="A3181" s="52" t="s">
        <v>4125</v>
      </c>
      <c r="B3181" s="52" t="s">
        <v>7333</v>
      </c>
      <c r="C3181" s="52" t="s">
        <v>838</v>
      </c>
    </row>
    <row r="3182" spans="1:3" hidden="1" x14ac:dyDescent="0.25">
      <c r="A3182" s="52" t="s">
        <v>4126</v>
      </c>
      <c r="B3182" s="52" t="s">
        <v>7334</v>
      </c>
      <c r="C3182" s="52" t="s">
        <v>838</v>
      </c>
    </row>
    <row r="3183" spans="1:3" hidden="1" x14ac:dyDescent="0.25">
      <c r="A3183" s="52" t="s">
        <v>4127</v>
      </c>
      <c r="B3183" s="52" t="s">
        <v>7335</v>
      </c>
      <c r="C3183" s="52" t="s">
        <v>838</v>
      </c>
    </row>
    <row r="3184" spans="1:3" hidden="1" x14ac:dyDescent="0.25">
      <c r="A3184" s="52" t="s">
        <v>4128</v>
      </c>
      <c r="B3184" s="52" t="s">
        <v>7336</v>
      </c>
      <c r="C3184" s="52" t="s">
        <v>838</v>
      </c>
    </row>
    <row r="3185" spans="1:3" hidden="1" x14ac:dyDescent="0.25">
      <c r="A3185" s="52" t="s">
        <v>4129</v>
      </c>
      <c r="B3185" s="52" t="s">
        <v>7337</v>
      </c>
      <c r="C3185" s="52" t="s">
        <v>838</v>
      </c>
    </row>
    <row r="3186" spans="1:3" hidden="1" x14ac:dyDescent="0.25">
      <c r="A3186" s="52" t="s">
        <v>4130</v>
      </c>
      <c r="B3186" s="52" t="s">
        <v>7338</v>
      </c>
      <c r="C3186" s="52" t="s">
        <v>838</v>
      </c>
    </row>
    <row r="3187" spans="1:3" hidden="1" x14ac:dyDescent="0.25">
      <c r="A3187" s="52" t="s">
        <v>4131</v>
      </c>
      <c r="B3187" s="52" t="s">
        <v>7339</v>
      </c>
      <c r="C3187" s="52" t="s">
        <v>838</v>
      </c>
    </row>
    <row r="3188" spans="1:3" hidden="1" x14ac:dyDescent="0.25">
      <c r="A3188" s="52" t="s">
        <v>4132</v>
      </c>
      <c r="B3188" s="52" t="s">
        <v>7340</v>
      </c>
      <c r="C3188" s="52" t="s">
        <v>838</v>
      </c>
    </row>
    <row r="3189" spans="1:3" hidden="1" x14ac:dyDescent="0.25">
      <c r="A3189" s="52" t="s">
        <v>4133</v>
      </c>
      <c r="B3189" s="52" t="s">
        <v>1249</v>
      </c>
      <c r="C3189" s="52" t="s">
        <v>838</v>
      </c>
    </row>
    <row r="3190" spans="1:3" hidden="1" x14ac:dyDescent="0.25">
      <c r="A3190" s="52" t="s">
        <v>4134</v>
      </c>
      <c r="B3190" s="52" t="s">
        <v>7341</v>
      </c>
      <c r="C3190" s="52" t="s">
        <v>838</v>
      </c>
    </row>
    <row r="3191" spans="1:3" hidden="1" x14ac:dyDescent="0.25">
      <c r="A3191" s="52" t="s">
        <v>4135</v>
      </c>
      <c r="B3191" s="52" t="s">
        <v>6916</v>
      </c>
      <c r="C3191" s="52" t="s">
        <v>838</v>
      </c>
    </row>
    <row r="3192" spans="1:3" hidden="1" x14ac:dyDescent="0.25">
      <c r="A3192" s="52" t="s">
        <v>4136</v>
      </c>
      <c r="B3192" s="52" t="s">
        <v>7342</v>
      </c>
      <c r="C3192" s="52" t="s">
        <v>838</v>
      </c>
    </row>
    <row r="3193" spans="1:3" hidden="1" x14ac:dyDescent="0.25">
      <c r="A3193" s="52" t="s">
        <v>4137</v>
      </c>
      <c r="B3193" s="52" t="s">
        <v>7343</v>
      </c>
      <c r="C3193" s="52" t="s">
        <v>838</v>
      </c>
    </row>
    <row r="3194" spans="1:3" hidden="1" x14ac:dyDescent="0.25">
      <c r="A3194" s="52" t="s">
        <v>4138</v>
      </c>
      <c r="B3194" s="52" t="s">
        <v>7344</v>
      </c>
      <c r="C3194" s="52" t="s">
        <v>838</v>
      </c>
    </row>
    <row r="3195" spans="1:3" hidden="1" x14ac:dyDescent="0.25">
      <c r="A3195" s="52" t="s">
        <v>4139</v>
      </c>
      <c r="B3195" s="52" t="s">
        <v>7345</v>
      </c>
      <c r="C3195" s="52" t="s">
        <v>838</v>
      </c>
    </row>
    <row r="3196" spans="1:3" hidden="1" x14ac:dyDescent="0.25">
      <c r="A3196" s="52" t="s">
        <v>4140</v>
      </c>
      <c r="B3196" s="52" t="s">
        <v>7346</v>
      </c>
      <c r="C3196" s="52" t="s">
        <v>838</v>
      </c>
    </row>
    <row r="3197" spans="1:3" hidden="1" x14ac:dyDescent="0.25">
      <c r="A3197" s="52" t="s">
        <v>4141</v>
      </c>
      <c r="B3197" s="52" t="s">
        <v>7347</v>
      </c>
      <c r="C3197" s="52" t="s">
        <v>838</v>
      </c>
    </row>
    <row r="3198" spans="1:3" hidden="1" x14ac:dyDescent="0.25">
      <c r="A3198" s="52" t="s">
        <v>4142</v>
      </c>
      <c r="B3198" s="52" t="s">
        <v>7348</v>
      </c>
      <c r="C3198" s="52" t="s">
        <v>838</v>
      </c>
    </row>
    <row r="3199" spans="1:3" hidden="1" x14ac:dyDescent="0.25">
      <c r="A3199" s="52" t="s">
        <v>4143</v>
      </c>
      <c r="B3199" s="52" t="s">
        <v>7349</v>
      </c>
      <c r="C3199" s="52" t="s">
        <v>838</v>
      </c>
    </row>
    <row r="3200" spans="1:3" hidden="1" x14ac:dyDescent="0.25">
      <c r="A3200" s="52" t="s">
        <v>4144</v>
      </c>
      <c r="B3200" s="52" t="s">
        <v>7350</v>
      </c>
      <c r="C3200" s="52" t="s">
        <v>838</v>
      </c>
    </row>
    <row r="3201" spans="1:3" hidden="1" x14ac:dyDescent="0.25">
      <c r="A3201" s="52" t="s">
        <v>4145</v>
      </c>
      <c r="B3201" s="52" t="s">
        <v>7351</v>
      </c>
      <c r="C3201" s="52" t="s">
        <v>838</v>
      </c>
    </row>
    <row r="3202" spans="1:3" hidden="1" x14ac:dyDescent="0.25">
      <c r="A3202" s="52" t="s">
        <v>4146</v>
      </c>
      <c r="B3202" s="52" t="s">
        <v>4668</v>
      </c>
      <c r="C3202" s="52" t="s">
        <v>838</v>
      </c>
    </row>
    <row r="3203" spans="1:3" hidden="1" x14ac:dyDescent="0.25">
      <c r="A3203" s="52" t="s">
        <v>4147</v>
      </c>
      <c r="B3203" s="52" t="s">
        <v>7352</v>
      </c>
      <c r="C3203" s="52" t="s">
        <v>838</v>
      </c>
    </row>
    <row r="3204" spans="1:3" hidden="1" x14ac:dyDescent="0.25">
      <c r="A3204" s="52" t="s">
        <v>4148</v>
      </c>
      <c r="B3204" s="52" t="s">
        <v>7353</v>
      </c>
      <c r="C3204" s="52" t="s">
        <v>838</v>
      </c>
    </row>
    <row r="3205" spans="1:3" hidden="1" x14ac:dyDescent="0.25">
      <c r="A3205" s="52" t="s">
        <v>4149</v>
      </c>
      <c r="B3205" s="52" t="s">
        <v>7354</v>
      </c>
      <c r="C3205" s="52" t="s">
        <v>838</v>
      </c>
    </row>
    <row r="3206" spans="1:3" hidden="1" x14ac:dyDescent="0.25">
      <c r="A3206" s="52" t="s">
        <v>4150</v>
      </c>
      <c r="B3206" s="52" t="s">
        <v>7355</v>
      </c>
      <c r="C3206" s="52" t="s">
        <v>838</v>
      </c>
    </row>
    <row r="3207" spans="1:3" hidden="1" x14ac:dyDescent="0.25">
      <c r="A3207" s="52" t="s">
        <v>4151</v>
      </c>
      <c r="B3207" s="52" t="s">
        <v>7356</v>
      </c>
      <c r="C3207" s="52" t="s">
        <v>838</v>
      </c>
    </row>
    <row r="3208" spans="1:3" hidden="1" x14ac:dyDescent="0.25">
      <c r="A3208" s="52" t="s">
        <v>4152</v>
      </c>
      <c r="B3208" s="52" t="s">
        <v>7357</v>
      </c>
      <c r="C3208" s="52" t="s">
        <v>838</v>
      </c>
    </row>
    <row r="3209" spans="1:3" hidden="1" x14ac:dyDescent="0.25">
      <c r="A3209" s="52" t="s">
        <v>4153</v>
      </c>
      <c r="B3209" s="52" t="s">
        <v>7358</v>
      </c>
      <c r="C3209" s="52" t="s">
        <v>838</v>
      </c>
    </row>
    <row r="3210" spans="1:3" hidden="1" x14ac:dyDescent="0.25">
      <c r="A3210" s="52" t="s">
        <v>4154</v>
      </c>
      <c r="B3210" s="52" t="s">
        <v>5392</v>
      </c>
      <c r="C3210" s="52" t="s">
        <v>838</v>
      </c>
    </row>
    <row r="3211" spans="1:3" hidden="1" x14ac:dyDescent="0.25">
      <c r="A3211" s="52" t="s">
        <v>4155</v>
      </c>
      <c r="B3211" s="52" t="s">
        <v>7359</v>
      </c>
      <c r="C3211" s="52" t="s">
        <v>838</v>
      </c>
    </row>
    <row r="3212" spans="1:3" hidden="1" x14ac:dyDescent="0.25">
      <c r="A3212" s="52" t="s">
        <v>4156</v>
      </c>
      <c r="B3212" s="52" t="s">
        <v>7360</v>
      </c>
      <c r="C3212" s="52" t="s">
        <v>838</v>
      </c>
    </row>
    <row r="3213" spans="1:3" hidden="1" x14ac:dyDescent="0.25">
      <c r="A3213" s="52" t="s">
        <v>4157</v>
      </c>
      <c r="B3213" s="52" t="s">
        <v>7361</v>
      </c>
      <c r="C3213" s="52" t="s">
        <v>838</v>
      </c>
    </row>
    <row r="3214" spans="1:3" hidden="1" x14ac:dyDescent="0.25">
      <c r="A3214" s="52" t="s">
        <v>4158</v>
      </c>
      <c r="B3214" s="52" t="s">
        <v>7362</v>
      </c>
      <c r="C3214" s="52" t="s">
        <v>838</v>
      </c>
    </row>
    <row r="3215" spans="1:3" hidden="1" x14ac:dyDescent="0.25">
      <c r="A3215" s="52" t="s">
        <v>4159</v>
      </c>
      <c r="B3215" s="52" t="s">
        <v>7363</v>
      </c>
      <c r="C3215" s="52" t="s">
        <v>838</v>
      </c>
    </row>
    <row r="3216" spans="1:3" hidden="1" x14ac:dyDescent="0.25">
      <c r="A3216" s="52" t="s">
        <v>4160</v>
      </c>
      <c r="B3216" s="52" t="s">
        <v>7364</v>
      </c>
      <c r="C3216" s="52" t="s">
        <v>838</v>
      </c>
    </row>
    <row r="3217" spans="1:3" hidden="1" x14ac:dyDescent="0.25">
      <c r="A3217" s="52" t="s">
        <v>4161</v>
      </c>
      <c r="B3217" s="52" t="s">
        <v>7365</v>
      </c>
      <c r="C3217" s="52" t="s">
        <v>838</v>
      </c>
    </row>
    <row r="3218" spans="1:3" hidden="1" x14ac:dyDescent="0.25">
      <c r="A3218" s="52" t="s">
        <v>4162</v>
      </c>
      <c r="B3218" s="52" t="s">
        <v>7181</v>
      </c>
      <c r="C3218" s="52" t="s">
        <v>838</v>
      </c>
    </row>
    <row r="3219" spans="1:3" hidden="1" x14ac:dyDescent="0.25">
      <c r="A3219" s="52" t="s">
        <v>4163</v>
      </c>
      <c r="B3219" s="52" t="s">
        <v>7366</v>
      </c>
      <c r="C3219" s="52" t="s">
        <v>838</v>
      </c>
    </row>
    <row r="3220" spans="1:3" hidden="1" x14ac:dyDescent="0.25">
      <c r="A3220" s="52" t="s">
        <v>4164</v>
      </c>
      <c r="B3220" s="52" t="s">
        <v>7367</v>
      </c>
      <c r="C3220" s="52" t="s">
        <v>838</v>
      </c>
    </row>
    <row r="3221" spans="1:3" hidden="1" x14ac:dyDescent="0.25">
      <c r="A3221" s="52" t="s">
        <v>4165</v>
      </c>
      <c r="B3221" s="52" t="s">
        <v>7368</v>
      </c>
      <c r="C3221" s="52" t="s">
        <v>838</v>
      </c>
    </row>
    <row r="3222" spans="1:3" hidden="1" x14ac:dyDescent="0.25">
      <c r="A3222" s="52" t="s">
        <v>4166</v>
      </c>
      <c r="B3222" s="52" t="s">
        <v>7186</v>
      </c>
      <c r="C3222" s="52" t="s">
        <v>838</v>
      </c>
    </row>
    <row r="3223" spans="1:3" hidden="1" x14ac:dyDescent="0.25">
      <c r="A3223" s="52" t="s">
        <v>4167</v>
      </c>
      <c r="B3223" s="52" t="s">
        <v>6166</v>
      </c>
      <c r="C3223" s="52" t="s">
        <v>838</v>
      </c>
    </row>
    <row r="3224" spans="1:3" hidden="1" x14ac:dyDescent="0.25">
      <c r="A3224" s="52" t="s">
        <v>4168</v>
      </c>
      <c r="B3224" s="52" t="s">
        <v>7369</v>
      </c>
      <c r="C3224" s="52" t="s">
        <v>838</v>
      </c>
    </row>
    <row r="3225" spans="1:3" hidden="1" x14ac:dyDescent="0.25">
      <c r="A3225" s="52" t="s">
        <v>4169</v>
      </c>
      <c r="B3225" s="52" t="s">
        <v>7370</v>
      </c>
      <c r="C3225" s="52" t="s">
        <v>838</v>
      </c>
    </row>
    <row r="3226" spans="1:3" hidden="1" x14ac:dyDescent="0.25">
      <c r="A3226" s="52" t="s">
        <v>4170</v>
      </c>
      <c r="B3226" s="52" t="s">
        <v>7371</v>
      </c>
      <c r="C3226" s="52" t="s">
        <v>838</v>
      </c>
    </row>
    <row r="3227" spans="1:3" hidden="1" x14ac:dyDescent="0.25">
      <c r="A3227" s="52" t="s">
        <v>4171</v>
      </c>
      <c r="B3227" s="52" t="s">
        <v>7372</v>
      </c>
      <c r="C3227" s="52" t="s">
        <v>838</v>
      </c>
    </row>
    <row r="3228" spans="1:3" hidden="1" x14ac:dyDescent="0.25">
      <c r="A3228" s="52" t="s">
        <v>4172</v>
      </c>
      <c r="B3228" s="52" t="s">
        <v>7373</v>
      </c>
      <c r="C3228" s="52" t="s">
        <v>838</v>
      </c>
    </row>
    <row r="3229" spans="1:3" hidden="1" x14ac:dyDescent="0.25">
      <c r="A3229" s="52" t="s">
        <v>4173</v>
      </c>
      <c r="B3229" s="52" t="s">
        <v>6954</v>
      </c>
      <c r="C3229" s="52" t="s">
        <v>838</v>
      </c>
    </row>
    <row r="3230" spans="1:3" hidden="1" x14ac:dyDescent="0.25">
      <c r="A3230" s="52" t="s">
        <v>4174</v>
      </c>
      <c r="B3230" s="52" t="s">
        <v>4717</v>
      </c>
      <c r="C3230" s="52" t="s">
        <v>838</v>
      </c>
    </row>
    <row r="3231" spans="1:3" hidden="1" x14ac:dyDescent="0.25">
      <c r="A3231" s="52" t="s">
        <v>4175</v>
      </c>
      <c r="B3231" s="52" t="s">
        <v>7374</v>
      </c>
      <c r="C3231" s="52" t="s">
        <v>838</v>
      </c>
    </row>
    <row r="3232" spans="1:3" hidden="1" x14ac:dyDescent="0.25">
      <c r="A3232" s="52" t="s">
        <v>4176</v>
      </c>
      <c r="B3232" s="52" t="s">
        <v>6958</v>
      </c>
      <c r="C3232" s="52" t="s">
        <v>838</v>
      </c>
    </row>
    <row r="3233" spans="1:3" hidden="1" x14ac:dyDescent="0.25">
      <c r="A3233" s="52" t="s">
        <v>4177</v>
      </c>
      <c r="B3233" s="52" t="s">
        <v>6684</v>
      </c>
      <c r="C3233" s="52" t="s">
        <v>838</v>
      </c>
    </row>
    <row r="3234" spans="1:3" hidden="1" x14ac:dyDescent="0.25">
      <c r="A3234" s="52" t="s">
        <v>4178</v>
      </c>
      <c r="B3234" s="52" t="s">
        <v>7375</v>
      </c>
      <c r="C3234" s="52" t="s">
        <v>838</v>
      </c>
    </row>
    <row r="3235" spans="1:3" hidden="1" x14ac:dyDescent="0.25">
      <c r="A3235" s="52" t="s">
        <v>4179</v>
      </c>
      <c r="B3235" s="52" t="s">
        <v>7127</v>
      </c>
      <c r="C3235" s="52" t="s">
        <v>838</v>
      </c>
    </row>
    <row r="3236" spans="1:3" hidden="1" x14ac:dyDescent="0.25">
      <c r="A3236" s="52" t="s">
        <v>4180</v>
      </c>
      <c r="B3236" s="52" t="s">
        <v>7376</v>
      </c>
      <c r="C3236" s="52" t="s">
        <v>838</v>
      </c>
    </row>
    <row r="3237" spans="1:3" hidden="1" x14ac:dyDescent="0.25">
      <c r="A3237" s="52" t="s">
        <v>4181</v>
      </c>
      <c r="B3237" s="52" t="s">
        <v>7377</v>
      </c>
      <c r="C3237" s="52" t="s">
        <v>838</v>
      </c>
    </row>
    <row r="3238" spans="1:3" hidden="1" x14ac:dyDescent="0.25">
      <c r="A3238" s="52" t="s">
        <v>4182</v>
      </c>
      <c r="B3238" s="52" t="s">
        <v>7378</v>
      </c>
      <c r="C3238" s="52" t="s">
        <v>838</v>
      </c>
    </row>
    <row r="3239" spans="1:3" hidden="1" x14ac:dyDescent="0.25">
      <c r="A3239" s="52" t="s">
        <v>4183</v>
      </c>
      <c r="B3239" s="52" t="s">
        <v>7379</v>
      </c>
      <c r="C3239" s="52" t="s">
        <v>838</v>
      </c>
    </row>
    <row r="3240" spans="1:3" hidden="1" x14ac:dyDescent="0.25">
      <c r="A3240" s="52" t="s">
        <v>4184</v>
      </c>
      <c r="B3240" s="52" t="s">
        <v>7380</v>
      </c>
      <c r="C3240" s="52" t="s">
        <v>838</v>
      </c>
    </row>
    <row r="3241" spans="1:3" hidden="1" x14ac:dyDescent="0.25">
      <c r="A3241" s="52" t="s">
        <v>4185</v>
      </c>
      <c r="B3241" s="52" t="s">
        <v>7381</v>
      </c>
      <c r="C3241" s="52" t="s">
        <v>838</v>
      </c>
    </row>
    <row r="3242" spans="1:3" hidden="1" x14ac:dyDescent="0.25">
      <c r="A3242" s="52" t="s">
        <v>4186</v>
      </c>
      <c r="B3242" s="52" t="s">
        <v>4730</v>
      </c>
      <c r="C3242" s="52" t="s">
        <v>838</v>
      </c>
    </row>
    <row r="3243" spans="1:3" hidden="1" x14ac:dyDescent="0.25">
      <c r="A3243" s="52" t="s">
        <v>4187</v>
      </c>
      <c r="B3243" s="52" t="s">
        <v>7382</v>
      </c>
      <c r="C3243" s="52" t="s">
        <v>838</v>
      </c>
    </row>
    <row r="3244" spans="1:3" hidden="1" x14ac:dyDescent="0.25">
      <c r="A3244" s="52" t="s">
        <v>4188</v>
      </c>
      <c r="B3244" s="52" t="s">
        <v>7383</v>
      </c>
      <c r="C3244" s="52" t="s">
        <v>838</v>
      </c>
    </row>
    <row r="3245" spans="1:3" hidden="1" x14ac:dyDescent="0.25">
      <c r="A3245" s="52" t="s">
        <v>4189</v>
      </c>
      <c r="B3245" s="52" t="s">
        <v>7384</v>
      </c>
      <c r="C3245" s="52" t="s">
        <v>838</v>
      </c>
    </row>
    <row r="3246" spans="1:3" hidden="1" x14ac:dyDescent="0.25">
      <c r="A3246" s="52" t="s">
        <v>4190</v>
      </c>
      <c r="B3246" s="52" t="s">
        <v>7385</v>
      </c>
      <c r="C3246" s="52" t="s">
        <v>838</v>
      </c>
    </row>
    <row r="3247" spans="1:3" hidden="1" x14ac:dyDescent="0.25">
      <c r="A3247" s="52" t="s">
        <v>4191</v>
      </c>
      <c r="B3247" s="52" t="s">
        <v>7386</v>
      </c>
      <c r="C3247" s="52" t="s">
        <v>838</v>
      </c>
    </row>
    <row r="3248" spans="1:3" hidden="1" x14ac:dyDescent="0.25">
      <c r="A3248" s="52" t="s">
        <v>4192</v>
      </c>
      <c r="B3248" s="52" t="s">
        <v>7387</v>
      </c>
      <c r="C3248" s="52" t="s">
        <v>838</v>
      </c>
    </row>
    <row r="3249" spans="1:3" hidden="1" x14ac:dyDescent="0.25">
      <c r="A3249" s="52" t="s">
        <v>4193</v>
      </c>
      <c r="B3249" s="52" t="s">
        <v>6890</v>
      </c>
      <c r="C3249" s="52" t="s">
        <v>838</v>
      </c>
    </row>
    <row r="3250" spans="1:3" hidden="1" x14ac:dyDescent="0.25">
      <c r="A3250" s="52" t="s">
        <v>4194</v>
      </c>
      <c r="B3250" s="52" t="s">
        <v>1227</v>
      </c>
      <c r="C3250" s="52" t="s">
        <v>838</v>
      </c>
    </row>
    <row r="3251" spans="1:3" hidden="1" x14ac:dyDescent="0.25">
      <c r="A3251" s="52" t="s">
        <v>4195</v>
      </c>
      <c r="B3251" s="52" t="s">
        <v>1229</v>
      </c>
      <c r="C3251" s="52" t="s">
        <v>838</v>
      </c>
    </row>
    <row r="3252" spans="1:3" hidden="1" x14ac:dyDescent="0.25">
      <c r="A3252" s="52" t="s">
        <v>4196</v>
      </c>
      <c r="B3252" s="52" t="s">
        <v>5340</v>
      </c>
      <c r="C3252" s="52" t="s">
        <v>838</v>
      </c>
    </row>
    <row r="3253" spans="1:3" hidden="1" x14ac:dyDescent="0.25">
      <c r="A3253" s="52" t="s">
        <v>4197</v>
      </c>
      <c r="B3253" s="52" t="s">
        <v>1232</v>
      </c>
      <c r="C3253" s="52" t="s">
        <v>838</v>
      </c>
    </row>
    <row r="3254" spans="1:3" hidden="1" x14ac:dyDescent="0.25">
      <c r="A3254" s="52" t="s">
        <v>4198</v>
      </c>
      <c r="B3254" s="52" t="s">
        <v>1234</v>
      </c>
      <c r="C3254" s="52" t="s">
        <v>838</v>
      </c>
    </row>
    <row r="3255" spans="1:3" hidden="1" x14ac:dyDescent="0.25">
      <c r="A3255" s="52" t="s">
        <v>4199</v>
      </c>
      <c r="B3255" s="52" t="s">
        <v>7388</v>
      </c>
      <c r="C3255" s="52" t="s">
        <v>838</v>
      </c>
    </row>
    <row r="3256" spans="1:3" hidden="1" x14ac:dyDescent="0.25">
      <c r="A3256" s="52" t="s">
        <v>4200</v>
      </c>
      <c r="B3256" s="52" t="s">
        <v>1264</v>
      </c>
      <c r="C3256" s="52" t="s">
        <v>838</v>
      </c>
    </row>
    <row r="3257" spans="1:3" hidden="1" x14ac:dyDescent="0.25">
      <c r="A3257" s="52" t="s">
        <v>4201</v>
      </c>
      <c r="B3257" s="52" t="s">
        <v>5624</v>
      </c>
      <c r="C3257" s="52" t="s">
        <v>838</v>
      </c>
    </row>
    <row r="3258" spans="1:3" hidden="1" x14ac:dyDescent="0.25">
      <c r="A3258" s="52" t="s">
        <v>4202</v>
      </c>
      <c r="B3258" s="52" t="s">
        <v>1267</v>
      </c>
      <c r="C3258" s="52" t="s">
        <v>838</v>
      </c>
    </row>
    <row r="3259" spans="1:3" hidden="1" x14ac:dyDescent="0.25">
      <c r="A3259" s="52" t="s">
        <v>4203</v>
      </c>
      <c r="B3259" s="52" t="s">
        <v>1269</v>
      </c>
      <c r="C3259" s="52" t="s">
        <v>838</v>
      </c>
    </row>
    <row r="3260" spans="1:3" x14ac:dyDescent="0.25">
      <c r="A3260" s="52" t="s">
        <v>4204</v>
      </c>
      <c r="B3260" s="52" t="s">
        <v>7389</v>
      </c>
      <c r="C3260" s="52" t="s">
        <v>840</v>
      </c>
    </row>
    <row r="3261" spans="1:3" x14ac:dyDescent="0.25">
      <c r="A3261" s="52" t="s">
        <v>4205</v>
      </c>
      <c r="B3261" s="52" t="s">
        <v>7390</v>
      </c>
      <c r="C3261" s="52" t="s">
        <v>840</v>
      </c>
    </row>
    <row r="3262" spans="1:3" x14ac:dyDescent="0.25">
      <c r="A3262" s="52" t="s">
        <v>4206</v>
      </c>
      <c r="B3262" s="52" t="s">
        <v>7391</v>
      </c>
      <c r="C3262" s="52" t="s">
        <v>840</v>
      </c>
    </row>
    <row r="3263" spans="1:3" x14ac:dyDescent="0.25">
      <c r="A3263" s="52" t="s">
        <v>4207</v>
      </c>
      <c r="B3263" s="52" t="s">
        <v>7392</v>
      </c>
      <c r="C3263" s="52" t="s">
        <v>840</v>
      </c>
    </row>
    <row r="3264" spans="1:3" x14ac:dyDescent="0.25">
      <c r="A3264" s="52" t="s">
        <v>4208</v>
      </c>
      <c r="B3264" s="52" t="s">
        <v>6899</v>
      </c>
      <c r="C3264" s="52" t="s">
        <v>840</v>
      </c>
    </row>
    <row r="3265" spans="1:3" x14ac:dyDescent="0.25">
      <c r="A3265" s="52" t="s">
        <v>4209</v>
      </c>
      <c r="B3265" s="52" t="s">
        <v>7393</v>
      </c>
      <c r="C3265" s="52" t="s">
        <v>840</v>
      </c>
    </row>
    <row r="3266" spans="1:3" x14ac:dyDescent="0.25">
      <c r="A3266" s="52" t="s">
        <v>4210</v>
      </c>
      <c r="B3266" s="52" t="s">
        <v>7394</v>
      </c>
      <c r="C3266" s="52" t="s">
        <v>840</v>
      </c>
    </row>
    <row r="3267" spans="1:3" x14ac:dyDescent="0.25">
      <c r="A3267" s="52" t="s">
        <v>4211</v>
      </c>
      <c r="B3267" s="52" t="s">
        <v>6622</v>
      </c>
      <c r="C3267" s="52" t="s">
        <v>840</v>
      </c>
    </row>
    <row r="3268" spans="1:3" x14ac:dyDescent="0.25">
      <c r="A3268" s="52" t="s">
        <v>4212</v>
      </c>
      <c r="B3268" s="52" t="s">
        <v>7395</v>
      </c>
      <c r="C3268" s="52" t="s">
        <v>840</v>
      </c>
    </row>
    <row r="3269" spans="1:3" x14ac:dyDescent="0.25">
      <c r="A3269" s="52" t="s">
        <v>4213</v>
      </c>
      <c r="B3269" s="52" t="s">
        <v>1258</v>
      </c>
      <c r="C3269" s="52" t="s">
        <v>840</v>
      </c>
    </row>
    <row r="3270" spans="1:3" x14ac:dyDescent="0.25">
      <c r="A3270" s="52" t="s">
        <v>4214</v>
      </c>
      <c r="B3270" s="52" t="s">
        <v>1260</v>
      </c>
      <c r="C3270" s="52" t="s">
        <v>840</v>
      </c>
    </row>
    <row r="3271" spans="1:3" x14ac:dyDescent="0.25">
      <c r="A3271" s="52" t="s">
        <v>4215</v>
      </c>
      <c r="B3271" s="52" t="s">
        <v>7396</v>
      </c>
      <c r="C3271" s="52" t="s">
        <v>840</v>
      </c>
    </row>
    <row r="3272" spans="1:3" x14ac:dyDescent="0.25">
      <c r="A3272" s="52" t="s">
        <v>4216</v>
      </c>
      <c r="B3272" s="52" t="s">
        <v>7397</v>
      </c>
      <c r="C3272" s="52" t="s">
        <v>840</v>
      </c>
    </row>
    <row r="3273" spans="1:3" x14ac:dyDescent="0.25">
      <c r="A3273" s="52" t="s">
        <v>4217</v>
      </c>
      <c r="B3273" s="52" t="s">
        <v>7398</v>
      </c>
      <c r="C3273" s="52" t="s">
        <v>840</v>
      </c>
    </row>
    <row r="3274" spans="1:3" x14ac:dyDescent="0.25">
      <c r="A3274" s="52" t="s">
        <v>4218</v>
      </c>
      <c r="B3274" s="52" t="s">
        <v>7399</v>
      </c>
      <c r="C3274" s="52" t="s">
        <v>840</v>
      </c>
    </row>
    <row r="3275" spans="1:3" x14ac:dyDescent="0.25">
      <c r="A3275" s="52" t="s">
        <v>4219</v>
      </c>
      <c r="B3275" s="52" t="s">
        <v>7400</v>
      </c>
      <c r="C3275" s="52" t="s">
        <v>840</v>
      </c>
    </row>
    <row r="3276" spans="1:3" x14ac:dyDescent="0.25">
      <c r="A3276" s="52" t="s">
        <v>4220</v>
      </c>
      <c r="B3276" s="52" t="s">
        <v>7401</v>
      </c>
      <c r="C3276" s="52" t="s">
        <v>840</v>
      </c>
    </row>
    <row r="3277" spans="1:3" x14ac:dyDescent="0.25">
      <c r="A3277" s="52" t="s">
        <v>4221</v>
      </c>
      <c r="B3277" s="52" t="s">
        <v>7402</v>
      </c>
      <c r="C3277" s="52" t="s">
        <v>840</v>
      </c>
    </row>
    <row r="3278" spans="1:3" x14ac:dyDescent="0.25">
      <c r="A3278" s="52" t="s">
        <v>4222</v>
      </c>
      <c r="B3278" s="52" t="s">
        <v>7403</v>
      </c>
      <c r="C3278" s="52" t="s">
        <v>840</v>
      </c>
    </row>
    <row r="3279" spans="1:3" x14ac:dyDescent="0.25">
      <c r="A3279" s="52" t="s">
        <v>4223</v>
      </c>
      <c r="B3279" s="52" t="s">
        <v>7247</v>
      </c>
      <c r="C3279" s="52" t="s">
        <v>840</v>
      </c>
    </row>
    <row r="3280" spans="1:3" x14ac:dyDescent="0.25">
      <c r="A3280" s="52" t="s">
        <v>4224</v>
      </c>
      <c r="B3280" s="52" t="s">
        <v>7404</v>
      </c>
      <c r="C3280" s="52" t="s">
        <v>840</v>
      </c>
    </row>
    <row r="3281" spans="1:3" x14ac:dyDescent="0.25">
      <c r="A3281" s="52" t="s">
        <v>4225</v>
      </c>
      <c r="B3281" s="52" t="s">
        <v>7405</v>
      </c>
      <c r="C3281" s="52" t="s">
        <v>840</v>
      </c>
    </row>
    <row r="3282" spans="1:3" x14ac:dyDescent="0.25">
      <c r="A3282" s="52" t="s">
        <v>4226</v>
      </c>
      <c r="B3282" s="52" t="s">
        <v>7255</v>
      </c>
      <c r="C3282" s="52" t="s">
        <v>840</v>
      </c>
    </row>
    <row r="3283" spans="1:3" x14ac:dyDescent="0.25">
      <c r="A3283" s="52" t="s">
        <v>4227</v>
      </c>
      <c r="B3283" s="52" t="s">
        <v>7406</v>
      </c>
      <c r="C3283" s="52" t="s">
        <v>840</v>
      </c>
    </row>
    <row r="3284" spans="1:3" x14ac:dyDescent="0.25">
      <c r="A3284" s="52" t="s">
        <v>4228</v>
      </c>
      <c r="B3284" s="52" t="s">
        <v>7407</v>
      </c>
      <c r="C3284" s="52" t="s">
        <v>840</v>
      </c>
    </row>
    <row r="3285" spans="1:3" x14ac:dyDescent="0.25">
      <c r="A3285" s="52" t="s">
        <v>4229</v>
      </c>
      <c r="B3285" s="52" t="s">
        <v>7259</v>
      </c>
      <c r="C3285" s="52" t="s">
        <v>840</v>
      </c>
    </row>
    <row r="3286" spans="1:3" x14ac:dyDescent="0.25">
      <c r="A3286" s="52" t="s">
        <v>4230</v>
      </c>
      <c r="B3286" s="52" t="s">
        <v>7408</v>
      </c>
      <c r="C3286" s="52" t="s">
        <v>840</v>
      </c>
    </row>
    <row r="3287" spans="1:3" x14ac:dyDescent="0.25">
      <c r="A3287" s="52" t="s">
        <v>4231</v>
      </c>
      <c r="B3287" s="52" t="s">
        <v>7173</v>
      </c>
      <c r="C3287" s="52" t="s">
        <v>840</v>
      </c>
    </row>
    <row r="3288" spans="1:3" x14ac:dyDescent="0.25">
      <c r="A3288" s="52" t="s">
        <v>4232</v>
      </c>
      <c r="B3288" s="52" t="s">
        <v>6926</v>
      </c>
      <c r="C3288" s="52" t="s">
        <v>840</v>
      </c>
    </row>
    <row r="3289" spans="1:3" x14ac:dyDescent="0.25">
      <c r="A3289" s="52" t="s">
        <v>4233</v>
      </c>
      <c r="B3289" s="52" t="s">
        <v>7409</v>
      </c>
      <c r="C3289" s="52" t="s">
        <v>840</v>
      </c>
    </row>
    <row r="3290" spans="1:3" x14ac:dyDescent="0.25">
      <c r="A3290" s="52" t="s">
        <v>4234</v>
      </c>
      <c r="B3290" s="52" t="s">
        <v>6667</v>
      </c>
      <c r="C3290" s="52" t="s">
        <v>840</v>
      </c>
    </row>
    <row r="3291" spans="1:3" x14ac:dyDescent="0.25">
      <c r="A3291" s="52" t="s">
        <v>4235</v>
      </c>
      <c r="B3291" s="52" t="s">
        <v>7410</v>
      </c>
      <c r="C3291" s="52" t="s">
        <v>840</v>
      </c>
    </row>
    <row r="3292" spans="1:3" x14ac:dyDescent="0.25">
      <c r="A3292" s="52" t="s">
        <v>4236</v>
      </c>
      <c r="B3292" s="52" t="s">
        <v>7411</v>
      </c>
      <c r="C3292" s="52" t="s">
        <v>840</v>
      </c>
    </row>
    <row r="3293" spans="1:3" x14ac:dyDescent="0.25">
      <c r="A3293" s="52" t="s">
        <v>4237</v>
      </c>
      <c r="B3293" s="52" t="s">
        <v>7412</v>
      </c>
      <c r="C3293" s="52" t="s">
        <v>840</v>
      </c>
    </row>
    <row r="3294" spans="1:3" x14ac:dyDescent="0.25">
      <c r="A3294" s="52" t="s">
        <v>4238</v>
      </c>
      <c r="B3294" s="52" t="s">
        <v>7413</v>
      </c>
      <c r="C3294" s="52" t="s">
        <v>840</v>
      </c>
    </row>
    <row r="3295" spans="1:3" x14ac:dyDescent="0.25">
      <c r="A3295" s="52" t="s">
        <v>4239</v>
      </c>
      <c r="B3295" s="52" t="s">
        <v>7414</v>
      </c>
      <c r="C3295" s="52" t="s">
        <v>840</v>
      </c>
    </row>
    <row r="3296" spans="1:3" x14ac:dyDescent="0.25">
      <c r="A3296" s="52" t="s">
        <v>4240</v>
      </c>
      <c r="B3296" s="52" t="s">
        <v>7415</v>
      </c>
      <c r="C3296" s="52" t="s">
        <v>840</v>
      </c>
    </row>
    <row r="3297" spans="1:3" x14ac:dyDescent="0.25">
      <c r="A3297" s="52" t="s">
        <v>4241</v>
      </c>
      <c r="B3297" s="52" t="s">
        <v>7416</v>
      </c>
      <c r="C3297" s="52" t="s">
        <v>840</v>
      </c>
    </row>
    <row r="3298" spans="1:3" x14ac:dyDescent="0.25">
      <c r="A3298" s="52" t="s">
        <v>4242</v>
      </c>
      <c r="B3298" s="52" t="s">
        <v>7417</v>
      </c>
      <c r="C3298" s="52" t="s">
        <v>840</v>
      </c>
    </row>
    <row r="3299" spans="1:3" x14ac:dyDescent="0.25">
      <c r="A3299" s="52" t="s">
        <v>4243</v>
      </c>
      <c r="B3299" s="52" t="s">
        <v>7278</v>
      </c>
      <c r="C3299" s="52" t="s">
        <v>840</v>
      </c>
    </row>
    <row r="3300" spans="1:3" x14ac:dyDescent="0.25">
      <c r="A3300" s="52" t="s">
        <v>4244</v>
      </c>
      <c r="B3300" s="52" t="s">
        <v>1171</v>
      </c>
      <c r="C3300" s="52" t="s">
        <v>840</v>
      </c>
    </row>
    <row r="3301" spans="1:3" x14ac:dyDescent="0.25">
      <c r="A3301" s="52" t="s">
        <v>4245</v>
      </c>
      <c r="B3301" s="52" t="s">
        <v>7187</v>
      </c>
      <c r="C3301" s="52" t="s">
        <v>840</v>
      </c>
    </row>
    <row r="3302" spans="1:3" x14ac:dyDescent="0.25">
      <c r="A3302" s="52" t="s">
        <v>4246</v>
      </c>
      <c r="B3302" s="52" t="s">
        <v>7281</v>
      </c>
      <c r="C3302" s="52" t="s">
        <v>840</v>
      </c>
    </row>
    <row r="3303" spans="1:3" x14ac:dyDescent="0.25">
      <c r="A3303" s="52" t="s">
        <v>4247</v>
      </c>
      <c r="B3303" s="52" t="s">
        <v>7418</v>
      </c>
      <c r="C3303" s="52" t="s">
        <v>840</v>
      </c>
    </row>
    <row r="3304" spans="1:3" x14ac:dyDescent="0.25">
      <c r="A3304" s="52" t="s">
        <v>4248</v>
      </c>
      <c r="B3304" s="52" t="s">
        <v>7419</v>
      </c>
      <c r="C3304" s="52" t="s">
        <v>840</v>
      </c>
    </row>
    <row r="3305" spans="1:3" x14ac:dyDescent="0.25">
      <c r="A3305" s="52" t="s">
        <v>4249</v>
      </c>
      <c r="B3305" s="52" t="s">
        <v>7420</v>
      </c>
      <c r="C3305" s="52" t="s">
        <v>840</v>
      </c>
    </row>
    <row r="3306" spans="1:3" x14ac:dyDescent="0.25">
      <c r="A3306" s="52" t="s">
        <v>4250</v>
      </c>
      <c r="B3306" s="52" t="s">
        <v>5518</v>
      </c>
      <c r="C3306" s="52" t="s">
        <v>840</v>
      </c>
    </row>
    <row r="3307" spans="1:3" x14ac:dyDescent="0.25">
      <c r="A3307" s="52" t="s">
        <v>4251</v>
      </c>
      <c r="B3307" s="52" t="s">
        <v>7421</v>
      </c>
      <c r="C3307" s="52" t="s">
        <v>840</v>
      </c>
    </row>
    <row r="3308" spans="1:3" x14ac:dyDescent="0.25">
      <c r="A3308" s="52" t="s">
        <v>4252</v>
      </c>
      <c r="B3308" s="52" t="s">
        <v>5416</v>
      </c>
      <c r="C3308" s="52" t="s">
        <v>840</v>
      </c>
    </row>
    <row r="3309" spans="1:3" x14ac:dyDescent="0.25">
      <c r="A3309" s="52" t="s">
        <v>4253</v>
      </c>
      <c r="B3309" s="52" t="s">
        <v>7422</v>
      </c>
      <c r="C3309" s="52" t="s">
        <v>840</v>
      </c>
    </row>
    <row r="3310" spans="1:3" x14ac:dyDescent="0.25">
      <c r="A3310" s="52" t="s">
        <v>4254</v>
      </c>
      <c r="B3310" s="52" t="s">
        <v>5417</v>
      </c>
      <c r="C3310" s="52" t="s">
        <v>840</v>
      </c>
    </row>
    <row r="3311" spans="1:3" x14ac:dyDescent="0.25">
      <c r="A3311" s="52" t="s">
        <v>4255</v>
      </c>
      <c r="B3311" s="52" t="s">
        <v>4721</v>
      </c>
      <c r="C3311" s="52" t="s">
        <v>840</v>
      </c>
    </row>
    <row r="3312" spans="1:3" x14ac:dyDescent="0.25">
      <c r="A3312" s="52" t="s">
        <v>4256</v>
      </c>
      <c r="B3312" s="52" t="s">
        <v>7423</v>
      </c>
      <c r="C3312" s="52" t="s">
        <v>840</v>
      </c>
    </row>
    <row r="3313" spans="1:3" x14ac:dyDescent="0.25">
      <c r="A3313" s="52" t="s">
        <v>4257</v>
      </c>
      <c r="B3313" s="52" t="s">
        <v>7424</v>
      </c>
      <c r="C3313" s="52" t="s">
        <v>840</v>
      </c>
    </row>
    <row r="3314" spans="1:3" x14ac:dyDescent="0.25">
      <c r="A3314" s="52" t="s">
        <v>4258</v>
      </c>
      <c r="B3314" s="52" t="s">
        <v>7425</v>
      </c>
      <c r="C3314" s="52" t="s">
        <v>840</v>
      </c>
    </row>
    <row r="3315" spans="1:3" x14ac:dyDescent="0.25">
      <c r="A3315" s="52" t="s">
        <v>4259</v>
      </c>
      <c r="B3315" s="52" t="s">
        <v>7426</v>
      </c>
      <c r="C3315" s="52" t="s">
        <v>840</v>
      </c>
    </row>
    <row r="3316" spans="1:3" x14ac:dyDescent="0.25">
      <c r="A3316" s="52" t="s">
        <v>4260</v>
      </c>
      <c r="B3316" s="52" t="s">
        <v>7427</v>
      </c>
      <c r="C3316" s="52" t="s">
        <v>840</v>
      </c>
    </row>
    <row r="3317" spans="1:3" x14ac:dyDescent="0.25">
      <c r="A3317" s="52" t="s">
        <v>4261</v>
      </c>
      <c r="B3317" s="52" t="s">
        <v>7428</v>
      </c>
      <c r="C3317" s="52" t="s">
        <v>840</v>
      </c>
    </row>
    <row r="3318" spans="1:3" x14ac:dyDescent="0.25">
      <c r="A3318" s="52" t="s">
        <v>4262</v>
      </c>
      <c r="B3318" s="52" t="s">
        <v>7203</v>
      </c>
      <c r="C3318" s="52" t="s">
        <v>840</v>
      </c>
    </row>
    <row r="3319" spans="1:3" x14ac:dyDescent="0.25">
      <c r="A3319" s="52" t="s">
        <v>4263</v>
      </c>
      <c r="B3319" s="52" t="s">
        <v>5870</v>
      </c>
      <c r="C3319" s="52" t="s">
        <v>840</v>
      </c>
    </row>
    <row r="3320" spans="1:3" x14ac:dyDescent="0.25">
      <c r="A3320" s="52" t="s">
        <v>4264</v>
      </c>
      <c r="B3320" s="52" t="s">
        <v>1232</v>
      </c>
      <c r="C3320" s="52" t="s">
        <v>840</v>
      </c>
    </row>
    <row r="3321" spans="1:3" x14ac:dyDescent="0.25">
      <c r="A3321" s="52" t="s">
        <v>4265</v>
      </c>
      <c r="B3321" s="52" t="s">
        <v>7429</v>
      </c>
      <c r="C3321" s="52" t="s">
        <v>840</v>
      </c>
    </row>
    <row r="3322" spans="1:3" x14ac:dyDescent="0.25">
      <c r="A3322" s="52" t="s">
        <v>4266</v>
      </c>
      <c r="B3322" s="52" t="s">
        <v>7430</v>
      </c>
      <c r="C3322" s="52" t="s">
        <v>840</v>
      </c>
    </row>
    <row r="3323" spans="1:3" x14ac:dyDescent="0.25">
      <c r="A3323" s="52" t="s">
        <v>4267</v>
      </c>
      <c r="B3323" s="52" t="s">
        <v>1010</v>
      </c>
      <c r="C3323" s="52" t="s">
        <v>840</v>
      </c>
    </row>
  </sheetData>
  <sheetProtection password="E0B1" sheet="1" objects="1" scenarios="1" selectLockedCells="1" autoFilter="0"/>
  <autoFilter ref="A1:C3323">
    <filterColumn colId="2">
      <filters>
        <filter val="721"/>
      </filters>
    </filterColumn>
  </autoFilter>
  <customSheetViews>
    <customSheetView guid="{6E28C1C2-2488-40F5-AD70-D4C724F64D78}" showAutoFilter="1">
      <selection activeCell="I12" sqref="I12"/>
      <pageMargins left="0.7" right="0.7" top="0.75" bottom="0.75" header="0.511811023622047" footer="0.511811023622047"/>
      <pageSetup orientation="portrait" horizontalDpi="300" verticalDpi="300"/>
      <autoFilter ref="A1:C1"/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3701"/>
  <sheetViews>
    <sheetView zoomScaleNormal="100" workbookViewId="0">
      <selection activeCell="B5" sqref="B5"/>
    </sheetView>
  </sheetViews>
  <sheetFormatPr defaultColWidth="8.7109375" defaultRowHeight="15" x14ac:dyDescent="0.25"/>
  <cols>
    <col min="2" max="2" width="40.85546875" style="21" bestFit="1" customWidth="1"/>
  </cols>
  <sheetData>
    <row r="1" spans="1:2" x14ac:dyDescent="0.25">
      <c r="A1" s="29" t="s">
        <v>35</v>
      </c>
      <c r="B1" s="22" t="s">
        <v>36</v>
      </c>
    </row>
    <row r="2" spans="1:2" x14ac:dyDescent="0.25">
      <c r="A2" s="53" t="s">
        <v>652</v>
      </c>
      <c r="B2" s="53" t="s">
        <v>653</v>
      </c>
    </row>
    <row r="3" spans="1:2" x14ac:dyDescent="0.25">
      <c r="A3" s="54" t="s">
        <v>654</v>
      </c>
      <c r="B3" s="54" t="s">
        <v>655</v>
      </c>
    </row>
    <row r="4" spans="1:2" x14ac:dyDescent="0.25">
      <c r="A4" s="53" t="s">
        <v>656</v>
      </c>
      <c r="B4" s="53" t="s">
        <v>657</v>
      </c>
    </row>
    <row r="5" spans="1:2" x14ac:dyDescent="0.25">
      <c r="A5" s="54" t="s">
        <v>658</v>
      </c>
      <c r="B5" s="54" t="s">
        <v>659</v>
      </c>
    </row>
    <row r="6" spans="1:2" x14ac:dyDescent="0.25">
      <c r="A6" s="53" t="s">
        <v>660</v>
      </c>
      <c r="B6" s="53" t="s">
        <v>661</v>
      </c>
    </row>
    <row r="7" spans="1:2" x14ac:dyDescent="0.25">
      <c r="A7" s="54" t="s">
        <v>409</v>
      </c>
      <c r="B7" s="54" t="s">
        <v>410</v>
      </c>
    </row>
    <row r="8" spans="1:2" x14ac:dyDescent="0.25">
      <c r="A8" s="53" t="s">
        <v>411</v>
      </c>
      <c r="B8" s="53" t="s">
        <v>412</v>
      </c>
    </row>
    <row r="9" spans="1:2" x14ac:dyDescent="0.25">
      <c r="A9" s="54" t="s">
        <v>413</v>
      </c>
      <c r="B9" s="54" t="s">
        <v>414</v>
      </c>
    </row>
    <row r="10" spans="1:2" x14ac:dyDescent="0.25">
      <c r="A10" s="53" t="s">
        <v>415</v>
      </c>
      <c r="B10" s="53" t="s">
        <v>416</v>
      </c>
    </row>
    <row r="11" spans="1:2" x14ac:dyDescent="0.25">
      <c r="A11" s="54" t="s">
        <v>417</v>
      </c>
      <c r="B11" s="54" t="s">
        <v>418</v>
      </c>
    </row>
    <row r="12" spans="1:2" x14ac:dyDescent="0.25">
      <c r="A12" s="53" t="s">
        <v>419</v>
      </c>
      <c r="B12" s="53" t="s">
        <v>420</v>
      </c>
    </row>
    <row r="13" spans="1:2" x14ac:dyDescent="0.25">
      <c r="A13" s="54" t="s">
        <v>421</v>
      </c>
      <c r="B13" s="54" t="s">
        <v>422</v>
      </c>
    </row>
    <row r="14" spans="1:2" x14ac:dyDescent="0.25">
      <c r="A14" s="53" t="s">
        <v>423</v>
      </c>
      <c r="B14" s="53" t="s">
        <v>424</v>
      </c>
    </row>
    <row r="15" spans="1:2" x14ac:dyDescent="0.25">
      <c r="A15" s="54" t="s">
        <v>425</v>
      </c>
      <c r="B15" s="54" t="s">
        <v>426</v>
      </c>
    </row>
    <row r="16" spans="1:2" x14ac:dyDescent="0.25">
      <c r="A16" s="53" t="s">
        <v>688</v>
      </c>
      <c r="B16" s="53" t="s">
        <v>689</v>
      </c>
    </row>
    <row r="17" spans="1:2" x14ac:dyDescent="0.25">
      <c r="A17" s="54" t="s">
        <v>395</v>
      </c>
      <c r="B17" s="54" t="s">
        <v>396</v>
      </c>
    </row>
    <row r="18" spans="1:2" x14ac:dyDescent="0.25">
      <c r="A18" s="54" t="s">
        <v>731</v>
      </c>
      <c r="B18" s="54" t="s">
        <v>732</v>
      </c>
    </row>
    <row r="19" spans="1:2" x14ac:dyDescent="0.25">
      <c r="A19" s="54" t="s">
        <v>737</v>
      </c>
      <c r="B19" s="54" t="s">
        <v>738</v>
      </c>
    </row>
    <row r="20" spans="1:2" x14ac:dyDescent="0.25">
      <c r="A20" s="53" t="s">
        <v>729</v>
      </c>
      <c r="B20" s="53" t="s">
        <v>730</v>
      </c>
    </row>
    <row r="21" spans="1:2" x14ac:dyDescent="0.25">
      <c r="A21" s="54" t="s">
        <v>753</v>
      </c>
      <c r="B21" s="54" t="s">
        <v>754</v>
      </c>
    </row>
    <row r="22" spans="1:2" x14ac:dyDescent="0.25">
      <c r="A22" s="53" t="s">
        <v>7431</v>
      </c>
      <c r="B22" s="53" t="s">
        <v>10798</v>
      </c>
    </row>
    <row r="23" spans="1:2" x14ac:dyDescent="0.25">
      <c r="A23" s="54" t="s">
        <v>7432</v>
      </c>
      <c r="B23" s="54" t="s">
        <v>10799</v>
      </c>
    </row>
    <row r="24" spans="1:2" x14ac:dyDescent="0.25">
      <c r="A24" s="53" t="s">
        <v>7433</v>
      </c>
      <c r="B24" s="53" t="s">
        <v>10800</v>
      </c>
    </row>
    <row r="25" spans="1:2" x14ac:dyDescent="0.25">
      <c r="A25" s="54" t="s">
        <v>7434</v>
      </c>
      <c r="B25" s="54" t="s">
        <v>10801</v>
      </c>
    </row>
    <row r="26" spans="1:2" x14ac:dyDescent="0.25">
      <c r="A26" s="53" t="s">
        <v>7435</v>
      </c>
      <c r="B26" s="53" t="s">
        <v>10802</v>
      </c>
    </row>
    <row r="27" spans="1:2" x14ac:dyDescent="0.25">
      <c r="A27" s="54" t="s">
        <v>7436</v>
      </c>
      <c r="B27" s="54" t="s">
        <v>10803</v>
      </c>
    </row>
    <row r="28" spans="1:2" x14ac:dyDescent="0.25">
      <c r="A28" s="53" t="s">
        <v>7437</v>
      </c>
      <c r="B28" s="53" t="s">
        <v>10804</v>
      </c>
    </row>
    <row r="29" spans="1:2" x14ac:dyDescent="0.25">
      <c r="A29" s="54" t="s">
        <v>7438</v>
      </c>
      <c r="B29" s="54" t="s">
        <v>10805</v>
      </c>
    </row>
    <row r="30" spans="1:2" x14ac:dyDescent="0.25">
      <c r="A30" s="53" t="s">
        <v>7439</v>
      </c>
      <c r="B30" s="53" t="s">
        <v>10806</v>
      </c>
    </row>
    <row r="31" spans="1:2" x14ac:dyDescent="0.25">
      <c r="A31" s="54" t="s">
        <v>7440</v>
      </c>
      <c r="B31" s="54" t="s">
        <v>10807</v>
      </c>
    </row>
    <row r="32" spans="1:2" x14ac:dyDescent="0.25">
      <c r="A32" s="53" t="s">
        <v>7441</v>
      </c>
      <c r="B32" s="53" t="s">
        <v>10808</v>
      </c>
    </row>
    <row r="33" spans="1:2" x14ac:dyDescent="0.25">
      <c r="A33" s="54" t="s">
        <v>7442</v>
      </c>
      <c r="B33" s="54" t="s">
        <v>10809</v>
      </c>
    </row>
    <row r="34" spans="1:2" x14ac:dyDescent="0.25">
      <c r="A34" s="53" t="s">
        <v>7443</v>
      </c>
      <c r="B34" s="53" t="s">
        <v>10810</v>
      </c>
    </row>
    <row r="35" spans="1:2" x14ac:dyDescent="0.25">
      <c r="A35" s="54" t="s">
        <v>7444</v>
      </c>
      <c r="B35" s="54" t="s">
        <v>10811</v>
      </c>
    </row>
    <row r="36" spans="1:2" x14ac:dyDescent="0.25">
      <c r="A36" s="53" t="s">
        <v>7445</v>
      </c>
      <c r="B36" s="53" t="s">
        <v>10812</v>
      </c>
    </row>
    <row r="37" spans="1:2" x14ac:dyDescent="0.25">
      <c r="A37" s="54" t="s">
        <v>7446</v>
      </c>
      <c r="B37" s="54" t="s">
        <v>10813</v>
      </c>
    </row>
    <row r="38" spans="1:2" x14ac:dyDescent="0.25">
      <c r="A38" s="53" t="s">
        <v>7447</v>
      </c>
      <c r="B38" s="53" t="s">
        <v>10814</v>
      </c>
    </row>
    <row r="39" spans="1:2" x14ac:dyDescent="0.25">
      <c r="A39" s="54" t="s">
        <v>7448</v>
      </c>
      <c r="B39" s="54" t="s">
        <v>10815</v>
      </c>
    </row>
    <row r="40" spans="1:2" x14ac:dyDescent="0.25">
      <c r="A40" s="53" t="s">
        <v>7449</v>
      </c>
      <c r="B40" s="53" t="s">
        <v>10816</v>
      </c>
    </row>
    <row r="41" spans="1:2" x14ac:dyDescent="0.25">
      <c r="A41" s="54" t="s">
        <v>7450</v>
      </c>
      <c r="B41" s="54" t="s">
        <v>10817</v>
      </c>
    </row>
    <row r="42" spans="1:2" x14ac:dyDescent="0.25">
      <c r="A42" s="53" t="s">
        <v>7451</v>
      </c>
      <c r="B42" s="53" t="s">
        <v>10818</v>
      </c>
    </row>
    <row r="43" spans="1:2" x14ac:dyDescent="0.25">
      <c r="A43" s="54" t="s">
        <v>7452</v>
      </c>
      <c r="B43" s="54" t="s">
        <v>10819</v>
      </c>
    </row>
    <row r="44" spans="1:2" x14ac:dyDescent="0.25">
      <c r="A44" s="53" t="s">
        <v>7453</v>
      </c>
      <c r="B44" s="53" t="s">
        <v>10820</v>
      </c>
    </row>
    <row r="45" spans="1:2" x14ac:dyDescent="0.25">
      <c r="A45" s="54" t="s">
        <v>7454</v>
      </c>
      <c r="B45" s="54" t="s">
        <v>10821</v>
      </c>
    </row>
    <row r="46" spans="1:2" x14ac:dyDescent="0.25">
      <c r="A46" s="53" t="s">
        <v>7455</v>
      </c>
      <c r="B46" s="53" t="s">
        <v>10822</v>
      </c>
    </row>
    <row r="47" spans="1:2" x14ac:dyDescent="0.25">
      <c r="A47" s="54" t="s">
        <v>7456</v>
      </c>
      <c r="B47" s="54" t="s">
        <v>10823</v>
      </c>
    </row>
    <row r="48" spans="1:2" x14ac:dyDescent="0.25">
      <c r="A48" s="53" t="s">
        <v>7457</v>
      </c>
      <c r="B48" s="53" t="s">
        <v>10824</v>
      </c>
    </row>
    <row r="49" spans="1:2" x14ac:dyDescent="0.25">
      <c r="A49" s="54" t="s">
        <v>7458</v>
      </c>
      <c r="B49" s="54" t="s">
        <v>10825</v>
      </c>
    </row>
    <row r="50" spans="1:2" x14ac:dyDescent="0.25">
      <c r="A50" s="53" t="s">
        <v>7459</v>
      </c>
      <c r="B50" s="53" t="s">
        <v>10826</v>
      </c>
    </row>
    <row r="51" spans="1:2" x14ac:dyDescent="0.25">
      <c r="A51" s="54" t="s">
        <v>7460</v>
      </c>
      <c r="B51" s="54" t="s">
        <v>10827</v>
      </c>
    </row>
    <row r="52" spans="1:2" x14ac:dyDescent="0.25">
      <c r="A52" s="53" t="s">
        <v>7461</v>
      </c>
      <c r="B52" s="53" t="s">
        <v>10828</v>
      </c>
    </row>
    <row r="53" spans="1:2" x14ac:dyDescent="0.25">
      <c r="A53" s="54" t="s">
        <v>7462</v>
      </c>
      <c r="B53" s="54" t="s">
        <v>10829</v>
      </c>
    </row>
    <row r="54" spans="1:2" x14ac:dyDescent="0.25">
      <c r="A54" s="53" t="s">
        <v>7463</v>
      </c>
      <c r="B54" s="53" t="s">
        <v>10830</v>
      </c>
    </row>
    <row r="55" spans="1:2" x14ac:dyDescent="0.25">
      <c r="A55" s="54" t="s">
        <v>7464</v>
      </c>
      <c r="B55" s="54" t="s">
        <v>10831</v>
      </c>
    </row>
    <row r="56" spans="1:2" x14ac:dyDescent="0.25">
      <c r="A56" s="53" t="s">
        <v>7465</v>
      </c>
      <c r="B56" s="53" t="s">
        <v>10832</v>
      </c>
    </row>
    <row r="57" spans="1:2" x14ac:dyDescent="0.25">
      <c r="A57" s="54" t="s">
        <v>7466</v>
      </c>
      <c r="B57" s="54" t="s">
        <v>10833</v>
      </c>
    </row>
    <row r="58" spans="1:2" x14ac:dyDescent="0.25">
      <c r="A58" s="53" t="s">
        <v>7467</v>
      </c>
      <c r="B58" s="53" t="s">
        <v>10834</v>
      </c>
    </row>
    <row r="59" spans="1:2" x14ac:dyDescent="0.25">
      <c r="A59" s="54" t="s">
        <v>7468</v>
      </c>
      <c r="B59" s="54" t="s">
        <v>10835</v>
      </c>
    </row>
    <row r="60" spans="1:2" x14ac:dyDescent="0.25">
      <c r="A60" s="53" t="s">
        <v>7469</v>
      </c>
      <c r="B60" s="53" t="s">
        <v>10836</v>
      </c>
    </row>
    <row r="61" spans="1:2" x14ac:dyDescent="0.25">
      <c r="A61" s="54" t="s">
        <v>7470</v>
      </c>
      <c r="B61" s="54" t="s">
        <v>10837</v>
      </c>
    </row>
    <row r="62" spans="1:2" x14ac:dyDescent="0.25">
      <c r="A62" s="53" t="s">
        <v>7471</v>
      </c>
      <c r="B62" s="53" t="s">
        <v>10838</v>
      </c>
    </row>
    <row r="63" spans="1:2" x14ac:dyDescent="0.25">
      <c r="A63" s="54" t="s">
        <v>7472</v>
      </c>
      <c r="B63" s="54" t="s">
        <v>10839</v>
      </c>
    </row>
    <row r="64" spans="1:2" x14ac:dyDescent="0.25">
      <c r="A64" s="53" t="s">
        <v>7473</v>
      </c>
      <c r="B64" s="53" t="s">
        <v>10840</v>
      </c>
    </row>
    <row r="65" spans="1:2" x14ac:dyDescent="0.25">
      <c r="A65" s="54" t="s">
        <v>7474</v>
      </c>
      <c r="B65" s="54" t="s">
        <v>10841</v>
      </c>
    </row>
    <row r="66" spans="1:2" x14ac:dyDescent="0.25">
      <c r="A66" s="53" t="s">
        <v>7475</v>
      </c>
      <c r="B66" s="53" t="s">
        <v>10842</v>
      </c>
    </row>
    <row r="67" spans="1:2" x14ac:dyDescent="0.25">
      <c r="A67" s="54" t="s">
        <v>7476</v>
      </c>
      <c r="B67" s="54" t="s">
        <v>10843</v>
      </c>
    </row>
    <row r="68" spans="1:2" x14ac:dyDescent="0.25">
      <c r="A68" s="53" t="s">
        <v>7477</v>
      </c>
      <c r="B68" s="53" t="s">
        <v>10844</v>
      </c>
    </row>
    <row r="69" spans="1:2" x14ac:dyDescent="0.25">
      <c r="A69" s="54" t="s">
        <v>7478</v>
      </c>
      <c r="B69" s="54" t="s">
        <v>10845</v>
      </c>
    </row>
    <row r="70" spans="1:2" x14ac:dyDescent="0.25">
      <c r="A70" s="53" t="s">
        <v>7479</v>
      </c>
      <c r="B70" s="53" t="s">
        <v>10846</v>
      </c>
    </row>
    <row r="71" spans="1:2" x14ac:dyDescent="0.25">
      <c r="A71" s="54" t="s">
        <v>7480</v>
      </c>
      <c r="B71" s="54" t="s">
        <v>10799</v>
      </c>
    </row>
    <row r="72" spans="1:2" x14ac:dyDescent="0.25">
      <c r="A72" s="53" t="s">
        <v>7481</v>
      </c>
      <c r="B72" s="53" t="s">
        <v>10847</v>
      </c>
    </row>
    <row r="73" spans="1:2" x14ac:dyDescent="0.25">
      <c r="A73" s="54" t="s">
        <v>7482</v>
      </c>
      <c r="B73" s="54" t="s">
        <v>10848</v>
      </c>
    </row>
    <row r="74" spans="1:2" x14ac:dyDescent="0.25">
      <c r="A74" s="53" t="s">
        <v>7483</v>
      </c>
      <c r="B74" s="53" t="s">
        <v>10849</v>
      </c>
    </row>
    <row r="75" spans="1:2" x14ac:dyDescent="0.25">
      <c r="A75" s="54" t="s">
        <v>7484</v>
      </c>
      <c r="B75" s="54" t="s">
        <v>10850</v>
      </c>
    </row>
    <row r="76" spans="1:2" x14ac:dyDescent="0.25">
      <c r="A76" s="53" t="s">
        <v>7485</v>
      </c>
      <c r="B76" s="53" t="s">
        <v>10851</v>
      </c>
    </row>
    <row r="77" spans="1:2" x14ac:dyDescent="0.25">
      <c r="A77" s="54" t="s">
        <v>7486</v>
      </c>
      <c r="B77" s="54" t="s">
        <v>10852</v>
      </c>
    </row>
    <row r="78" spans="1:2" x14ac:dyDescent="0.25">
      <c r="A78" s="53" t="s">
        <v>7487</v>
      </c>
      <c r="B78" s="53" t="s">
        <v>10853</v>
      </c>
    </row>
    <row r="79" spans="1:2" x14ac:dyDescent="0.25">
      <c r="A79" s="54" t="s">
        <v>7488</v>
      </c>
      <c r="B79" s="54" t="s">
        <v>10854</v>
      </c>
    </row>
    <row r="80" spans="1:2" x14ac:dyDescent="0.25">
      <c r="A80" s="53" t="s">
        <v>7489</v>
      </c>
      <c r="B80" s="53" t="s">
        <v>10855</v>
      </c>
    </row>
    <row r="81" spans="1:2" x14ac:dyDescent="0.25">
      <c r="A81" s="54" t="s">
        <v>7490</v>
      </c>
      <c r="B81" s="54" t="s">
        <v>10856</v>
      </c>
    </row>
    <row r="82" spans="1:2" x14ac:dyDescent="0.25">
      <c r="A82" s="53" t="s">
        <v>7491</v>
      </c>
      <c r="B82" s="53" t="s">
        <v>10857</v>
      </c>
    </row>
    <row r="83" spans="1:2" x14ac:dyDescent="0.25">
      <c r="A83" s="54" t="s">
        <v>7492</v>
      </c>
      <c r="B83" s="54" t="s">
        <v>10858</v>
      </c>
    </row>
    <row r="84" spans="1:2" x14ac:dyDescent="0.25">
      <c r="A84" s="53" t="s">
        <v>7493</v>
      </c>
      <c r="B84" s="53" t="s">
        <v>10859</v>
      </c>
    </row>
    <row r="85" spans="1:2" x14ac:dyDescent="0.25">
      <c r="A85" s="54" t="s">
        <v>7494</v>
      </c>
      <c r="B85" s="54" t="s">
        <v>10860</v>
      </c>
    </row>
    <row r="86" spans="1:2" x14ac:dyDescent="0.25">
      <c r="A86" s="53" t="s">
        <v>7495</v>
      </c>
      <c r="B86" s="53" t="s">
        <v>10861</v>
      </c>
    </row>
    <row r="87" spans="1:2" x14ac:dyDescent="0.25">
      <c r="A87" s="54" t="s">
        <v>7496</v>
      </c>
      <c r="B87" s="54" t="s">
        <v>10862</v>
      </c>
    </row>
    <row r="88" spans="1:2" x14ac:dyDescent="0.25">
      <c r="A88" s="53" t="s">
        <v>7497</v>
      </c>
      <c r="B88" s="53" t="s">
        <v>10863</v>
      </c>
    </row>
    <row r="89" spans="1:2" x14ac:dyDescent="0.25">
      <c r="A89" s="54" t="s">
        <v>7498</v>
      </c>
      <c r="B89" s="54" t="s">
        <v>10864</v>
      </c>
    </row>
    <row r="90" spans="1:2" x14ac:dyDescent="0.25">
      <c r="A90" s="53" t="s">
        <v>7499</v>
      </c>
      <c r="B90" s="53" t="s">
        <v>10865</v>
      </c>
    </row>
    <row r="91" spans="1:2" x14ac:dyDescent="0.25">
      <c r="A91" s="54" t="s">
        <v>7500</v>
      </c>
      <c r="B91" s="54" t="s">
        <v>10866</v>
      </c>
    </row>
    <row r="92" spans="1:2" x14ac:dyDescent="0.25">
      <c r="A92" s="53" t="s">
        <v>7501</v>
      </c>
      <c r="B92" s="53" t="s">
        <v>10867</v>
      </c>
    </row>
    <row r="93" spans="1:2" x14ac:dyDescent="0.25">
      <c r="A93" s="54" t="s">
        <v>7502</v>
      </c>
      <c r="B93" s="54" t="s">
        <v>10868</v>
      </c>
    </row>
    <row r="94" spans="1:2" x14ac:dyDescent="0.25">
      <c r="A94" s="53" t="s">
        <v>7503</v>
      </c>
      <c r="B94" s="53" t="s">
        <v>10869</v>
      </c>
    </row>
    <row r="95" spans="1:2" x14ac:dyDescent="0.25">
      <c r="A95" s="54" t="s">
        <v>7504</v>
      </c>
      <c r="B95" s="54" t="s">
        <v>10870</v>
      </c>
    </row>
    <row r="96" spans="1:2" x14ac:dyDescent="0.25">
      <c r="A96" s="53" t="s">
        <v>7505</v>
      </c>
      <c r="B96" s="53" t="s">
        <v>10871</v>
      </c>
    </row>
    <row r="97" spans="1:2" x14ac:dyDescent="0.25">
      <c r="A97" s="54" t="s">
        <v>7506</v>
      </c>
      <c r="B97" s="54" t="s">
        <v>10872</v>
      </c>
    </row>
    <row r="98" spans="1:2" x14ac:dyDescent="0.25">
      <c r="A98" s="53" t="s">
        <v>7507</v>
      </c>
      <c r="B98" s="53" t="s">
        <v>10873</v>
      </c>
    </row>
    <row r="99" spans="1:2" x14ac:dyDescent="0.25">
      <c r="A99" s="54" t="s">
        <v>7508</v>
      </c>
      <c r="B99" s="54" t="s">
        <v>10874</v>
      </c>
    </row>
    <row r="100" spans="1:2" x14ac:dyDescent="0.25">
      <c r="A100" s="53" t="s">
        <v>7509</v>
      </c>
      <c r="B100" s="53" t="s">
        <v>10875</v>
      </c>
    </row>
    <row r="101" spans="1:2" x14ac:dyDescent="0.25">
      <c r="A101" s="54" t="s">
        <v>7510</v>
      </c>
      <c r="B101" s="54" t="s">
        <v>10876</v>
      </c>
    </row>
    <row r="102" spans="1:2" x14ac:dyDescent="0.25">
      <c r="A102" s="53" t="s">
        <v>7511</v>
      </c>
      <c r="B102" s="53" t="s">
        <v>10877</v>
      </c>
    </row>
    <row r="103" spans="1:2" x14ac:dyDescent="0.25">
      <c r="A103" s="54" t="s">
        <v>7512</v>
      </c>
      <c r="B103" s="54" t="s">
        <v>10878</v>
      </c>
    </row>
    <row r="104" spans="1:2" x14ac:dyDescent="0.25">
      <c r="A104" s="53" t="s">
        <v>7513</v>
      </c>
      <c r="B104" s="53" t="s">
        <v>10879</v>
      </c>
    </row>
    <row r="105" spans="1:2" x14ac:dyDescent="0.25">
      <c r="A105" s="54" t="s">
        <v>7514</v>
      </c>
      <c r="B105" s="54" t="s">
        <v>10880</v>
      </c>
    </row>
    <row r="106" spans="1:2" x14ac:dyDescent="0.25">
      <c r="A106" s="53" t="s">
        <v>7515</v>
      </c>
      <c r="B106" s="53" t="s">
        <v>10881</v>
      </c>
    </row>
    <row r="107" spans="1:2" x14ac:dyDescent="0.25">
      <c r="A107" s="54" t="s">
        <v>7516</v>
      </c>
      <c r="B107" s="54" t="s">
        <v>10882</v>
      </c>
    </row>
    <row r="108" spans="1:2" x14ac:dyDescent="0.25">
      <c r="A108" s="53" t="s">
        <v>7517</v>
      </c>
      <c r="B108" s="53" t="s">
        <v>10883</v>
      </c>
    </row>
    <row r="109" spans="1:2" x14ac:dyDescent="0.25">
      <c r="A109" s="54" t="s">
        <v>7518</v>
      </c>
      <c r="B109" s="54" t="s">
        <v>10884</v>
      </c>
    </row>
    <row r="110" spans="1:2" x14ac:dyDescent="0.25">
      <c r="A110" s="53" t="s">
        <v>7519</v>
      </c>
      <c r="B110" s="53" t="s">
        <v>10885</v>
      </c>
    </row>
    <row r="111" spans="1:2" x14ac:dyDescent="0.25">
      <c r="A111" s="54" t="s">
        <v>7520</v>
      </c>
      <c r="B111" s="54" t="s">
        <v>10886</v>
      </c>
    </row>
    <row r="112" spans="1:2" x14ac:dyDescent="0.25">
      <c r="A112" s="53" t="s">
        <v>7521</v>
      </c>
      <c r="B112" s="53" t="s">
        <v>10887</v>
      </c>
    </row>
    <row r="113" spans="1:2" x14ac:dyDescent="0.25">
      <c r="A113" s="54" t="s">
        <v>7522</v>
      </c>
      <c r="B113" s="54" t="s">
        <v>10888</v>
      </c>
    </row>
    <row r="114" spans="1:2" x14ac:dyDescent="0.25">
      <c r="A114" s="53" t="s">
        <v>7523</v>
      </c>
      <c r="B114" s="53" t="s">
        <v>10889</v>
      </c>
    </row>
    <row r="115" spans="1:2" x14ac:dyDescent="0.25">
      <c r="A115" s="54" t="s">
        <v>7524</v>
      </c>
      <c r="B115" s="54" t="s">
        <v>10890</v>
      </c>
    </row>
    <row r="116" spans="1:2" x14ac:dyDescent="0.25">
      <c r="A116" s="53" t="s">
        <v>7525</v>
      </c>
      <c r="B116" s="53" t="s">
        <v>10891</v>
      </c>
    </row>
    <row r="117" spans="1:2" x14ac:dyDescent="0.25">
      <c r="A117" s="54" t="s">
        <v>7526</v>
      </c>
      <c r="B117" s="54" t="s">
        <v>10892</v>
      </c>
    </row>
    <row r="118" spans="1:2" x14ac:dyDescent="0.25">
      <c r="A118" s="53" t="s">
        <v>7527</v>
      </c>
      <c r="B118" s="53" t="s">
        <v>10875</v>
      </c>
    </row>
    <row r="119" spans="1:2" x14ac:dyDescent="0.25">
      <c r="A119" s="54" t="s">
        <v>7528</v>
      </c>
      <c r="B119" s="54" t="s">
        <v>10893</v>
      </c>
    </row>
    <row r="120" spans="1:2" x14ac:dyDescent="0.25">
      <c r="A120" s="53" t="s">
        <v>7529</v>
      </c>
      <c r="B120" s="53" t="s">
        <v>782</v>
      </c>
    </row>
    <row r="121" spans="1:2" x14ac:dyDescent="0.25">
      <c r="A121" s="54" t="s">
        <v>7530</v>
      </c>
      <c r="B121" s="54" t="s">
        <v>10894</v>
      </c>
    </row>
    <row r="122" spans="1:2" x14ac:dyDescent="0.25">
      <c r="A122" s="53" t="s">
        <v>7531</v>
      </c>
      <c r="B122" s="53" t="s">
        <v>10895</v>
      </c>
    </row>
    <row r="123" spans="1:2" x14ac:dyDescent="0.25">
      <c r="A123" s="54" t="s">
        <v>7532</v>
      </c>
      <c r="B123" s="54" t="s">
        <v>10896</v>
      </c>
    </row>
    <row r="124" spans="1:2" x14ac:dyDescent="0.25">
      <c r="A124" s="53" t="s">
        <v>7533</v>
      </c>
      <c r="B124" s="53" t="s">
        <v>10897</v>
      </c>
    </row>
    <row r="125" spans="1:2" x14ac:dyDescent="0.25">
      <c r="A125" s="54" t="s">
        <v>7534</v>
      </c>
      <c r="B125" s="54" t="s">
        <v>10898</v>
      </c>
    </row>
    <row r="126" spans="1:2" x14ac:dyDescent="0.25">
      <c r="A126" s="53" t="s">
        <v>7535</v>
      </c>
      <c r="B126" s="53" t="s">
        <v>10899</v>
      </c>
    </row>
    <row r="127" spans="1:2" x14ac:dyDescent="0.25">
      <c r="A127" s="54" t="s">
        <v>7536</v>
      </c>
      <c r="B127" s="54" t="s">
        <v>10900</v>
      </c>
    </row>
    <row r="128" spans="1:2" x14ac:dyDescent="0.25">
      <c r="A128" s="53" t="s">
        <v>7537</v>
      </c>
      <c r="B128" s="53" t="s">
        <v>10901</v>
      </c>
    </row>
    <row r="129" spans="1:2" x14ac:dyDescent="0.25">
      <c r="A129" s="54" t="s">
        <v>7538</v>
      </c>
      <c r="B129" s="54" t="s">
        <v>10902</v>
      </c>
    </row>
    <row r="130" spans="1:2" x14ac:dyDescent="0.25">
      <c r="A130" s="53" t="s">
        <v>7539</v>
      </c>
      <c r="B130" s="53" t="s">
        <v>10903</v>
      </c>
    </row>
    <row r="131" spans="1:2" x14ac:dyDescent="0.25">
      <c r="A131" s="54" t="s">
        <v>7540</v>
      </c>
      <c r="B131" s="54" t="s">
        <v>10803</v>
      </c>
    </row>
    <row r="132" spans="1:2" x14ac:dyDescent="0.25">
      <c r="A132" s="53" t="s">
        <v>7541</v>
      </c>
      <c r="B132" s="53" t="s">
        <v>10904</v>
      </c>
    </row>
    <row r="133" spans="1:2" x14ac:dyDescent="0.25">
      <c r="A133" s="54" t="s">
        <v>7542</v>
      </c>
      <c r="B133" s="54" t="s">
        <v>10905</v>
      </c>
    </row>
    <row r="134" spans="1:2" x14ac:dyDescent="0.25">
      <c r="A134" s="53" t="s">
        <v>7543</v>
      </c>
      <c r="B134" s="53" t="s">
        <v>10906</v>
      </c>
    </row>
    <row r="135" spans="1:2" x14ac:dyDescent="0.25">
      <c r="A135" s="53" t="s">
        <v>7544</v>
      </c>
      <c r="B135" s="53" t="s">
        <v>10890</v>
      </c>
    </row>
    <row r="136" spans="1:2" x14ac:dyDescent="0.25">
      <c r="A136" s="54" t="s">
        <v>7545</v>
      </c>
      <c r="B136" s="54" t="s">
        <v>10907</v>
      </c>
    </row>
    <row r="137" spans="1:2" x14ac:dyDescent="0.25">
      <c r="A137" s="53" t="s">
        <v>7546</v>
      </c>
      <c r="B137" s="53" t="s">
        <v>10908</v>
      </c>
    </row>
    <row r="138" spans="1:2" x14ac:dyDescent="0.25">
      <c r="A138" s="54" t="s">
        <v>7547</v>
      </c>
      <c r="B138" s="54" t="s">
        <v>10909</v>
      </c>
    </row>
    <row r="139" spans="1:2" x14ac:dyDescent="0.25">
      <c r="A139" s="53" t="s">
        <v>7548</v>
      </c>
      <c r="B139" s="53" t="s">
        <v>10910</v>
      </c>
    </row>
    <row r="140" spans="1:2" x14ac:dyDescent="0.25">
      <c r="A140" s="54" t="s">
        <v>7549</v>
      </c>
      <c r="B140" s="54" t="s">
        <v>10800</v>
      </c>
    </row>
    <row r="141" spans="1:2" x14ac:dyDescent="0.25">
      <c r="A141" s="53" t="s">
        <v>7550</v>
      </c>
      <c r="B141" s="53" t="s">
        <v>10911</v>
      </c>
    </row>
    <row r="142" spans="1:2" x14ac:dyDescent="0.25">
      <c r="A142" s="54" t="s">
        <v>7551</v>
      </c>
      <c r="B142" s="54" t="s">
        <v>10912</v>
      </c>
    </row>
    <row r="143" spans="1:2" x14ac:dyDescent="0.25">
      <c r="A143" s="53" t="s">
        <v>7552</v>
      </c>
      <c r="B143" s="53" t="s">
        <v>10913</v>
      </c>
    </row>
    <row r="144" spans="1:2" x14ac:dyDescent="0.25">
      <c r="A144" s="54" t="s">
        <v>7553</v>
      </c>
      <c r="B144" s="54" t="s">
        <v>10914</v>
      </c>
    </row>
    <row r="145" spans="1:2" x14ac:dyDescent="0.25">
      <c r="A145" s="53" t="s">
        <v>7554</v>
      </c>
      <c r="B145" s="53" t="s">
        <v>10915</v>
      </c>
    </row>
    <row r="146" spans="1:2" x14ac:dyDescent="0.25">
      <c r="A146" s="54" t="s">
        <v>7555</v>
      </c>
      <c r="B146" s="54" t="s">
        <v>10916</v>
      </c>
    </row>
    <row r="147" spans="1:2" x14ac:dyDescent="0.25">
      <c r="A147" s="53" t="s">
        <v>7556</v>
      </c>
      <c r="B147" s="53" t="s">
        <v>10917</v>
      </c>
    </row>
    <row r="148" spans="1:2" x14ac:dyDescent="0.25">
      <c r="A148" s="54" t="s">
        <v>7557</v>
      </c>
      <c r="B148" s="54" t="s">
        <v>10918</v>
      </c>
    </row>
    <row r="149" spans="1:2" x14ac:dyDescent="0.25">
      <c r="A149" s="53" t="s">
        <v>7558</v>
      </c>
      <c r="B149" s="53" t="s">
        <v>10919</v>
      </c>
    </row>
    <row r="150" spans="1:2" x14ac:dyDescent="0.25">
      <c r="A150" s="54" t="s">
        <v>7559</v>
      </c>
      <c r="B150" s="54" t="s">
        <v>10920</v>
      </c>
    </row>
    <row r="151" spans="1:2" x14ac:dyDescent="0.25">
      <c r="A151" s="53" t="s">
        <v>7560</v>
      </c>
      <c r="B151" s="53" t="s">
        <v>10921</v>
      </c>
    </row>
    <row r="152" spans="1:2" x14ac:dyDescent="0.25">
      <c r="A152" s="54" t="s">
        <v>7561</v>
      </c>
      <c r="B152" s="54" t="s">
        <v>779</v>
      </c>
    </row>
    <row r="153" spans="1:2" x14ac:dyDescent="0.25">
      <c r="A153" s="53" t="s">
        <v>7562</v>
      </c>
      <c r="B153" s="53" t="s">
        <v>10922</v>
      </c>
    </row>
    <row r="154" spans="1:2" x14ac:dyDescent="0.25">
      <c r="A154" s="54" t="s">
        <v>7563</v>
      </c>
      <c r="B154" s="54" t="s">
        <v>10923</v>
      </c>
    </row>
    <row r="155" spans="1:2" x14ac:dyDescent="0.25">
      <c r="A155" s="53" t="s">
        <v>7564</v>
      </c>
      <c r="B155" s="53" t="s">
        <v>10924</v>
      </c>
    </row>
    <row r="156" spans="1:2" x14ac:dyDescent="0.25">
      <c r="A156" s="54" t="s">
        <v>7565</v>
      </c>
      <c r="B156" s="54" t="s">
        <v>10925</v>
      </c>
    </row>
    <row r="157" spans="1:2" x14ac:dyDescent="0.25">
      <c r="A157" s="53" t="s">
        <v>7566</v>
      </c>
      <c r="B157" s="53" t="s">
        <v>10926</v>
      </c>
    </row>
    <row r="158" spans="1:2" x14ac:dyDescent="0.25">
      <c r="A158" s="54" t="s">
        <v>7567</v>
      </c>
      <c r="B158" s="54" t="s">
        <v>10927</v>
      </c>
    </row>
    <row r="159" spans="1:2" x14ac:dyDescent="0.25">
      <c r="A159" s="53" t="s">
        <v>7568</v>
      </c>
      <c r="B159" s="53" t="s">
        <v>10928</v>
      </c>
    </row>
    <row r="160" spans="1:2" x14ac:dyDescent="0.25">
      <c r="A160" s="54" t="s">
        <v>7569</v>
      </c>
      <c r="B160" s="54" t="s">
        <v>10929</v>
      </c>
    </row>
    <row r="161" spans="1:2" x14ac:dyDescent="0.25">
      <c r="A161" s="53" t="s">
        <v>7570</v>
      </c>
      <c r="B161" s="53" t="s">
        <v>10930</v>
      </c>
    </row>
    <row r="162" spans="1:2" x14ac:dyDescent="0.25">
      <c r="A162" s="54" t="s">
        <v>7571</v>
      </c>
      <c r="B162" s="54" t="s">
        <v>10931</v>
      </c>
    </row>
    <row r="163" spans="1:2" x14ac:dyDescent="0.25">
      <c r="A163" s="53" t="s">
        <v>7572</v>
      </c>
      <c r="B163" s="53" t="s">
        <v>10932</v>
      </c>
    </row>
    <row r="164" spans="1:2" x14ac:dyDescent="0.25">
      <c r="A164" s="54" t="s">
        <v>7573</v>
      </c>
      <c r="B164" s="54" t="s">
        <v>10933</v>
      </c>
    </row>
    <row r="165" spans="1:2" x14ac:dyDescent="0.25">
      <c r="A165" s="53" t="s">
        <v>7574</v>
      </c>
      <c r="B165" s="53" t="s">
        <v>10934</v>
      </c>
    </row>
    <row r="166" spans="1:2" x14ac:dyDescent="0.25">
      <c r="A166" s="54" t="s">
        <v>7575</v>
      </c>
      <c r="B166" s="54" t="s">
        <v>10935</v>
      </c>
    </row>
    <row r="167" spans="1:2" x14ac:dyDescent="0.25">
      <c r="A167" s="53" t="s">
        <v>7576</v>
      </c>
      <c r="B167" s="53" t="s">
        <v>10936</v>
      </c>
    </row>
    <row r="168" spans="1:2" x14ac:dyDescent="0.25">
      <c r="A168" s="54" t="s">
        <v>7577</v>
      </c>
      <c r="B168" s="54" t="s">
        <v>10937</v>
      </c>
    </row>
    <row r="169" spans="1:2" x14ac:dyDescent="0.25">
      <c r="A169" s="53" t="s">
        <v>7578</v>
      </c>
      <c r="B169" s="53" t="s">
        <v>10938</v>
      </c>
    </row>
    <row r="170" spans="1:2" x14ac:dyDescent="0.25">
      <c r="A170" s="54" t="s">
        <v>7579</v>
      </c>
      <c r="B170" s="54" t="s">
        <v>10939</v>
      </c>
    </row>
    <row r="171" spans="1:2" x14ac:dyDescent="0.25">
      <c r="A171" s="53" t="s">
        <v>7580</v>
      </c>
      <c r="B171" s="53" t="s">
        <v>10940</v>
      </c>
    </row>
    <row r="172" spans="1:2" x14ac:dyDescent="0.25">
      <c r="A172" s="54" t="s">
        <v>7581</v>
      </c>
      <c r="B172" s="54" t="s">
        <v>10941</v>
      </c>
    </row>
    <row r="173" spans="1:2" x14ac:dyDescent="0.25">
      <c r="A173" s="53" t="s">
        <v>7582</v>
      </c>
      <c r="B173" s="53" t="s">
        <v>10942</v>
      </c>
    </row>
    <row r="174" spans="1:2" x14ac:dyDescent="0.25">
      <c r="A174" s="54" t="s">
        <v>7583</v>
      </c>
      <c r="B174" s="54" t="s">
        <v>10943</v>
      </c>
    </row>
    <row r="175" spans="1:2" x14ac:dyDescent="0.25">
      <c r="A175" s="53" t="s">
        <v>7584</v>
      </c>
      <c r="B175" s="53" t="s">
        <v>10944</v>
      </c>
    </row>
    <row r="176" spans="1:2" x14ac:dyDescent="0.25">
      <c r="A176" s="54" t="s">
        <v>7585</v>
      </c>
      <c r="B176" s="54" t="s">
        <v>10945</v>
      </c>
    </row>
    <row r="177" spans="1:2" x14ac:dyDescent="0.25">
      <c r="A177" s="53" t="s">
        <v>7586</v>
      </c>
      <c r="B177" s="53" t="s">
        <v>10946</v>
      </c>
    </row>
    <row r="178" spans="1:2" x14ac:dyDescent="0.25">
      <c r="A178" s="54" t="s">
        <v>7587</v>
      </c>
      <c r="B178" s="54" t="s">
        <v>10947</v>
      </c>
    </row>
    <row r="179" spans="1:2" x14ac:dyDescent="0.25">
      <c r="A179" s="53" t="s">
        <v>7588</v>
      </c>
      <c r="B179" s="53" t="s">
        <v>10948</v>
      </c>
    </row>
    <row r="180" spans="1:2" x14ac:dyDescent="0.25">
      <c r="A180" s="54" t="s">
        <v>7589</v>
      </c>
      <c r="B180" s="54" t="s">
        <v>10949</v>
      </c>
    </row>
    <row r="181" spans="1:2" x14ac:dyDescent="0.25">
      <c r="A181" s="53" t="s">
        <v>7590</v>
      </c>
      <c r="B181" s="53" t="s">
        <v>10950</v>
      </c>
    </row>
    <row r="182" spans="1:2" x14ac:dyDescent="0.25">
      <c r="A182" s="54" t="s">
        <v>7591</v>
      </c>
      <c r="B182" s="54" t="s">
        <v>10951</v>
      </c>
    </row>
    <row r="183" spans="1:2" x14ac:dyDescent="0.25">
      <c r="A183" s="53" t="s">
        <v>7592</v>
      </c>
      <c r="B183" s="53" t="s">
        <v>10952</v>
      </c>
    </row>
    <row r="184" spans="1:2" x14ac:dyDescent="0.25">
      <c r="A184" s="54" t="s">
        <v>7593</v>
      </c>
      <c r="B184" s="54" t="s">
        <v>10953</v>
      </c>
    </row>
    <row r="185" spans="1:2" x14ac:dyDescent="0.25">
      <c r="A185" s="53" t="s">
        <v>7594</v>
      </c>
      <c r="B185" s="53" t="s">
        <v>10954</v>
      </c>
    </row>
    <row r="186" spans="1:2" x14ac:dyDescent="0.25">
      <c r="A186" s="54" t="s">
        <v>7595</v>
      </c>
      <c r="B186" s="54" t="s">
        <v>10955</v>
      </c>
    </row>
    <row r="187" spans="1:2" x14ac:dyDescent="0.25">
      <c r="A187" s="53" t="s">
        <v>7596</v>
      </c>
      <c r="B187" s="53" t="s">
        <v>10956</v>
      </c>
    </row>
    <row r="188" spans="1:2" x14ac:dyDescent="0.25">
      <c r="A188" s="54" t="s">
        <v>7597</v>
      </c>
      <c r="B188" s="54" t="s">
        <v>10957</v>
      </c>
    </row>
    <row r="189" spans="1:2" x14ac:dyDescent="0.25">
      <c r="A189" s="53" t="s">
        <v>7598</v>
      </c>
      <c r="B189" s="53" t="s">
        <v>10958</v>
      </c>
    </row>
    <row r="190" spans="1:2" x14ac:dyDescent="0.25">
      <c r="A190" s="54" t="s">
        <v>7599</v>
      </c>
      <c r="B190" s="54" t="s">
        <v>10959</v>
      </c>
    </row>
    <row r="191" spans="1:2" x14ac:dyDescent="0.25">
      <c r="A191" s="53" t="s">
        <v>7600</v>
      </c>
      <c r="B191" s="53" t="s">
        <v>10960</v>
      </c>
    </row>
    <row r="192" spans="1:2" x14ac:dyDescent="0.25">
      <c r="A192" s="54" t="s">
        <v>7601</v>
      </c>
      <c r="B192" s="54" t="s">
        <v>10961</v>
      </c>
    </row>
    <row r="193" spans="1:2" x14ac:dyDescent="0.25">
      <c r="A193" s="53" t="s">
        <v>7602</v>
      </c>
      <c r="B193" s="53" t="s">
        <v>10962</v>
      </c>
    </row>
    <row r="194" spans="1:2" x14ac:dyDescent="0.25">
      <c r="A194" s="54" t="s">
        <v>7603</v>
      </c>
      <c r="B194" s="54" t="s">
        <v>10963</v>
      </c>
    </row>
    <row r="195" spans="1:2" x14ac:dyDescent="0.25">
      <c r="A195" s="53" t="s">
        <v>7604</v>
      </c>
      <c r="B195" s="53" t="s">
        <v>10964</v>
      </c>
    </row>
    <row r="196" spans="1:2" x14ac:dyDescent="0.25">
      <c r="A196" s="54" t="s">
        <v>7605</v>
      </c>
      <c r="B196" s="54" t="s">
        <v>10965</v>
      </c>
    </row>
    <row r="197" spans="1:2" x14ac:dyDescent="0.25">
      <c r="A197" s="53" t="s">
        <v>7606</v>
      </c>
      <c r="B197" s="53" t="s">
        <v>10966</v>
      </c>
    </row>
    <row r="198" spans="1:2" x14ac:dyDescent="0.25">
      <c r="A198" s="54" t="s">
        <v>7607</v>
      </c>
      <c r="B198" s="54" t="s">
        <v>10967</v>
      </c>
    </row>
    <row r="199" spans="1:2" x14ac:dyDescent="0.25">
      <c r="A199" s="53" t="s">
        <v>7608</v>
      </c>
      <c r="B199" s="53" t="s">
        <v>10968</v>
      </c>
    </row>
    <row r="200" spans="1:2" x14ac:dyDescent="0.25">
      <c r="A200" s="54" t="s">
        <v>7609</v>
      </c>
      <c r="B200" s="54" t="s">
        <v>10969</v>
      </c>
    </row>
    <row r="201" spans="1:2" x14ac:dyDescent="0.25">
      <c r="A201" s="53" t="s">
        <v>7610</v>
      </c>
      <c r="B201" s="53" t="s">
        <v>10970</v>
      </c>
    </row>
    <row r="202" spans="1:2" x14ac:dyDescent="0.25">
      <c r="A202" s="54" t="s">
        <v>7611</v>
      </c>
      <c r="B202" s="54" t="s">
        <v>10971</v>
      </c>
    </row>
    <row r="203" spans="1:2" x14ac:dyDescent="0.25">
      <c r="A203" s="53" t="s">
        <v>7612</v>
      </c>
      <c r="B203" s="53" t="s">
        <v>10972</v>
      </c>
    </row>
    <row r="204" spans="1:2" x14ac:dyDescent="0.25">
      <c r="A204" s="54" t="s">
        <v>7613</v>
      </c>
      <c r="B204" s="54" t="s">
        <v>10973</v>
      </c>
    </row>
    <row r="205" spans="1:2" x14ac:dyDescent="0.25">
      <c r="A205" s="53" t="s">
        <v>7614</v>
      </c>
      <c r="B205" s="53" t="s">
        <v>10974</v>
      </c>
    </row>
    <row r="206" spans="1:2" x14ac:dyDescent="0.25">
      <c r="A206" s="54" t="s">
        <v>7615</v>
      </c>
      <c r="B206" s="54" t="s">
        <v>10975</v>
      </c>
    </row>
    <row r="207" spans="1:2" x14ac:dyDescent="0.25">
      <c r="A207" s="53" t="s">
        <v>7616</v>
      </c>
      <c r="B207" s="53" t="s">
        <v>10976</v>
      </c>
    </row>
    <row r="208" spans="1:2" x14ac:dyDescent="0.25">
      <c r="A208" s="54" t="s">
        <v>7617</v>
      </c>
      <c r="B208" s="54" t="s">
        <v>10977</v>
      </c>
    </row>
    <row r="209" spans="1:2" x14ac:dyDescent="0.25">
      <c r="A209" s="53" t="s">
        <v>7618</v>
      </c>
      <c r="B209" s="53" t="s">
        <v>10978</v>
      </c>
    </row>
    <row r="210" spans="1:2" x14ac:dyDescent="0.25">
      <c r="A210" s="54" t="s">
        <v>7619</v>
      </c>
      <c r="B210" s="54" t="s">
        <v>10979</v>
      </c>
    </row>
    <row r="211" spans="1:2" x14ac:dyDescent="0.25">
      <c r="A211" s="53" t="s">
        <v>7620</v>
      </c>
      <c r="B211" s="53" t="s">
        <v>10980</v>
      </c>
    </row>
    <row r="212" spans="1:2" x14ac:dyDescent="0.25">
      <c r="A212" s="54" t="s">
        <v>7621</v>
      </c>
      <c r="B212" s="54" t="s">
        <v>10981</v>
      </c>
    </row>
    <row r="213" spans="1:2" x14ac:dyDescent="0.25">
      <c r="A213" s="53" t="s">
        <v>7622</v>
      </c>
      <c r="B213" s="53" t="s">
        <v>10982</v>
      </c>
    </row>
    <row r="214" spans="1:2" x14ac:dyDescent="0.25">
      <c r="A214" s="54" t="s">
        <v>7623</v>
      </c>
      <c r="B214" s="54" t="s">
        <v>10983</v>
      </c>
    </row>
    <row r="215" spans="1:2" x14ac:dyDescent="0.25">
      <c r="A215" s="53" t="s">
        <v>7624</v>
      </c>
      <c r="B215" s="53" t="s">
        <v>10984</v>
      </c>
    </row>
    <row r="216" spans="1:2" x14ac:dyDescent="0.25">
      <c r="A216" s="54" t="s">
        <v>7625</v>
      </c>
      <c r="B216" s="54" t="s">
        <v>10985</v>
      </c>
    </row>
    <row r="217" spans="1:2" x14ac:dyDescent="0.25">
      <c r="A217" s="53" t="s">
        <v>7626</v>
      </c>
      <c r="B217" s="53" t="s">
        <v>10986</v>
      </c>
    </row>
    <row r="218" spans="1:2" x14ac:dyDescent="0.25">
      <c r="A218" s="54" t="s">
        <v>7627</v>
      </c>
      <c r="B218" s="54" t="s">
        <v>10933</v>
      </c>
    </row>
    <row r="219" spans="1:2" x14ac:dyDescent="0.25">
      <c r="A219" s="53" t="s">
        <v>7628</v>
      </c>
      <c r="B219" s="53" t="s">
        <v>10987</v>
      </c>
    </row>
    <row r="220" spans="1:2" x14ac:dyDescent="0.25">
      <c r="A220" s="54" t="s">
        <v>7629</v>
      </c>
      <c r="B220" s="54" t="s">
        <v>10988</v>
      </c>
    </row>
    <row r="221" spans="1:2" x14ac:dyDescent="0.25">
      <c r="A221" s="53" t="s">
        <v>7630</v>
      </c>
      <c r="B221" s="53" t="s">
        <v>10989</v>
      </c>
    </row>
    <row r="222" spans="1:2" x14ac:dyDescent="0.25">
      <c r="A222" s="54" t="s">
        <v>7631</v>
      </c>
      <c r="B222" s="54" t="s">
        <v>10990</v>
      </c>
    </row>
    <row r="223" spans="1:2" x14ac:dyDescent="0.25">
      <c r="A223" s="53" t="s">
        <v>7632</v>
      </c>
      <c r="B223" s="53" t="s">
        <v>10991</v>
      </c>
    </row>
    <row r="224" spans="1:2" x14ac:dyDescent="0.25">
      <c r="A224" s="54" t="s">
        <v>7633</v>
      </c>
      <c r="B224" s="54" t="s">
        <v>10992</v>
      </c>
    </row>
    <row r="225" spans="1:2" x14ac:dyDescent="0.25">
      <c r="A225" s="53" t="s">
        <v>7634</v>
      </c>
      <c r="B225" s="53" t="s">
        <v>10993</v>
      </c>
    </row>
    <row r="226" spans="1:2" x14ac:dyDescent="0.25">
      <c r="A226" s="54" t="s">
        <v>7635</v>
      </c>
      <c r="B226" s="54" t="s">
        <v>10994</v>
      </c>
    </row>
    <row r="227" spans="1:2" x14ac:dyDescent="0.25">
      <c r="A227" s="53" t="s">
        <v>7636</v>
      </c>
      <c r="B227" s="53" t="s">
        <v>10995</v>
      </c>
    </row>
    <row r="228" spans="1:2" x14ac:dyDescent="0.25">
      <c r="A228" s="54" t="s">
        <v>7637</v>
      </c>
      <c r="B228" s="54" t="s">
        <v>10996</v>
      </c>
    </row>
    <row r="229" spans="1:2" x14ac:dyDescent="0.25">
      <c r="A229" s="53" t="s">
        <v>7638</v>
      </c>
      <c r="B229" s="53" t="s">
        <v>10997</v>
      </c>
    </row>
    <row r="230" spans="1:2" x14ac:dyDescent="0.25">
      <c r="A230" s="54" t="s">
        <v>7639</v>
      </c>
      <c r="B230" s="54" t="s">
        <v>10998</v>
      </c>
    </row>
    <row r="231" spans="1:2" x14ac:dyDescent="0.25">
      <c r="A231" s="53" t="s">
        <v>7640</v>
      </c>
      <c r="B231" s="53" t="s">
        <v>10999</v>
      </c>
    </row>
    <row r="232" spans="1:2" x14ac:dyDescent="0.25">
      <c r="A232" s="54" t="s">
        <v>7641</v>
      </c>
      <c r="B232" s="54" t="s">
        <v>11000</v>
      </c>
    </row>
    <row r="233" spans="1:2" x14ac:dyDescent="0.25">
      <c r="A233" s="53" t="s">
        <v>7642</v>
      </c>
      <c r="B233" s="53" t="s">
        <v>11001</v>
      </c>
    </row>
    <row r="234" spans="1:2" x14ac:dyDescent="0.25">
      <c r="A234" s="54" t="s">
        <v>7643</v>
      </c>
      <c r="B234" s="54" t="s">
        <v>11002</v>
      </c>
    </row>
    <row r="235" spans="1:2" x14ac:dyDescent="0.25">
      <c r="A235" s="53" t="s">
        <v>7644</v>
      </c>
      <c r="B235" s="53" t="s">
        <v>11003</v>
      </c>
    </row>
    <row r="236" spans="1:2" x14ac:dyDescent="0.25">
      <c r="A236" s="54" t="s">
        <v>7645</v>
      </c>
      <c r="B236" s="54" t="s">
        <v>11004</v>
      </c>
    </row>
    <row r="237" spans="1:2" x14ac:dyDescent="0.25">
      <c r="A237" s="53" t="s">
        <v>7646</v>
      </c>
      <c r="B237" s="53" t="s">
        <v>11005</v>
      </c>
    </row>
    <row r="238" spans="1:2" x14ac:dyDescent="0.25">
      <c r="A238" s="54" t="s">
        <v>7647</v>
      </c>
      <c r="B238" s="54" t="s">
        <v>11006</v>
      </c>
    </row>
    <row r="239" spans="1:2" x14ac:dyDescent="0.25">
      <c r="A239" s="53" t="s">
        <v>7648</v>
      </c>
      <c r="B239" s="53" t="s">
        <v>11007</v>
      </c>
    </row>
    <row r="240" spans="1:2" x14ac:dyDescent="0.25">
      <c r="A240" s="54" t="s">
        <v>7649</v>
      </c>
      <c r="B240" s="54" t="s">
        <v>11008</v>
      </c>
    </row>
    <row r="241" spans="1:2" x14ac:dyDescent="0.25">
      <c r="A241" s="53" t="s">
        <v>7650</v>
      </c>
      <c r="B241" s="53" t="s">
        <v>11009</v>
      </c>
    </row>
    <row r="242" spans="1:2" x14ac:dyDescent="0.25">
      <c r="A242" s="54" t="s">
        <v>7651</v>
      </c>
      <c r="B242" s="54" t="s">
        <v>11010</v>
      </c>
    </row>
    <row r="243" spans="1:2" x14ac:dyDescent="0.25">
      <c r="A243" s="53" t="s">
        <v>7652</v>
      </c>
      <c r="B243" s="53" t="s">
        <v>11011</v>
      </c>
    </row>
    <row r="244" spans="1:2" x14ac:dyDescent="0.25">
      <c r="A244" s="54" t="s">
        <v>7653</v>
      </c>
      <c r="B244" s="54" t="s">
        <v>11012</v>
      </c>
    </row>
    <row r="245" spans="1:2" x14ac:dyDescent="0.25">
      <c r="A245" s="53" t="s">
        <v>7654</v>
      </c>
      <c r="B245" s="53" t="s">
        <v>11013</v>
      </c>
    </row>
    <row r="246" spans="1:2" x14ac:dyDescent="0.25">
      <c r="A246" s="54" t="s">
        <v>7655</v>
      </c>
      <c r="B246" s="54" t="s">
        <v>11014</v>
      </c>
    </row>
    <row r="247" spans="1:2" x14ac:dyDescent="0.25">
      <c r="A247" s="53" t="s">
        <v>7656</v>
      </c>
      <c r="B247" s="53" t="s">
        <v>11015</v>
      </c>
    </row>
    <row r="248" spans="1:2" x14ac:dyDescent="0.25">
      <c r="A248" s="54" t="s">
        <v>7657</v>
      </c>
      <c r="B248" s="54" t="s">
        <v>11016</v>
      </c>
    </row>
    <row r="249" spans="1:2" x14ac:dyDescent="0.25">
      <c r="A249" s="53" t="s">
        <v>7658</v>
      </c>
      <c r="B249" s="53" t="s">
        <v>11017</v>
      </c>
    </row>
    <row r="250" spans="1:2" x14ac:dyDescent="0.25">
      <c r="A250" s="54" t="s">
        <v>7659</v>
      </c>
      <c r="B250" s="54" t="s">
        <v>11018</v>
      </c>
    </row>
    <row r="251" spans="1:2" x14ac:dyDescent="0.25">
      <c r="A251" s="53" t="s">
        <v>7660</v>
      </c>
      <c r="B251" s="53" t="s">
        <v>11019</v>
      </c>
    </row>
    <row r="252" spans="1:2" x14ac:dyDescent="0.25">
      <c r="A252" s="54" t="s">
        <v>7661</v>
      </c>
      <c r="B252" s="54" t="s">
        <v>11020</v>
      </c>
    </row>
    <row r="253" spans="1:2" x14ac:dyDescent="0.25">
      <c r="A253" s="53" t="s">
        <v>7662</v>
      </c>
      <c r="B253" s="53" t="s">
        <v>11021</v>
      </c>
    </row>
    <row r="254" spans="1:2" x14ac:dyDescent="0.25">
      <c r="A254" s="54" t="s">
        <v>7663</v>
      </c>
      <c r="B254" s="54" t="s">
        <v>11022</v>
      </c>
    </row>
    <row r="255" spans="1:2" x14ac:dyDescent="0.25">
      <c r="A255" s="53" t="s">
        <v>7664</v>
      </c>
      <c r="B255" s="53" t="s">
        <v>11023</v>
      </c>
    </row>
    <row r="256" spans="1:2" x14ac:dyDescent="0.25">
      <c r="A256" s="54" t="s">
        <v>7665</v>
      </c>
      <c r="B256" s="54" t="s">
        <v>11024</v>
      </c>
    </row>
    <row r="257" spans="1:2" x14ac:dyDescent="0.25">
      <c r="A257" s="53" t="s">
        <v>7666</v>
      </c>
      <c r="B257" s="53" t="s">
        <v>11025</v>
      </c>
    </row>
    <row r="258" spans="1:2" x14ac:dyDescent="0.25">
      <c r="A258" s="54" t="s">
        <v>7667</v>
      </c>
      <c r="B258" s="54" t="s">
        <v>11026</v>
      </c>
    </row>
    <row r="259" spans="1:2" x14ac:dyDescent="0.25">
      <c r="A259" s="53" t="s">
        <v>7668</v>
      </c>
      <c r="B259" s="53" t="s">
        <v>11027</v>
      </c>
    </row>
    <row r="260" spans="1:2" x14ac:dyDescent="0.25">
      <c r="A260" s="54" t="s">
        <v>7669</v>
      </c>
      <c r="B260" s="54" t="s">
        <v>11028</v>
      </c>
    </row>
    <row r="261" spans="1:2" x14ac:dyDescent="0.25">
      <c r="A261" s="53" t="s">
        <v>7670</v>
      </c>
      <c r="B261" s="53" t="s">
        <v>11029</v>
      </c>
    </row>
    <row r="262" spans="1:2" x14ac:dyDescent="0.25">
      <c r="A262" s="54" t="s">
        <v>7671</v>
      </c>
      <c r="B262" s="54" t="s">
        <v>11030</v>
      </c>
    </row>
    <row r="263" spans="1:2" x14ac:dyDescent="0.25">
      <c r="A263" s="53" t="s">
        <v>7672</v>
      </c>
      <c r="B263" s="53" t="s">
        <v>11031</v>
      </c>
    </row>
    <row r="264" spans="1:2" x14ac:dyDescent="0.25">
      <c r="A264" s="54" t="s">
        <v>7673</v>
      </c>
      <c r="B264" s="54" t="s">
        <v>11032</v>
      </c>
    </row>
    <row r="265" spans="1:2" x14ac:dyDescent="0.25">
      <c r="A265" s="53" t="s">
        <v>7674</v>
      </c>
      <c r="B265" s="53" t="s">
        <v>11033</v>
      </c>
    </row>
    <row r="266" spans="1:2" x14ac:dyDescent="0.25">
      <c r="A266" s="54" t="s">
        <v>7675</v>
      </c>
      <c r="B266" s="54" t="s">
        <v>11034</v>
      </c>
    </row>
    <row r="267" spans="1:2" x14ac:dyDescent="0.25">
      <c r="A267" s="53" t="s">
        <v>7676</v>
      </c>
      <c r="B267" s="53" t="s">
        <v>11035</v>
      </c>
    </row>
    <row r="268" spans="1:2" x14ac:dyDescent="0.25">
      <c r="A268" s="54" t="s">
        <v>7677</v>
      </c>
      <c r="B268" s="54" t="s">
        <v>11036</v>
      </c>
    </row>
    <row r="269" spans="1:2" x14ac:dyDescent="0.25">
      <c r="A269" s="53" t="s">
        <v>7678</v>
      </c>
      <c r="B269" s="53" t="s">
        <v>11037</v>
      </c>
    </row>
    <row r="270" spans="1:2" x14ac:dyDescent="0.25">
      <c r="A270" s="54" t="s">
        <v>7679</v>
      </c>
      <c r="B270" s="54" t="s">
        <v>11038</v>
      </c>
    </row>
    <row r="271" spans="1:2" x14ac:dyDescent="0.25">
      <c r="A271" s="53" t="s">
        <v>7680</v>
      </c>
      <c r="B271" s="53" t="s">
        <v>11039</v>
      </c>
    </row>
    <row r="272" spans="1:2" x14ac:dyDescent="0.25">
      <c r="A272" s="54" t="s">
        <v>7681</v>
      </c>
      <c r="B272" s="54" t="s">
        <v>11040</v>
      </c>
    </row>
    <row r="273" spans="1:2" x14ac:dyDescent="0.25">
      <c r="A273" s="53" t="s">
        <v>7682</v>
      </c>
      <c r="B273" s="53" t="s">
        <v>11041</v>
      </c>
    </row>
    <row r="274" spans="1:2" x14ac:dyDescent="0.25">
      <c r="A274" s="54" t="s">
        <v>7683</v>
      </c>
      <c r="B274" s="54" t="s">
        <v>11042</v>
      </c>
    </row>
    <row r="275" spans="1:2" x14ac:dyDescent="0.25">
      <c r="A275" s="53" t="s">
        <v>7684</v>
      </c>
      <c r="B275" s="53" t="s">
        <v>11043</v>
      </c>
    </row>
    <row r="276" spans="1:2" x14ac:dyDescent="0.25">
      <c r="A276" s="54" t="s">
        <v>7685</v>
      </c>
      <c r="B276" s="54" t="s">
        <v>11044</v>
      </c>
    </row>
    <row r="277" spans="1:2" x14ac:dyDescent="0.25">
      <c r="A277" s="53" t="s">
        <v>7686</v>
      </c>
      <c r="B277" s="53" t="s">
        <v>11045</v>
      </c>
    </row>
    <row r="278" spans="1:2" x14ac:dyDescent="0.25">
      <c r="A278" s="54" t="s">
        <v>7687</v>
      </c>
      <c r="B278" s="54" t="s">
        <v>11046</v>
      </c>
    </row>
    <row r="279" spans="1:2" x14ac:dyDescent="0.25">
      <c r="A279" s="53" t="s">
        <v>7688</v>
      </c>
      <c r="B279" s="53" t="s">
        <v>11047</v>
      </c>
    </row>
    <row r="280" spans="1:2" x14ac:dyDescent="0.25">
      <c r="A280" s="54" t="s">
        <v>7689</v>
      </c>
      <c r="B280" s="54" t="s">
        <v>11048</v>
      </c>
    </row>
    <row r="281" spans="1:2" x14ac:dyDescent="0.25">
      <c r="A281" s="53" t="s">
        <v>7690</v>
      </c>
      <c r="B281" s="53" t="s">
        <v>11049</v>
      </c>
    </row>
    <row r="282" spans="1:2" x14ac:dyDescent="0.25">
      <c r="A282" s="54" t="s">
        <v>7691</v>
      </c>
      <c r="B282" s="54" t="s">
        <v>11050</v>
      </c>
    </row>
    <row r="283" spans="1:2" x14ac:dyDescent="0.25">
      <c r="A283" s="53" t="s">
        <v>7692</v>
      </c>
      <c r="B283" s="53" t="s">
        <v>11051</v>
      </c>
    </row>
    <row r="284" spans="1:2" x14ac:dyDescent="0.25">
      <c r="A284" s="54" t="s">
        <v>7693</v>
      </c>
      <c r="B284" s="54" t="s">
        <v>11052</v>
      </c>
    </row>
    <row r="285" spans="1:2" x14ac:dyDescent="0.25">
      <c r="A285" s="53" t="s">
        <v>7694</v>
      </c>
      <c r="B285" s="53" t="s">
        <v>11053</v>
      </c>
    </row>
    <row r="286" spans="1:2" x14ac:dyDescent="0.25">
      <c r="A286" s="54" t="s">
        <v>7695</v>
      </c>
      <c r="B286" s="54" t="s">
        <v>11054</v>
      </c>
    </row>
    <row r="287" spans="1:2" x14ac:dyDescent="0.25">
      <c r="A287" s="53" t="s">
        <v>7696</v>
      </c>
      <c r="B287" s="53" t="s">
        <v>11055</v>
      </c>
    </row>
    <row r="288" spans="1:2" x14ac:dyDescent="0.25">
      <c r="A288" s="54" t="s">
        <v>7697</v>
      </c>
      <c r="B288" s="54" t="s">
        <v>11056</v>
      </c>
    </row>
    <row r="289" spans="1:2" x14ac:dyDescent="0.25">
      <c r="A289" s="53" t="s">
        <v>7698</v>
      </c>
      <c r="B289" s="53" t="s">
        <v>11057</v>
      </c>
    </row>
    <row r="290" spans="1:2" x14ac:dyDescent="0.25">
      <c r="A290" s="54" t="s">
        <v>7699</v>
      </c>
      <c r="B290" s="54" t="s">
        <v>11058</v>
      </c>
    </row>
    <row r="291" spans="1:2" x14ac:dyDescent="0.25">
      <c r="A291" s="53" t="s">
        <v>7700</v>
      </c>
      <c r="B291" s="53" t="s">
        <v>11059</v>
      </c>
    </row>
    <row r="292" spans="1:2" x14ac:dyDescent="0.25">
      <c r="A292" s="54" t="s">
        <v>7701</v>
      </c>
      <c r="B292" s="54" t="s">
        <v>11060</v>
      </c>
    </row>
    <row r="293" spans="1:2" x14ac:dyDescent="0.25">
      <c r="A293" s="53" t="s">
        <v>7702</v>
      </c>
      <c r="B293" s="53" t="s">
        <v>11061</v>
      </c>
    </row>
    <row r="294" spans="1:2" x14ac:dyDescent="0.25">
      <c r="A294" s="54" t="s">
        <v>7703</v>
      </c>
      <c r="B294" s="54" t="s">
        <v>11062</v>
      </c>
    </row>
    <row r="295" spans="1:2" x14ac:dyDescent="0.25">
      <c r="A295" s="53" t="s">
        <v>7704</v>
      </c>
      <c r="B295" s="53" t="s">
        <v>11063</v>
      </c>
    </row>
    <row r="296" spans="1:2" x14ac:dyDescent="0.25">
      <c r="A296" s="54" t="s">
        <v>7705</v>
      </c>
      <c r="B296" s="54" t="s">
        <v>11064</v>
      </c>
    </row>
    <row r="297" spans="1:2" x14ac:dyDescent="0.25">
      <c r="A297" s="53" t="s">
        <v>7706</v>
      </c>
      <c r="B297" s="53" t="s">
        <v>11065</v>
      </c>
    </row>
    <row r="298" spans="1:2" x14ac:dyDescent="0.25">
      <c r="A298" s="54" t="s">
        <v>7707</v>
      </c>
      <c r="B298" s="54" t="s">
        <v>11066</v>
      </c>
    </row>
    <row r="299" spans="1:2" x14ac:dyDescent="0.25">
      <c r="A299" s="53" t="s">
        <v>7708</v>
      </c>
      <c r="B299" s="53" t="s">
        <v>11067</v>
      </c>
    </row>
    <row r="300" spans="1:2" x14ac:dyDescent="0.25">
      <c r="A300" s="54" t="s">
        <v>7709</v>
      </c>
      <c r="B300" s="54" t="s">
        <v>11068</v>
      </c>
    </row>
    <row r="301" spans="1:2" x14ac:dyDescent="0.25">
      <c r="A301" s="53" t="s">
        <v>7710</v>
      </c>
      <c r="B301" s="53" t="s">
        <v>11069</v>
      </c>
    </row>
    <row r="302" spans="1:2" x14ac:dyDescent="0.25">
      <c r="A302" s="54" t="s">
        <v>7711</v>
      </c>
      <c r="B302" s="54" t="s">
        <v>11070</v>
      </c>
    </row>
    <row r="303" spans="1:2" x14ac:dyDescent="0.25">
      <c r="A303" s="53" t="s">
        <v>7712</v>
      </c>
      <c r="B303" s="53" t="s">
        <v>11071</v>
      </c>
    </row>
    <row r="304" spans="1:2" x14ac:dyDescent="0.25">
      <c r="A304" s="54" t="s">
        <v>7713</v>
      </c>
      <c r="B304" s="54" t="s">
        <v>11072</v>
      </c>
    </row>
    <row r="305" spans="1:2" x14ac:dyDescent="0.25">
      <c r="A305" s="53" t="s">
        <v>7714</v>
      </c>
      <c r="B305" s="53" t="s">
        <v>11073</v>
      </c>
    </row>
    <row r="306" spans="1:2" x14ac:dyDescent="0.25">
      <c r="A306" s="54" t="s">
        <v>7715</v>
      </c>
      <c r="B306" s="54" t="s">
        <v>11074</v>
      </c>
    </row>
    <row r="307" spans="1:2" x14ac:dyDescent="0.25">
      <c r="A307" s="53" t="s">
        <v>7716</v>
      </c>
      <c r="B307" s="53" t="s">
        <v>11075</v>
      </c>
    </row>
    <row r="308" spans="1:2" x14ac:dyDescent="0.25">
      <c r="A308" s="54" t="s">
        <v>7717</v>
      </c>
      <c r="B308" s="54" t="s">
        <v>11076</v>
      </c>
    </row>
    <row r="309" spans="1:2" x14ac:dyDescent="0.25">
      <c r="A309" s="53" t="s">
        <v>7718</v>
      </c>
      <c r="B309" s="53" t="s">
        <v>11077</v>
      </c>
    </row>
    <row r="310" spans="1:2" x14ac:dyDescent="0.25">
      <c r="A310" s="54" t="s">
        <v>7719</v>
      </c>
      <c r="B310" s="54" t="s">
        <v>11078</v>
      </c>
    </row>
    <row r="311" spans="1:2" x14ac:dyDescent="0.25">
      <c r="A311" s="53" t="s">
        <v>7720</v>
      </c>
      <c r="B311" s="53" t="s">
        <v>11079</v>
      </c>
    </row>
    <row r="312" spans="1:2" x14ac:dyDescent="0.25">
      <c r="A312" s="54" t="s">
        <v>7721</v>
      </c>
      <c r="B312" s="54" t="s">
        <v>11080</v>
      </c>
    </row>
    <row r="313" spans="1:2" x14ac:dyDescent="0.25">
      <c r="A313" s="53" t="s">
        <v>7722</v>
      </c>
      <c r="B313" s="53" t="s">
        <v>11081</v>
      </c>
    </row>
    <row r="314" spans="1:2" x14ac:dyDescent="0.25">
      <c r="A314" s="54" t="s">
        <v>7723</v>
      </c>
      <c r="B314" s="54" t="s">
        <v>11082</v>
      </c>
    </row>
    <row r="315" spans="1:2" x14ac:dyDescent="0.25">
      <c r="A315" s="53" t="s">
        <v>7724</v>
      </c>
      <c r="B315" s="53" t="s">
        <v>11083</v>
      </c>
    </row>
    <row r="316" spans="1:2" x14ac:dyDescent="0.25">
      <c r="A316" s="54" t="s">
        <v>7725</v>
      </c>
      <c r="B316" s="54" t="s">
        <v>11084</v>
      </c>
    </row>
    <row r="317" spans="1:2" x14ac:dyDescent="0.25">
      <c r="A317" s="53" t="s">
        <v>7726</v>
      </c>
      <c r="B317" s="53" t="s">
        <v>11085</v>
      </c>
    </row>
    <row r="318" spans="1:2" x14ac:dyDescent="0.25">
      <c r="A318" s="54" t="s">
        <v>7727</v>
      </c>
      <c r="B318" s="54" t="s">
        <v>11086</v>
      </c>
    </row>
    <row r="319" spans="1:2" x14ac:dyDescent="0.25">
      <c r="A319" s="53" t="s">
        <v>7728</v>
      </c>
      <c r="B319" s="53" t="s">
        <v>11087</v>
      </c>
    </row>
    <row r="320" spans="1:2" x14ac:dyDescent="0.25">
      <c r="A320" s="54" t="s">
        <v>7729</v>
      </c>
      <c r="B320" s="54" t="s">
        <v>11088</v>
      </c>
    </row>
    <row r="321" spans="1:2" x14ac:dyDescent="0.25">
      <c r="A321" s="53" t="s">
        <v>7730</v>
      </c>
      <c r="B321" s="53" t="s">
        <v>11089</v>
      </c>
    </row>
    <row r="322" spans="1:2" x14ac:dyDescent="0.25">
      <c r="A322" s="54" t="s">
        <v>7731</v>
      </c>
      <c r="B322" s="54" t="s">
        <v>11090</v>
      </c>
    </row>
    <row r="323" spans="1:2" x14ac:dyDescent="0.25">
      <c r="A323" s="53" t="s">
        <v>7732</v>
      </c>
      <c r="B323" s="53" t="s">
        <v>11091</v>
      </c>
    </row>
    <row r="324" spans="1:2" x14ac:dyDescent="0.25">
      <c r="A324" s="54" t="s">
        <v>7733</v>
      </c>
      <c r="B324" s="54" t="s">
        <v>11092</v>
      </c>
    </row>
    <row r="325" spans="1:2" x14ac:dyDescent="0.25">
      <c r="A325" s="53" t="s">
        <v>7734</v>
      </c>
      <c r="B325" s="53" t="s">
        <v>11093</v>
      </c>
    </row>
    <row r="326" spans="1:2" x14ac:dyDescent="0.25">
      <c r="A326" s="54" t="s">
        <v>7735</v>
      </c>
      <c r="B326" s="54" t="s">
        <v>11094</v>
      </c>
    </row>
    <row r="327" spans="1:2" x14ac:dyDescent="0.25">
      <c r="A327" s="53" t="s">
        <v>7736</v>
      </c>
      <c r="B327" s="53" t="s">
        <v>11095</v>
      </c>
    </row>
    <row r="328" spans="1:2" x14ac:dyDescent="0.25">
      <c r="A328" s="54" t="s">
        <v>7737</v>
      </c>
      <c r="B328" s="54" t="s">
        <v>11096</v>
      </c>
    </row>
    <row r="329" spans="1:2" x14ac:dyDescent="0.25">
      <c r="A329" s="53" t="s">
        <v>7738</v>
      </c>
      <c r="B329" s="53" t="s">
        <v>11097</v>
      </c>
    </row>
    <row r="330" spans="1:2" x14ac:dyDescent="0.25">
      <c r="A330" s="54" t="s">
        <v>7739</v>
      </c>
      <c r="B330" s="54" t="s">
        <v>11098</v>
      </c>
    </row>
    <row r="331" spans="1:2" x14ac:dyDescent="0.25">
      <c r="A331" s="53" t="s">
        <v>7740</v>
      </c>
      <c r="B331" s="53" t="s">
        <v>11099</v>
      </c>
    </row>
    <row r="332" spans="1:2" x14ac:dyDescent="0.25">
      <c r="A332" s="54" t="s">
        <v>7741</v>
      </c>
      <c r="B332" s="54" t="s">
        <v>11100</v>
      </c>
    </row>
    <row r="333" spans="1:2" x14ac:dyDescent="0.25">
      <c r="A333" s="53" t="s">
        <v>7742</v>
      </c>
      <c r="B333" s="53" t="s">
        <v>11101</v>
      </c>
    </row>
    <row r="334" spans="1:2" x14ac:dyDescent="0.25">
      <c r="A334" s="54" t="s">
        <v>7743</v>
      </c>
      <c r="B334" s="54" t="s">
        <v>11102</v>
      </c>
    </row>
    <row r="335" spans="1:2" x14ac:dyDescent="0.25">
      <c r="A335" s="53" t="s">
        <v>7744</v>
      </c>
      <c r="B335" s="53" t="s">
        <v>11103</v>
      </c>
    </row>
    <row r="336" spans="1:2" x14ac:dyDescent="0.25">
      <c r="A336" s="54" t="s">
        <v>7745</v>
      </c>
      <c r="B336" s="54" t="s">
        <v>11104</v>
      </c>
    </row>
    <row r="337" spans="1:2" x14ac:dyDescent="0.25">
      <c r="A337" s="53" t="s">
        <v>7746</v>
      </c>
      <c r="B337" s="53" t="s">
        <v>11105</v>
      </c>
    </row>
    <row r="338" spans="1:2" x14ac:dyDescent="0.25">
      <c r="A338" s="54" t="s">
        <v>7747</v>
      </c>
      <c r="B338" s="54" t="s">
        <v>11106</v>
      </c>
    </row>
    <row r="339" spans="1:2" x14ac:dyDescent="0.25">
      <c r="A339" s="53" t="s">
        <v>7748</v>
      </c>
      <c r="B339" s="53" t="s">
        <v>11107</v>
      </c>
    </row>
    <row r="340" spans="1:2" x14ac:dyDescent="0.25">
      <c r="A340" s="54" t="s">
        <v>7749</v>
      </c>
      <c r="B340" s="54" t="s">
        <v>11108</v>
      </c>
    </row>
    <row r="341" spans="1:2" x14ac:dyDescent="0.25">
      <c r="A341" s="53" t="s">
        <v>7750</v>
      </c>
      <c r="B341" s="53" t="s">
        <v>11109</v>
      </c>
    </row>
    <row r="342" spans="1:2" x14ac:dyDescent="0.25">
      <c r="A342" s="54" t="s">
        <v>7751</v>
      </c>
      <c r="B342" s="54" t="s">
        <v>11110</v>
      </c>
    </row>
    <row r="343" spans="1:2" x14ac:dyDescent="0.25">
      <c r="A343" s="53" t="s">
        <v>7752</v>
      </c>
      <c r="B343" s="53" t="s">
        <v>11111</v>
      </c>
    </row>
    <row r="344" spans="1:2" x14ac:dyDescent="0.25">
      <c r="A344" s="54" t="s">
        <v>7753</v>
      </c>
      <c r="B344" s="54" t="s">
        <v>11112</v>
      </c>
    </row>
    <row r="345" spans="1:2" x14ac:dyDescent="0.25">
      <c r="A345" s="53" t="s">
        <v>7754</v>
      </c>
      <c r="B345" s="53" t="s">
        <v>11113</v>
      </c>
    </row>
    <row r="346" spans="1:2" x14ac:dyDescent="0.25">
      <c r="A346" s="54" t="s">
        <v>7755</v>
      </c>
      <c r="B346" s="54" t="s">
        <v>11114</v>
      </c>
    </row>
    <row r="347" spans="1:2" x14ac:dyDescent="0.25">
      <c r="A347" s="53" t="s">
        <v>7756</v>
      </c>
      <c r="B347" s="53" t="s">
        <v>11115</v>
      </c>
    </row>
    <row r="348" spans="1:2" x14ac:dyDescent="0.25">
      <c r="A348" s="54" t="s">
        <v>7757</v>
      </c>
      <c r="B348" s="54" t="s">
        <v>11116</v>
      </c>
    </row>
    <row r="349" spans="1:2" x14ac:dyDescent="0.25">
      <c r="A349" s="53" t="s">
        <v>7758</v>
      </c>
      <c r="B349" s="53" t="s">
        <v>11117</v>
      </c>
    </row>
    <row r="350" spans="1:2" x14ac:dyDescent="0.25">
      <c r="A350" s="54" t="s">
        <v>7759</v>
      </c>
      <c r="B350" s="54" t="s">
        <v>11118</v>
      </c>
    </row>
    <row r="351" spans="1:2" x14ac:dyDescent="0.25">
      <c r="A351" s="53" t="s">
        <v>7760</v>
      </c>
      <c r="B351" s="53" t="s">
        <v>11119</v>
      </c>
    </row>
    <row r="352" spans="1:2" x14ac:dyDescent="0.25">
      <c r="A352" s="54" t="s">
        <v>7761</v>
      </c>
      <c r="B352" s="54" t="s">
        <v>11120</v>
      </c>
    </row>
    <row r="353" spans="1:2" x14ac:dyDescent="0.25">
      <c r="A353" s="53" t="s">
        <v>7762</v>
      </c>
      <c r="B353" s="53" t="s">
        <v>11121</v>
      </c>
    </row>
    <row r="354" spans="1:2" x14ac:dyDescent="0.25">
      <c r="A354" s="54" t="s">
        <v>7763</v>
      </c>
      <c r="B354" s="54" t="s">
        <v>11122</v>
      </c>
    </row>
    <row r="355" spans="1:2" x14ac:dyDescent="0.25">
      <c r="A355" s="53" t="s">
        <v>7764</v>
      </c>
      <c r="B355" s="53" t="s">
        <v>11123</v>
      </c>
    </row>
    <row r="356" spans="1:2" x14ac:dyDescent="0.25">
      <c r="A356" s="54" t="s">
        <v>7765</v>
      </c>
      <c r="B356" s="54" t="s">
        <v>11124</v>
      </c>
    </row>
    <row r="357" spans="1:2" x14ac:dyDescent="0.25">
      <c r="A357" s="53" t="s">
        <v>7766</v>
      </c>
      <c r="B357" s="53" t="s">
        <v>11125</v>
      </c>
    </row>
    <row r="358" spans="1:2" x14ac:dyDescent="0.25">
      <c r="A358" s="54" t="s">
        <v>7767</v>
      </c>
      <c r="B358" s="54" t="s">
        <v>11126</v>
      </c>
    </row>
    <row r="359" spans="1:2" x14ac:dyDescent="0.25">
      <c r="A359" s="53" t="s">
        <v>7768</v>
      </c>
      <c r="B359" s="53" t="s">
        <v>11127</v>
      </c>
    </row>
    <row r="360" spans="1:2" x14ac:dyDescent="0.25">
      <c r="A360" s="54" t="s">
        <v>7769</v>
      </c>
      <c r="B360" s="54" t="s">
        <v>11128</v>
      </c>
    </row>
    <row r="361" spans="1:2" x14ac:dyDescent="0.25">
      <c r="A361" s="53" t="s">
        <v>7770</v>
      </c>
      <c r="B361" s="53" t="s">
        <v>11129</v>
      </c>
    </row>
    <row r="362" spans="1:2" x14ac:dyDescent="0.25">
      <c r="A362" s="54" t="s">
        <v>7771</v>
      </c>
      <c r="B362" s="54" t="s">
        <v>11130</v>
      </c>
    </row>
    <row r="363" spans="1:2" x14ac:dyDescent="0.25">
      <c r="A363" s="53" t="s">
        <v>7772</v>
      </c>
      <c r="B363" s="53" t="s">
        <v>11131</v>
      </c>
    </row>
    <row r="364" spans="1:2" x14ac:dyDescent="0.25">
      <c r="A364" s="54" t="s">
        <v>7773</v>
      </c>
      <c r="B364" s="54" t="s">
        <v>11132</v>
      </c>
    </row>
    <row r="365" spans="1:2" x14ac:dyDescent="0.25">
      <c r="A365" s="53" t="s">
        <v>7774</v>
      </c>
      <c r="B365" s="53" t="s">
        <v>11133</v>
      </c>
    </row>
    <row r="366" spans="1:2" x14ac:dyDescent="0.25">
      <c r="A366" s="54" t="s">
        <v>7775</v>
      </c>
      <c r="B366" s="54" t="s">
        <v>11134</v>
      </c>
    </row>
    <row r="367" spans="1:2" x14ac:dyDescent="0.25">
      <c r="A367" s="53" t="s">
        <v>7776</v>
      </c>
      <c r="B367" s="53" t="s">
        <v>11135</v>
      </c>
    </row>
    <row r="368" spans="1:2" x14ac:dyDescent="0.25">
      <c r="A368" s="54" t="s">
        <v>7777</v>
      </c>
      <c r="B368" s="54" t="s">
        <v>11136</v>
      </c>
    </row>
    <row r="369" spans="1:2" x14ac:dyDescent="0.25">
      <c r="A369" s="53" t="s">
        <v>7778</v>
      </c>
      <c r="B369" s="53" t="s">
        <v>11137</v>
      </c>
    </row>
    <row r="370" spans="1:2" x14ac:dyDescent="0.25">
      <c r="A370" s="54" t="s">
        <v>7779</v>
      </c>
      <c r="B370" s="54" t="s">
        <v>11138</v>
      </c>
    </row>
    <row r="371" spans="1:2" x14ac:dyDescent="0.25">
      <c r="A371" s="53" t="s">
        <v>7780</v>
      </c>
      <c r="B371" s="53" t="s">
        <v>11139</v>
      </c>
    </row>
    <row r="372" spans="1:2" x14ac:dyDescent="0.25">
      <c r="A372" s="54" t="s">
        <v>7781</v>
      </c>
      <c r="B372" s="54" t="s">
        <v>11140</v>
      </c>
    </row>
    <row r="373" spans="1:2" x14ac:dyDescent="0.25">
      <c r="A373" s="53" t="s">
        <v>7782</v>
      </c>
      <c r="B373" s="53" t="s">
        <v>11141</v>
      </c>
    </row>
    <row r="374" spans="1:2" x14ac:dyDescent="0.25">
      <c r="A374" s="54" t="s">
        <v>7783</v>
      </c>
      <c r="B374" s="54" t="s">
        <v>11142</v>
      </c>
    </row>
    <row r="375" spans="1:2" x14ac:dyDescent="0.25">
      <c r="A375" s="53" t="s">
        <v>7784</v>
      </c>
      <c r="B375" s="53" t="s">
        <v>11143</v>
      </c>
    </row>
    <row r="376" spans="1:2" x14ac:dyDescent="0.25">
      <c r="A376" s="54" t="s">
        <v>7785</v>
      </c>
      <c r="B376" s="54" t="s">
        <v>11144</v>
      </c>
    </row>
    <row r="377" spans="1:2" x14ac:dyDescent="0.25">
      <c r="A377" s="53" t="s">
        <v>7786</v>
      </c>
      <c r="B377" s="53" t="s">
        <v>11145</v>
      </c>
    </row>
    <row r="378" spans="1:2" x14ac:dyDescent="0.25">
      <c r="A378" s="54" t="s">
        <v>7787</v>
      </c>
      <c r="B378" s="54" t="s">
        <v>11146</v>
      </c>
    </row>
    <row r="379" spans="1:2" x14ac:dyDescent="0.25">
      <c r="A379" s="53" t="s">
        <v>7788</v>
      </c>
      <c r="B379" s="53" t="s">
        <v>11147</v>
      </c>
    </row>
    <row r="380" spans="1:2" x14ac:dyDescent="0.25">
      <c r="A380" s="54" t="s">
        <v>7789</v>
      </c>
      <c r="B380" s="54" t="s">
        <v>11148</v>
      </c>
    </row>
    <row r="381" spans="1:2" x14ac:dyDescent="0.25">
      <c r="A381" s="53" t="s">
        <v>7790</v>
      </c>
      <c r="B381" s="53" t="s">
        <v>11149</v>
      </c>
    </row>
    <row r="382" spans="1:2" x14ac:dyDescent="0.25">
      <c r="A382" s="54" t="s">
        <v>7791</v>
      </c>
      <c r="B382" s="54" t="s">
        <v>11150</v>
      </c>
    </row>
    <row r="383" spans="1:2" x14ac:dyDescent="0.25">
      <c r="A383" s="53" t="s">
        <v>7792</v>
      </c>
      <c r="B383" s="53" t="s">
        <v>11151</v>
      </c>
    </row>
    <row r="384" spans="1:2" x14ac:dyDescent="0.25">
      <c r="A384" s="54" t="s">
        <v>7793</v>
      </c>
      <c r="B384" s="54" t="s">
        <v>11152</v>
      </c>
    </row>
    <row r="385" spans="1:2" x14ac:dyDescent="0.25">
      <c r="A385" s="53" t="s">
        <v>7794</v>
      </c>
      <c r="B385" s="53" t="s">
        <v>11153</v>
      </c>
    </row>
    <row r="386" spans="1:2" x14ac:dyDescent="0.25">
      <c r="A386" s="54" t="s">
        <v>7795</v>
      </c>
      <c r="B386" s="54" t="s">
        <v>11154</v>
      </c>
    </row>
    <row r="387" spans="1:2" x14ac:dyDescent="0.25">
      <c r="A387" s="53" t="s">
        <v>7796</v>
      </c>
      <c r="B387" s="53" t="s">
        <v>11155</v>
      </c>
    </row>
    <row r="388" spans="1:2" x14ac:dyDescent="0.25">
      <c r="A388" s="54" t="s">
        <v>7797</v>
      </c>
      <c r="B388" s="54" t="s">
        <v>11156</v>
      </c>
    </row>
    <row r="389" spans="1:2" x14ac:dyDescent="0.25">
      <c r="A389" s="53" t="s">
        <v>7798</v>
      </c>
      <c r="B389" s="53" t="s">
        <v>11157</v>
      </c>
    </row>
    <row r="390" spans="1:2" x14ac:dyDescent="0.25">
      <c r="A390" s="54" t="s">
        <v>7799</v>
      </c>
      <c r="B390" s="54" t="s">
        <v>11158</v>
      </c>
    </row>
    <row r="391" spans="1:2" x14ac:dyDescent="0.25">
      <c r="A391" s="53" t="s">
        <v>7800</v>
      </c>
      <c r="B391" s="53" t="s">
        <v>11159</v>
      </c>
    </row>
    <row r="392" spans="1:2" x14ac:dyDescent="0.25">
      <c r="A392" s="54" t="s">
        <v>7801</v>
      </c>
      <c r="B392" s="54" t="s">
        <v>11160</v>
      </c>
    </row>
    <row r="393" spans="1:2" x14ac:dyDescent="0.25">
      <c r="A393" s="53" t="s">
        <v>7802</v>
      </c>
      <c r="B393" s="53" t="s">
        <v>11161</v>
      </c>
    </row>
    <row r="394" spans="1:2" x14ac:dyDescent="0.25">
      <c r="A394" s="54" t="s">
        <v>7803</v>
      </c>
      <c r="B394" s="54" t="s">
        <v>11162</v>
      </c>
    </row>
    <row r="395" spans="1:2" x14ac:dyDescent="0.25">
      <c r="A395" s="53" t="s">
        <v>7804</v>
      </c>
      <c r="B395" s="53" t="s">
        <v>11163</v>
      </c>
    </row>
    <row r="396" spans="1:2" x14ac:dyDescent="0.25">
      <c r="A396" s="54" t="s">
        <v>7805</v>
      </c>
      <c r="B396" s="54" t="s">
        <v>11164</v>
      </c>
    </row>
    <row r="397" spans="1:2" x14ac:dyDescent="0.25">
      <c r="A397" s="53" t="s">
        <v>7806</v>
      </c>
      <c r="B397" s="53" t="s">
        <v>11165</v>
      </c>
    </row>
    <row r="398" spans="1:2" x14ac:dyDescent="0.25">
      <c r="A398" s="54" t="s">
        <v>7807</v>
      </c>
      <c r="B398" s="54" t="s">
        <v>11166</v>
      </c>
    </row>
    <row r="399" spans="1:2" x14ac:dyDescent="0.25">
      <c r="A399" s="53" t="s">
        <v>7808</v>
      </c>
      <c r="B399" s="53" t="s">
        <v>11167</v>
      </c>
    </row>
    <row r="400" spans="1:2" x14ac:dyDescent="0.25">
      <c r="A400" s="54" t="s">
        <v>7809</v>
      </c>
      <c r="B400" s="54" t="s">
        <v>11168</v>
      </c>
    </row>
    <row r="401" spans="1:2" x14ac:dyDescent="0.25">
      <c r="A401" s="53" t="s">
        <v>7810</v>
      </c>
      <c r="B401" s="53" t="s">
        <v>10847</v>
      </c>
    </row>
    <row r="402" spans="1:2" x14ac:dyDescent="0.25">
      <c r="A402" s="54" t="s">
        <v>7811</v>
      </c>
      <c r="B402" s="54" t="s">
        <v>11169</v>
      </c>
    </row>
    <row r="403" spans="1:2" x14ac:dyDescent="0.25">
      <c r="A403" s="53" t="s">
        <v>7812</v>
      </c>
      <c r="B403" s="53" t="s">
        <v>11170</v>
      </c>
    </row>
    <row r="404" spans="1:2" x14ac:dyDescent="0.25">
      <c r="A404" s="54" t="s">
        <v>7813</v>
      </c>
      <c r="B404" s="54" t="s">
        <v>11171</v>
      </c>
    </row>
    <row r="405" spans="1:2" x14ac:dyDescent="0.25">
      <c r="A405" s="53" t="s">
        <v>7814</v>
      </c>
      <c r="B405" s="53" t="s">
        <v>10938</v>
      </c>
    </row>
    <row r="406" spans="1:2" x14ac:dyDescent="0.25">
      <c r="A406" s="54" t="s">
        <v>7815</v>
      </c>
      <c r="B406" s="54" t="s">
        <v>780</v>
      </c>
    </row>
    <row r="407" spans="1:2" x14ac:dyDescent="0.25">
      <c r="A407" s="53" t="s">
        <v>7816</v>
      </c>
      <c r="B407" s="53" t="s">
        <v>11172</v>
      </c>
    </row>
    <row r="408" spans="1:2" x14ac:dyDescent="0.25">
      <c r="A408" s="54" t="s">
        <v>7817</v>
      </c>
      <c r="B408" s="54" t="s">
        <v>11173</v>
      </c>
    </row>
    <row r="409" spans="1:2" x14ac:dyDescent="0.25">
      <c r="A409" s="53" t="s">
        <v>7818</v>
      </c>
      <c r="B409" s="53" t="s">
        <v>11174</v>
      </c>
    </row>
    <row r="410" spans="1:2" x14ac:dyDescent="0.25">
      <c r="A410" s="54" t="s">
        <v>7819</v>
      </c>
      <c r="B410" s="54" t="s">
        <v>11175</v>
      </c>
    </row>
    <row r="411" spans="1:2" x14ac:dyDescent="0.25">
      <c r="A411" s="53" t="s">
        <v>7820</v>
      </c>
      <c r="B411" s="53" t="s">
        <v>11176</v>
      </c>
    </row>
    <row r="412" spans="1:2" x14ac:dyDescent="0.25">
      <c r="A412" s="54" t="s">
        <v>7821</v>
      </c>
      <c r="B412" s="54" t="s">
        <v>11177</v>
      </c>
    </row>
    <row r="413" spans="1:2" x14ac:dyDescent="0.25">
      <c r="A413" s="53" t="s">
        <v>7822</v>
      </c>
      <c r="B413" s="53" t="s">
        <v>11178</v>
      </c>
    </row>
    <row r="414" spans="1:2" x14ac:dyDescent="0.25">
      <c r="A414" s="54" t="s">
        <v>7823</v>
      </c>
      <c r="B414" s="54" t="s">
        <v>11179</v>
      </c>
    </row>
    <row r="415" spans="1:2" x14ac:dyDescent="0.25">
      <c r="A415" s="53" t="s">
        <v>7824</v>
      </c>
      <c r="B415" s="53" t="s">
        <v>11180</v>
      </c>
    </row>
    <row r="416" spans="1:2" x14ac:dyDescent="0.25">
      <c r="A416" s="54" t="s">
        <v>7825</v>
      </c>
      <c r="B416" s="54" t="s">
        <v>11181</v>
      </c>
    </row>
    <row r="417" spans="1:2" x14ac:dyDescent="0.25">
      <c r="A417" s="53" t="s">
        <v>7826</v>
      </c>
      <c r="B417" s="53" t="s">
        <v>11182</v>
      </c>
    </row>
    <row r="418" spans="1:2" x14ac:dyDescent="0.25">
      <c r="A418" s="54" t="s">
        <v>7827</v>
      </c>
      <c r="B418" s="54" t="s">
        <v>11183</v>
      </c>
    </row>
    <row r="419" spans="1:2" x14ac:dyDescent="0.25">
      <c r="A419" s="53" t="s">
        <v>7828</v>
      </c>
      <c r="B419" s="53" t="s">
        <v>11184</v>
      </c>
    </row>
    <row r="420" spans="1:2" x14ac:dyDescent="0.25">
      <c r="A420" s="54" t="s">
        <v>7829</v>
      </c>
      <c r="B420" s="54" t="s">
        <v>11185</v>
      </c>
    </row>
    <row r="421" spans="1:2" x14ac:dyDescent="0.25">
      <c r="A421" s="53" t="s">
        <v>7830</v>
      </c>
      <c r="B421" s="53" t="s">
        <v>11186</v>
      </c>
    </row>
    <row r="422" spans="1:2" x14ac:dyDescent="0.25">
      <c r="A422" s="54" t="s">
        <v>7831</v>
      </c>
      <c r="B422" s="54" t="s">
        <v>11187</v>
      </c>
    </row>
    <row r="423" spans="1:2" x14ac:dyDescent="0.25">
      <c r="A423" s="53" t="s">
        <v>7832</v>
      </c>
      <c r="B423" s="53" t="s">
        <v>11188</v>
      </c>
    </row>
    <row r="424" spans="1:2" x14ac:dyDescent="0.25">
      <c r="A424" s="54" t="s">
        <v>7833</v>
      </c>
      <c r="B424" s="54" t="s">
        <v>11189</v>
      </c>
    </row>
    <row r="425" spans="1:2" x14ac:dyDescent="0.25">
      <c r="A425" s="53" t="s">
        <v>7834</v>
      </c>
      <c r="B425" s="53" t="s">
        <v>11190</v>
      </c>
    </row>
    <row r="426" spans="1:2" x14ac:dyDescent="0.25">
      <c r="A426" s="54" t="s">
        <v>7835</v>
      </c>
      <c r="B426" s="54" t="s">
        <v>11191</v>
      </c>
    </row>
    <row r="427" spans="1:2" x14ac:dyDescent="0.25">
      <c r="A427" s="53" t="s">
        <v>7836</v>
      </c>
      <c r="B427" s="53" t="s">
        <v>11192</v>
      </c>
    </row>
    <row r="428" spans="1:2" x14ac:dyDescent="0.25">
      <c r="A428" s="54" t="s">
        <v>7837</v>
      </c>
      <c r="B428" s="54" t="s">
        <v>11193</v>
      </c>
    </row>
    <row r="429" spans="1:2" x14ac:dyDescent="0.25">
      <c r="A429" s="53" t="s">
        <v>7838</v>
      </c>
      <c r="B429" s="53" t="s">
        <v>11194</v>
      </c>
    </row>
    <row r="430" spans="1:2" x14ac:dyDescent="0.25">
      <c r="A430" s="54" t="s">
        <v>7839</v>
      </c>
      <c r="B430" s="54" t="s">
        <v>11195</v>
      </c>
    </row>
    <row r="431" spans="1:2" x14ac:dyDescent="0.25">
      <c r="A431" s="53" t="s">
        <v>7840</v>
      </c>
      <c r="B431" s="53" t="s">
        <v>781</v>
      </c>
    </row>
    <row r="432" spans="1:2" x14ac:dyDescent="0.25">
      <c r="A432" s="54" t="s">
        <v>7841</v>
      </c>
      <c r="B432" s="54" t="s">
        <v>782</v>
      </c>
    </row>
    <row r="433" spans="1:2" x14ac:dyDescent="0.25">
      <c r="A433" s="53" t="s">
        <v>7842</v>
      </c>
      <c r="B433" s="53" t="s">
        <v>11196</v>
      </c>
    </row>
    <row r="434" spans="1:2" x14ac:dyDescent="0.25">
      <c r="A434" s="54" t="s">
        <v>7843</v>
      </c>
      <c r="B434" s="54" t="s">
        <v>11197</v>
      </c>
    </row>
    <row r="435" spans="1:2" x14ac:dyDescent="0.25">
      <c r="A435" s="53" t="s">
        <v>7844</v>
      </c>
      <c r="B435" s="53" t="s">
        <v>11198</v>
      </c>
    </row>
    <row r="436" spans="1:2" x14ac:dyDescent="0.25">
      <c r="A436" s="54" t="s">
        <v>7845</v>
      </c>
      <c r="B436" s="54" t="s">
        <v>11199</v>
      </c>
    </row>
    <row r="437" spans="1:2" x14ac:dyDescent="0.25">
      <c r="A437" s="53" t="s">
        <v>7846</v>
      </c>
      <c r="B437" s="53" t="s">
        <v>11200</v>
      </c>
    </row>
    <row r="438" spans="1:2" x14ac:dyDescent="0.25">
      <c r="A438" s="54" t="s">
        <v>7847</v>
      </c>
      <c r="B438" s="54" t="s">
        <v>11201</v>
      </c>
    </row>
    <row r="439" spans="1:2" x14ac:dyDescent="0.25">
      <c r="A439" s="53" t="s">
        <v>7848</v>
      </c>
      <c r="B439" s="53" t="s">
        <v>11202</v>
      </c>
    </row>
    <row r="440" spans="1:2" x14ac:dyDescent="0.25">
      <c r="A440" s="54" t="s">
        <v>7849</v>
      </c>
      <c r="B440" s="54" t="s">
        <v>11203</v>
      </c>
    </row>
    <row r="441" spans="1:2" x14ac:dyDescent="0.25">
      <c r="A441" s="53" t="s">
        <v>7850</v>
      </c>
      <c r="B441" s="53" t="s">
        <v>11204</v>
      </c>
    </row>
    <row r="442" spans="1:2" x14ac:dyDescent="0.25">
      <c r="A442" s="54" t="s">
        <v>7851</v>
      </c>
      <c r="B442" s="54" t="s">
        <v>11205</v>
      </c>
    </row>
    <row r="443" spans="1:2" x14ac:dyDescent="0.25">
      <c r="A443" s="53" t="s">
        <v>7852</v>
      </c>
      <c r="B443" s="53" t="s">
        <v>11206</v>
      </c>
    </row>
    <row r="444" spans="1:2" x14ac:dyDescent="0.25">
      <c r="A444" s="54" t="s">
        <v>7853</v>
      </c>
      <c r="B444" s="54" t="s">
        <v>11207</v>
      </c>
    </row>
    <row r="445" spans="1:2" x14ac:dyDescent="0.25">
      <c r="A445" s="53" t="s">
        <v>7854</v>
      </c>
      <c r="B445" s="53" t="s">
        <v>11208</v>
      </c>
    </row>
    <row r="446" spans="1:2" x14ac:dyDescent="0.25">
      <c r="A446" s="54" t="s">
        <v>7855</v>
      </c>
      <c r="B446" s="54" t="s">
        <v>11209</v>
      </c>
    </row>
    <row r="447" spans="1:2" x14ac:dyDescent="0.25">
      <c r="A447" s="53" t="s">
        <v>7856</v>
      </c>
      <c r="B447" s="53" t="s">
        <v>10808</v>
      </c>
    </row>
    <row r="448" spans="1:2" x14ac:dyDescent="0.25">
      <c r="A448" s="54" t="s">
        <v>7857</v>
      </c>
      <c r="B448" s="54" t="s">
        <v>11210</v>
      </c>
    </row>
    <row r="449" spans="1:2" x14ac:dyDescent="0.25">
      <c r="A449" s="53" t="s">
        <v>7858</v>
      </c>
      <c r="B449" s="53" t="s">
        <v>11211</v>
      </c>
    </row>
    <row r="450" spans="1:2" x14ac:dyDescent="0.25">
      <c r="A450" s="54" t="s">
        <v>7859</v>
      </c>
      <c r="B450" s="54" t="s">
        <v>11212</v>
      </c>
    </row>
    <row r="451" spans="1:2" x14ac:dyDescent="0.25">
      <c r="A451" s="53" t="s">
        <v>7860</v>
      </c>
      <c r="B451" s="53" t="s">
        <v>11213</v>
      </c>
    </row>
    <row r="452" spans="1:2" x14ac:dyDescent="0.25">
      <c r="A452" s="54" t="s">
        <v>7861</v>
      </c>
      <c r="B452" s="54" t="s">
        <v>11214</v>
      </c>
    </row>
    <row r="453" spans="1:2" x14ac:dyDescent="0.25">
      <c r="A453" s="53" t="s">
        <v>7862</v>
      </c>
      <c r="B453" s="53" t="s">
        <v>11215</v>
      </c>
    </row>
    <row r="454" spans="1:2" x14ac:dyDescent="0.25">
      <c r="A454" s="54" t="s">
        <v>7863</v>
      </c>
      <c r="B454" s="54" t="s">
        <v>11216</v>
      </c>
    </row>
    <row r="455" spans="1:2" x14ac:dyDescent="0.25">
      <c r="A455" s="53" t="s">
        <v>7864</v>
      </c>
      <c r="B455" s="53" t="s">
        <v>11217</v>
      </c>
    </row>
    <row r="456" spans="1:2" x14ac:dyDescent="0.25">
      <c r="A456" s="54" t="s">
        <v>7865</v>
      </c>
      <c r="B456" s="54" t="s">
        <v>11218</v>
      </c>
    </row>
    <row r="457" spans="1:2" x14ac:dyDescent="0.25">
      <c r="A457" s="53" t="s">
        <v>7866</v>
      </c>
      <c r="B457" s="53" t="s">
        <v>11219</v>
      </c>
    </row>
    <row r="458" spans="1:2" x14ac:dyDescent="0.25">
      <c r="A458" s="54" t="s">
        <v>7867</v>
      </c>
      <c r="B458" s="54" t="s">
        <v>11220</v>
      </c>
    </row>
    <row r="459" spans="1:2" x14ac:dyDescent="0.25">
      <c r="A459" s="53" t="s">
        <v>7868</v>
      </c>
      <c r="B459" s="53" t="s">
        <v>11221</v>
      </c>
    </row>
    <row r="460" spans="1:2" x14ac:dyDescent="0.25">
      <c r="A460" s="54" t="s">
        <v>7869</v>
      </c>
      <c r="B460" s="54" t="s">
        <v>11222</v>
      </c>
    </row>
    <row r="461" spans="1:2" x14ac:dyDescent="0.25">
      <c r="A461" s="53" t="s">
        <v>7870</v>
      </c>
      <c r="B461" s="53" t="s">
        <v>11223</v>
      </c>
    </row>
    <row r="462" spans="1:2" x14ac:dyDescent="0.25">
      <c r="A462" s="54" t="s">
        <v>7871</v>
      </c>
      <c r="B462" s="54" t="s">
        <v>11224</v>
      </c>
    </row>
    <row r="463" spans="1:2" x14ac:dyDescent="0.25">
      <c r="A463" s="53" t="s">
        <v>7872</v>
      </c>
      <c r="B463" s="53" t="s">
        <v>11225</v>
      </c>
    </row>
    <row r="464" spans="1:2" x14ac:dyDescent="0.25">
      <c r="A464" s="54" t="s">
        <v>7873</v>
      </c>
      <c r="B464" s="54" t="s">
        <v>11226</v>
      </c>
    </row>
    <row r="465" spans="1:2" x14ac:dyDescent="0.25">
      <c r="A465" s="53" t="s">
        <v>7874</v>
      </c>
      <c r="B465" s="53" t="s">
        <v>11227</v>
      </c>
    </row>
    <row r="466" spans="1:2" x14ac:dyDescent="0.25">
      <c r="A466" s="54" t="s">
        <v>7875</v>
      </c>
      <c r="B466" s="54" t="s">
        <v>11228</v>
      </c>
    </row>
    <row r="467" spans="1:2" x14ac:dyDescent="0.25">
      <c r="A467" s="53" t="s">
        <v>7876</v>
      </c>
      <c r="B467" s="53" t="s">
        <v>11229</v>
      </c>
    </row>
    <row r="468" spans="1:2" x14ac:dyDescent="0.25">
      <c r="A468" s="54" t="s">
        <v>7877</v>
      </c>
      <c r="B468" s="54" t="s">
        <v>11197</v>
      </c>
    </row>
    <row r="469" spans="1:2" x14ac:dyDescent="0.25">
      <c r="A469" s="53" t="s">
        <v>7878</v>
      </c>
      <c r="B469" s="53" t="s">
        <v>11230</v>
      </c>
    </row>
    <row r="470" spans="1:2" x14ac:dyDescent="0.25">
      <c r="A470" s="54" t="s">
        <v>7879</v>
      </c>
      <c r="B470" s="54" t="s">
        <v>11231</v>
      </c>
    </row>
    <row r="471" spans="1:2" x14ac:dyDescent="0.25">
      <c r="A471" s="53" t="s">
        <v>7880</v>
      </c>
      <c r="B471" s="53" t="s">
        <v>11232</v>
      </c>
    </row>
    <row r="472" spans="1:2" x14ac:dyDescent="0.25">
      <c r="A472" s="54" t="s">
        <v>7881</v>
      </c>
      <c r="B472" s="54" t="s">
        <v>11233</v>
      </c>
    </row>
    <row r="473" spans="1:2" x14ac:dyDescent="0.25">
      <c r="A473" s="53" t="s">
        <v>7882</v>
      </c>
      <c r="B473" s="53" t="s">
        <v>11234</v>
      </c>
    </row>
    <row r="474" spans="1:2" x14ac:dyDescent="0.25">
      <c r="A474" s="54" t="s">
        <v>7883</v>
      </c>
      <c r="B474" s="54" t="s">
        <v>11235</v>
      </c>
    </row>
    <row r="475" spans="1:2" x14ac:dyDescent="0.25">
      <c r="A475" s="53" t="s">
        <v>7884</v>
      </c>
      <c r="B475" s="53" t="s">
        <v>11236</v>
      </c>
    </row>
    <row r="476" spans="1:2" x14ac:dyDescent="0.25">
      <c r="A476" s="54" t="s">
        <v>7885</v>
      </c>
      <c r="B476" s="54" t="s">
        <v>11237</v>
      </c>
    </row>
    <row r="477" spans="1:2" x14ac:dyDescent="0.25">
      <c r="A477" s="53" t="s">
        <v>7886</v>
      </c>
      <c r="B477" s="53" t="s">
        <v>11238</v>
      </c>
    </row>
    <row r="478" spans="1:2" x14ac:dyDescent="0.25">
      <c r="A478" s="54" t="s">
        <v>7887</v>
      </c>
      <c r="B478" s="54" t="s">
        <v>11239</v>
      </c>
    </row>
    <row r="479" spans="1:2" x14ac:dyDescent="0.25">
      <c r="A479" s="53" t="s">
        <v>7888</v>
      </c>
      <c r="B479" s="53" t="s">
        <v>11240</v>
      </c>
    </row>
    <row r="480" spans="1:2" x14ac:dyDescent="0.25">
      <c r="A480" s="54" t="s">
        <v>7889</v>
      </c>
      <c r="B480" s="54" t="s">
        <v>11241</v>
      </c>
    </row>
    <row r="481" spans="1:2" x14ac:dyDescent="0.25">
      <c r="A481" s="53" t="s">
        <v>7890</v>
      </c>
      <c r="B481" s="53" t="s">
        <v>10848</v>
      </c>
    </row>
    <row r="482" spans="1:2" x14ac:dyDescent="0.25">
      <c r="A482" s="54" t="s">
        <v>7891</v>
      </c>
      <c r="B482" s="54" t="s">
        <v>11242</v>
      </c>
    </row>
    <row r="483" spans="1:2" x14ac:dyDescent="0.25">
      <c r="A483" s="53" t="s">
        <v>7892</v>
      </c>
      <c r="B483" s="53" t="s">
        <v>11243</v>
      </c>
    </row>
    <row r="484" spans="1:2" x14ac:dyDescent="0.25">
      <c r="A484" s="54" t="s">
        <v>7893</v>
      </c>
      <c r="B484" s="54" t="s">
        <v>11244</v>
      </c>
    </row>
    <row r="485" spans="1:2" x14ac:dyDescent="0.25">
      <c r="A485" s="53" t="s">
        <v>7894</v>
      </c>
      <c r="B485" s="53" t="s">
        <v>11245</v>
      </c>
    </row>
    <row r="486" spans="1:2" x14ac:dyDescent="0.25">
      <c r="A486" s="54" t="s">
        <v>7895</v>
      </c>
      <c r="B486" s="54" t="s">
        <v>11246</v>
      </c>
    </row>
    <row r="487" spans="1:2" x14ac:dyDescent="0.25">
      <c r="A487" s="53" t="s">
        <v>7896</v>
      </c>
      <c r="B487" s="53" t="s">
        <v>11247</v>
      </c>
    </row>
    <row r="488" spans="1:2" x14ac:dyDescent="0.25">
      <c r="A488" s="54" t="s">
        <v>7897</v>
      </c>
      <c r="B488" s="54" t="s">
        <v>11248</v>
      </c>
    </row>
    <row r="489" spans="1:2" x14ac:dyDescent="0.25">
      <c r="A489" s="53" t="s">
        <v>7898</v>
      </c>
      <c r="B489" s="53" t="s">
        <v>11249</v>
      </c>
    </row>
    <row r="490" spans="1:2" x14ac:dyDescent="0.25">
      <c r="A490" s="54" t="s">
        <v>7899</v>
      </c>
      <c r="B490" s="54" t="s">
        <v>10888</v>
      </c>
    </row>
    <row r="491" spans="1:2" x14ac:dyDescent="0.25">
      <c r="A491" s="53" t="s">
        <v>7900</v>
      </c>
      <c r="B491" s="53" t="s">
        <v>11250</v>
      </c>
    </row>
    <row r="492" spans="1:2" x14ac:dyDescent="0.25">
      <c r="A492" s="54" t="s">
        <v>7901</v>
      </c>
      <c r="B492" s="54" t="s">
        <v>11251</v>
      </c>
    </row>
    <row r="493" spans="1:2" x14ac:dyDescent="0.25">
      <c r="A493" s="53" t="s">
        <v>7902</v>
      </c>
      <c r="B493" s="53" t="s">
        <v>11252</v>
      </c>
    </row>
    <row r="494" spans="1:2" x14ac:dyDescent="0.25">
      <c r="A494" s="54" t="s">
        <v>7903</v>
      </c>
      <c r="B494" s="54" t="s">
        <v>11253</v>
      </c>
    </row>
    <row r="495" spans="1:2" x14ac:dyDescent="0.25">
      <c r="A495" s="53" t="s">
        <v>7904</v>
      </c>
      <c r="B495" s="53" t="s">
        <v>11254</v>
      </c>
    </row>
    <row r="496" spans="1:2" x14ac:dyDescent="0.25">
      <c r="A496" s="54" t="s">
        <v>7905</v>
      </c>
      <c r="B496" s="54" t="s">
        <v>11255</v>
      </c>
    </row>
    <row r="497" spans="1:2" x14ac:dyDescent="0.25">
      <c r="A497" s="53" t="s">
        <v>7906</v>
      </c>
      <c r="B497" s="53" t="s">
        <v>780</v>
      </c>
    </row>
    <row r="498" spans="1:2" x14ac:dyDescent="0.25">
      <c r="A498" s="54" t="s">
        <v>7907</v>
      </c>
      <c r="B498" s="54" t="s">
        <v>11256</v>
      </c>
    </row>
    <row r="499" spans="1:2" x14ac:dyDescent="0.25">
      <c r="A499" s="53" t="s">
        <v>7908</v>
      </c>
      <c r="B499" s="53" t="s">
        <v>11257</v>
      </c>
    </row>
    <row r="500" spans="1:2" x14ac:dyDescent="0.25">
      <c r="A500" s="54" t="s">
        <v>7909</v>
      </c>
      <c r="B500" s="54" t="s">
        <v>10875</v>
      </c>
    </row>
    <row r="501" spans="1:2" x14ac:dyDescent="0.25">
      <c r="A501" s="53" t="s">
        <v>7910</v>
      </c>
      <c r="B501" s="53" t="s">
        <v>11258</v>
      </c>
    </row>
    <row r="502" spans="1:2" x14ac:dyDescent="0.25">
      <c r="A502" s="54" t="s">
        <v>7911</v>
      </c>
      <c r="B502" s="54" t="s">
        <v>11259</v>
      </c>
    </row>
    <row r="503" spans="1:2" x14ac:dyDescent="0.25">
      <c r="A503" s="53" t="s">
        <v>7912</v>
      </c>
      <c r="B503" s="53" t="s">
        <v>11260</v>
      </c>
    </row>
    <row r="504" spans="1:2" x14ac:dyDescent="0.25">
      <c r="A504" s="54" t="s">
        <v>7913</v>
      </c>
      <c r="B504" s="54" t="s">
        <v>11261</v>
      </c>
    </row>
    <row r="505" spans="1:2" x14ac:dyDescent="0.25">
      <c r="A505" s="53" t="s">
        <v>7914</v>
      </c>
      <c r="B505" s="53" t="s">
        <v>11262</v>
      </c>
    </row>
    <row r="506" spans="1:2" x14ac:dyDescent="0.25">
      <c r="A506" s="54" t="s">
        <v>7915</v>
      </c>
      <c r="B506" s="54" t="s">
        <v>11263</v>
      </c>
    </row>
    <row r="507" spans="1:2" x14ac:dyDescent="0.25">
      <c r="A507" s="53" t="s">
        <v>7916</v>
      </c>
      <c r="B507" s="53" t="s">
        <v>11264</v>
      </c>
    </row>
    <row r="508" spans="1:2" x14ac:dyDescent="0.25">
      <c r="A508" s="54" t="s">
        <v>7917</v>
      </c>
      <c r="B508" s="54" t="s">
        <v>11265</v>
      </c>
    </row>
    <row r="509" spans="1:2" x14ac:dyDescent="0.25">
      <c r="A509" s="53" t="s">
        <v>7918</v>
      </c>
      <c r="B509" s="53" t="s">
        <v>11266</v>
      </c>
    </row>
    <row r="510" spans="1:2" x14ac:dyDescent="0.25">
      <c r="A510" s="54" t="s">
        <v>7919</v>
      </c>
      <c r="B510" s="54" t="s">
        <v>11267</v>
      </c>
    </row>
    <row r="511" spans="1:2" x14ac:dyDescent="0.25">
      <c r="A511" s="53" t="s">
        <v>7920</v>
      </c>
      <c r="B511" s="53" t="s">
        <v>11268</v>
      </c>
    </row>
    <row r="512" spans="1:2" x14ac:dyDescent="0.25">
      <c r="A512" s="54" t="s">
        <v>7921</v>
      </c>
      <c r="B512" s="54" t="s">
        <v>11269</v>
      </c>
    </row>
    <row r="513" spans="1:2" x14ac:dyDescent="0.25">
      <c r="A513" s="53" t="s">
        <v>7922</v>
      </c>
      <c r="B513" s="53" t="s">
        <v>11092</v>
      </c>
    </row>
    <row r="514" spans="1:2" x14ac:dyDescent="0.25">
      <c r="A514" s="54" t="s">
        <v>7923</v>
      </c>
      <c r="B514" s="54" t="s">
        <v>11270</v>
      </c>
    </row>
    <row r="515" spans="1:2" x14ac:dyDescent="0.25">
      <c r="A515" s="53" t="s">
        <v>7924</v>
      </c>
      <c r="B515" s="53" t="s">
        <v>11271</v>
      </c>
    </row>
    <row r="516" spans="1:2" x14ac:dyDescent="0.25">
      <c r="A516" s="54" t="s">
        <v>7925</v>
      </c>
      <c r="B516" s="54" t="s">
        <v>11272</v>
      </c>
    </row>
    <row r="517" spans="1:2" x14ac:dyDescent="0.25">
      <c r="A517" s="53" t="s">
        <v>7926</v>
      </c>
      <c r="B517" s="53" t="s">
        <v>11273</v>
      </c>
    </row>
    <row r="518" spans="1:2" x14ac:dyDescent="0.25">
      <c r="A518" s="54" t="s">
        <v>7927</v>
      </c>
      <c r="B518" s="54" t="s">
        <v>11274</v>
      </c>
    </row>
    <row r="519" spans="1:2" x14ac:dyDescent="0.25">
      <c r="A519" s="53" t="s">
        <v>7928</v>
      </c>
      <c r="B519" s="53" t="s">
        <v>11275</v>
      </c>
    </row>
    <row r="520" spans="1:2" x14ac:dyDescent="0.25">
      <c r="A520" s="54" t="s">
        <v>7929</v>
      </c>
      <c r="B520" s="54" t="s">
        <v>11276</v>
      </c>
    </row>
    <row r="521" spans="1:2" x14ac:dyDescent="0.25">
      <c r="A521" s="53" t="s">
        <v>7930</v>
      </c>
      <c r="B521" s="53" t="s">
        <v>11044</v>
      </c>
    </row>
    <row r="522" spans="1:2" x14ac:dyDescent="0.25">
      <c r="A522" s="54" t="s">
        <v>7931</v>
      </c>
      <c r="B522" s="54" t="s">
        <v>11277</v>
      </c>
    </row>
    <row r="523" spans="1:2" x14ac:dyDescent="0.25">
      <c r="A523" s="53" t="s">
        <v>7932</v>
      </c>
      <c r="B523" s="53" t="s">
        <v>11278</v>
      </c>
    </row>
    <row r="524" spans="1:2" x14ac:dyDescent="0.25">
      <c r="A524" s="54" t="s">
        <v>7933</v>
      </c>
      <c r="B524" s="54" t="s">
        <v>10799</v>
      </c>
    </row>
    <row r="525" spans="1:2" x14ac:dyDescent="0.25">
      <c r="A525" s="53" t="s">
        <v>7934</v>
      </c>
      <c r="B525" s="53" t="s">
        <v>10918</v>
      </c>
    </row>
    <row r="526" spans="1:2" x14ac:dyDescent="0.25">
      <c r="A526" s="54" t="s">
        <v>7935</v>
      </c>
      <c r="B526" s="54" t="s">
        <v>11279</v>
      </c>
    </row>
    <row r="527" spans="1:2" x14ac:dyDescent="0.25">
      <c r="A527" s="53" t="s">
        <v>7936</v>
      </c>
      <c r="B527" s="53" t="s">
        <v>10800</v>
      </c>
    </row>
    <row r="528" spans="1:2" x14ac:dyDescent="0.25">
      <c r="A528" s="54" t="s">
        <v>7937</v>
      </c>
      <c r="B528" s="54" t="s">
        <v>11280</v>
      </c>
    </row>
    <row r="529" spans="1:2" x14ac:dyDescent="0.25">
      <c r="A529" s="53" t="s">
        <v>7938</v>
      </c>
      <c r="B529" s="53" t="s">
        <v>11281</v>
      </c>
    </row>
    <row r="530" spans="1:2" x14ac:dyDescent="0.25">
      <c r="A530" s="54" t="s">
        <v>7939</v>
      </c>
      <c r="B530" s="54" t="s">
        <v>11282</v>
      </c>
    </row>
    <row r="531" spans="1:2" x14ac:dyDescent="0.25">
      <c r="A531" s="53" t="s">
        <v>7940</v>
      </c>
      <c r="B531" s="53" t="s">
        <v>11283</v>
      </c>
    </row>
    <row r="532" spans="1:2" x14ac:dyDescent="0.25">
      <c r="A532" s="54" t="s">
        <v>7941</v>
      </c>
      <c r="B532" s="54" t="s">
        <v>11284</v>
      </c>
    </row>
    <row r="533" spans="1:2" x14ac:dyDescent="0.25">
      <c r="A533" s="53" t="s">
        <v>7942</v>
      </c>
      <c r="B533" s="53" t="s">
        <v>11285</v>
      </c>
    </row>
    <row r="534" spans="1:2" x14ac:dyDescent="0.25">
      <c r="A534" s="54" t="s">
        <v>7943</v>
      </c>
      <c r="B534" s="54" t="s">
        <v>10842</v>
      </c>
    </row>
    <row r="535" spans="1:2" x14ac:dyDescent="0.25">
      <c r="A535" s="53" t="s">
        <v>7944</v>
      </c>
      <c r="B535" s="53" t="s">
        <v>11286</v>
      </c>
    </row>
    <row r="536" spans="1:2" x14ac:dyDescent="0.25">
      <c r="A536" s="54" t="s">
        <v>7945</v>
      </c>
      <c r="B536" s="54" t="s">
        <v>11287</v>
      </c>
    </row>
    <row r="537" spans="1:2" x14ac:dyDescent="0.25">
      <c r="A537" s="53" t="s">
        <v>7946</v>
      </c>
      <c r="B537" s="53" t="s">
        <v>11288</v>
      </c>
    </row>
    <row r="538" spans="1:2" x14ac:dyDescent="0.25">
      <c r="A538" s="54" t="s">
        <v>7947</v>
      </c>
      <c r="B538" s="54" t="s">
        <v>11289</v>
      </c>
    </row>
    <row r="539" spans="1:2" x14ac:dyDescent="0.25">
      <c r="A539" s="53" t="s">
        <v>7948</v>
      </c>
      <c r="B539" s="53" t="s">
        <v>11290</v>
      </c>
    </row>
    <row r="540" spans="1:2" x14ac:dyDescent="0.25">
      <c r="A540" s="54" t="s">
        <v>7949</v>
      </c>
      <c r="B540" s="54" t="s">
        <v>11291</v>
      </c>
    </row>
    <row r="541" spans="1:2" x14ac:dyDescent="0.25">
      <c r="A541" s="53" t="s">
        <v>7950</v>
      </c>
      <c r="B541" s="53" t="s">
        <v>10888</v>
      </c>
    </row>
    <row r="542" spans="1:2" x14ac:dyDescent="0.25">
      <c r="A542" s="54" t="s">
        <v>7951</v>
      </c>
      <c r="B542" s="54" t="s">
        <v>11292</v>
      </c>
    </row>
    <row r="543" spans="1:2" x14ac:dyDescent="0.25">
      <c r="A543" s="53" t="s">
        <v>7952</v>
      </c>
      <c r="B543" s="53" t="s">
        <v>11293</v>
      </c>
    </row>
    <row r="544" spans="1:2" x14ac:dyDescent="0.25">
      <c r="A544" s="54" t="s">
        <v>7953</v>
      </c>
      <c r="B544" s="54" t="s">
        <v>11294</v>
      </c>
    </row>
    <row r="545" spans="1:2" x14ac:dyDescent="0.25">
      <c r="A545" s="53" t="s">
        <v>7954</v>
      </c>
      <c r="B545" s="53" t="s">
        <v>11295</v>
      </c>
    </row>
    <row r="546" spans="1:2" x14ac:dyDescent="0.25">
      <c r="A546" s="54" t="s">
        <v>7955</v>
      </c>
      <c r="B546" s="54" t="s">
        <v>11296</v>
      </c>
    </row>
    <row r="547" spans="1:2" x14ac:dyDescent="0.25">
      <c r="A547" s="53" t="s">
        <v>7956</v>
      </c>
      <c r="B547" s="53" t="s">
        <v>11297</v>
      </c>
    </row>
    <row r="548" spans="1:2" x14ac:dyDescent="0.25">
      <c r="A548" s="54" t="s">
        <v>7957</v>
      </c>
      <c r="B548" s="54" t="s">
        <v>11298</v>
      </c>
    </row>
    <row r="549" spans="1:2" x14ac:dyDescent="0.25">
      <c r="A549" s="53" t="s">
        <v>7958</v>
      </c>
      <c r="B549" s="53" t="s">
        <v>11299</v>
      </c>
    </row>
    <row r="550" spans="1:2" x14ac:dyDescent="0.25">
      <c r="A550" s="54" t="s">
        <v>7959</v>
      </c>
      <c r="B550" s="54" t="s">
        <v>11300</v>
      </c>
    </row>
    <row r="551" spans="1:2" x14ac:dyDescent="0.25">
      <c r="A551" s="53" t="s">
        <v>7960</v>
      </c>
      <c r="B551" s="53" t="s">
        <v>11301</v>
      </c>
    </row>
    <row r="552" spans="1:2" x14ac:dyDescent="0.25">
      <c r="A552" s="54" t="s">
        <v>7961</v>
      </c>
      <c r="B552" s="54" t="s">
        <v>11302</v>
      </c>
    </row>
    <row r="553" spans="1:2" x14ac:dyDescent="0.25">
      <c r="A553" s="53" t="s">
        <v>7962</v>
      </c>
      <c r="B553" s="53" t="s">
        <v>11303</v>
      </c>
    </row>
    <row r="554" spans="1:2" x14ac:dyDescent="0.25">
      <c r="A554" s="54" t="s">
        <v>7963</v>
      </c>
      <c r="B554" s="54" t="s">
        <v>11304</v>
      </c>
    </row>
    <row r="555" spans="1:2" x14ac:dyDescent="0.25">
      <c r="A555" s="53" t="s">
        <v>7964</v>
      </c>
      <c r="B555" s="53" t="s">
        <v>11305</v>
      </c>
    </row>
    <row r="556" spans="1:2" x14ac:dyDescent="0.25">
      <c r="A556" s="54" t="s">
        <v>7965</v>
      </c>
      <c r="B556" s="54" t="s">
        <v>11306</v>
      </c>
    </row>
    <row r="557" spans="1:2" x14ac:dyDescent="0.25">
      <c r="A557" s="53" t="s">
        <v>7966</v>
      </c>
      <c r="B557" s="53" t="s">
        <v>11307</v>
      </c>
    </row>
    <row r="558" spans="1:2" x14ac:dyDescent="0.25">
      <c r="A558" s="54" t="s">
        <v>7967</v>
      </c>
      <c r="B558" s="54" t="s">
        <v>11308</v>
      </c>
    </row>
    <row r="559" spans="1:2" x14ac:dyDescent="0.25">
      <c r="A559" s="53" t="s">
        <v>7968</v>
      </c>
      <c r="B559" s="53" t="s">
        <v>11309</v>
      </c>
    </row>
    <row r="560" spans="1:2" x14ac:dyDescent="0.25">
      <c r="A560" s="54" t="s">
        <v>7969</v>
      </c>
      <c r="B560" s="54" t="s">
        <v>11310</v>
      </c>
    </row>
    <row r="561" spans="1:2" x14ac:dyDescent="0.25">
      <c r="A561" s="53" t="s">
        <v>7970</v>
      </c>
      <c r="B561" s="53" t="s">
        <v>11311</v>
      </c>
    </row>
    <row r="562" spans="1:2" x14ac:dyDescent="0.25">
      <c r="A562" s="54" t="s">
        <v>7971</v>
      </c>
      <c r="B562" s="54" t="s">
        <v>11312</v>
      </c>
    </row>
    <row r="563" spans="1:2" x14ac:dyDescent="0.25">
      <c r="A563" s="53" t="s">
        <v>7972</v>
      </c>
      <c r="B563" s="53" t="s">
        <v>11313</v>
      </c>
    </row>
    <row r="564" spans="1:2" x14ac:dyDescent="0.25">
      <c r="A564" s="54" t="s">
        <v>7973</v>
      </c>
      <c r="B564" s="54" t="s">
        <v>11314</v>
      </c>
    </row>
    <row r="565" spans="1:2" x14ac:dyDescent="0.25">
      <c r="A565" s="53" t="s">
        <v>7974</v>
      </c>
      <c r="B565" s="53" t="s">
        <v>11315</v>
      </c>
    </row>
    <row r="566" spans="1:2" x14ac:dyDescent="0.25">
      <c r="A566" s="54" t="s">
        <v>7975</v>
      </c>
      <c r="B566" s="54" t="s">
        <v>11316</v>
      </c>
    </row>
    <row r="567" spans="1:2" x14ac:dyDescent="0.25">
      <c r="A567" s="53" t="s">
        <v>7976</v>
      </c>
      <c r="B567" s="53" t="s">
        <v>11317</v>
      </c>
    </row>
    <row r="568" spans="1:2" x14ac:dyDescent="0.25">
      <c r="A568" s="54" t="s">
        <v>7977</v>
      </c>
      <c r="B568" s="54" t="s">
        <v>11318</v>
      </c>
    </row>
    <row r="569" spans="1:2" x14ac:dyDescent="0.25">
      <c r="A569" s="53" t="s">
        <v>7978</v>
      </c>
      <c r="B569" s="53" t="s">
        <v>11236</v>
      </c>
    </row>
    <row r="570" spans="1:2" x14ac:dyDescent="0.25">
      <c r="A570" s="54" t="s">
        <v>7979</v>
      </c>
      <c r="B570" s="54" t="s">
        <v>11319</v>
      </c>
    </row>
    <row r="571" spans="1:2" x14ac:dyDescent="0.25">
      <c r="A571" s="53" t="s">
        <v>7980</v>
      </c>
      <c r="B571" s="53" t="s">
        <v>11320</v>
      </c>
    </row>
    <row r="572" spans="1:2" x14ac:dyDescent="0.25">
      <c r="A572" s="54" t="s">
        <v>7981</v>
      </c>
      <c r="B572" s="54" t="s">
        <v>11321</v>
      </c>
    </row>
    <row r="573" spans="1:2" x14ac:dyDescent="0.25">
      <c r="A573" s="53" t="s">
        <v>7982</v>
      </c>
      <c r="B573" s="53" t="s">
        <v>11322</v>
      </c>
    </row>
    <row r="574" spans="1:2" x14ac:dyDescent="0.25">
      <c r="A574" s="54" t="s">
        <v>7983</v>
      </c>
      <c r="B574" s="54" t="s">
        <v>11323</v>
      </c>
    </row>
    <row r="575" spans="1:2" x14ac:dyDescent="0.25">
      <c r="A575" s="53" t="s">
        <v>7984</v>
      </c>
      <c r="B575" s="53" t="s">
        <v>11324</v>
      </c>
    </row>
    <row r="576" spans="1:2" x14ac:dyDescent="0.25">
      <c r="A576" s="54" t="s">
        <v>7985</v>
      </c>
      <c r="B576" s="54" t="s">
        <v>11325</v>
      </c>
    </row>
    <row r="577" spans="1:2" x14ac:dyDescent="0.25">
      <c r="A577" s="53" t="s">
        <v>7986</v>
      </c>
      <c r="B577" s="53" t="s">
        <v>11326</v>
      </c>
    </row>
    <row r="578" spans="1:2" x14ac:dyDescent="0.25">
      <c r="A578" s="54" t="s">
        <v>7987</v>
      </c>
      <c r="B578" s="54" t="s">
        <v>11327</v>
      </c>
    </row>
    <row r="579" spans="1:2" x14ac:dyDescent="0.25">
      <c r="A579" s="53" t="s">
        <v>7988</v>
      </c>
      <c r="B579" s="53" t="s">
        <v>11328</v>
      </c>
    </row>
    <row r="580" spans="1:2" x14ac:dyDescent="0.25">
      <c r="A580" s="54" t="s">
        <v>7989</v>
      </c>
      <c r="B580" s="54" t="s">
        <v>11329</v>
      </c>
    </row>
    <row r="581" spans="1:2" x14ac:dyDescent="0.25">
      <c r="A581" s="53" t="s">
        <v>7990</v>
      </c>
      <c r="B581" s="53" t="s">
        <v>11330</v>
      </c>
    </row>
    <row r="582" spans="1:2" x14ac:dyDescent="0.25">
      <c r="A582" s="54" t="s">
        <v>7991</v>
      </c>
      <c r="B582" s="54" t="s">
        <v>11331</v>
      </c>
    </row>
    <row r="583" spans="1:2" x14ac:dyDescent="0.25">
      <c r="A583" s="53" t="s">
        <v>7992</v>
      </c>
      <c r="B583" s="53" t="s">
        <v>11332</v>
      </c>
    </row>
    <row r="584" spans="1:2" x14ac:dyDescent="0.25">
      <c r="A584" s="54" t="s">
        <v>7993</v>
      </c>
      <c r="B584" s="54" t="s">
        <v>11333</v>
      </c>
    </row>
    <row r="585" spans="1:2" x14ac:dyDescent="0.25">
      <c r="A585" s="53" t="s">
        <v>7994</v>
      </c>
      <c r="B585" s="53" t="s">
        <v>11334</v>
      </c>
    </row>
    <row r="586" spans="1:2" x14ac:dyDescent="0.25">
      <c r="A586" s="54" t="s">
        <v>7995</v>
      </c>
      <c r="B586" s="54" t="s">
        <v>11335</v>
      </c>
    </row>
    <row r="587" spans="1:2" x14ac:dyDescent="0.25">
      <c r="A587" s="53" t="s">
        <v>7996</v>
      </c>
      <c r="B587" s="53" t="s">
        <v>11336</v>
      </c>
    </row>
    <row r="588" spans="1:2" x14ac:dyDescent="0.25">
      <c r="A588" s="54" t="s">
        <v>7997</v>
      </c>
      <c r="B588" s="54" t="s">
        <v>11337</v>
      </c>
    </row>
    <row r="589" spans="1:2" x14ac:dyDescent="0.25">
      <c r="A589" s="53" t="s">
        <v>7998</v>
      </c>
      <c r="B589" s="53" t="s">
        <v>11338</v>
      </c>
    </row>
    <row r="590" spans="1:2" x14ac:dyDescent="0.25">
      <c r="A590" s="54" t="s">
        <v>7999</v>
      </c>
      <c r="B590" s="54" t="s">
        <v>11339</v>
      </c>
    </row>
    <row r="591" spans="1:2" x14ac:dyDescent="0.25">
      <c r="A591" s="53" t="s">
        <v>8000</v>
      </c>
      <c r="B591" s="53" t="s">
        <v>11340</v>
      </c>
    </row>
    <row r="592" spans="1:2" x14ac:dyDescent="0.25">
      <c r="A592" s="54" t="s">
        <v>8001</v>
      </c>
      <c r="B592" s="54" t="s">
        <v>11341</v>
      </c>
    </row>
    <row r="593" spans="1:2" x14ac:dyDescent="0.25">
      <c r="A593" s="53" t="s">
        <v>8002</v>
      </c>
      <c r="B593" s="53" t="s">
        <v>11342</v>
      </c>
    </row>
    <row r="594" spans="1:2" x14ac:dyDescent="0.25">
      <c r="A594" s="54" t="s">
        <v>8003</v>
      </c>
      <c r="B594" s="54" t="s">
        <v>11343</v>
      </c>
    </row>
    <row r="595" spans="1:2" x14ac:dyDescent="0.25">
      <c r="A595" s="53" t="s">
        <v>8004</v>
      </c>
      <c r="B595" s="53" t="s">
        <v>11344</v>
      </c>
    </row>
    <row r="596" spans="1:2" x14ac:dyDescent="0.25">
      <c r="A596" s="54" t="s">
        <v>8005</v>
      </c>
      <c r="B596" s="54" t="s">
        <v>11345</v>
      </c>
    </row>
    <row r="597" spans="1:2" x14ac:dyDescent="0.25">
      <c r="A597" s="53" t="s">
        <v>8006</v>
      </c>
      <c r="B597" s="53" t="s">
        <v>11346</v>
      </c>
    </row>
    <row r="598" spans="1:2" x14ac:dyDescent="0.25">
      <c r="A598" s="54" t="s">
        <v>8007</v>
      </c>
      <c r="B598" s="54" t="s">
        <v>11347</v>
      </c>
    </row>
    <row r="599" spans="1:2" x14ac:dyDescent="0.25">
      <c r="A599" s="53" t="s">
        <v>8008</v>
      </c>
      <c r="B599" s="53" t="s">
        <v>11348</v>
      </c>
    </row>
    <row r="600" spans="1:2" x14ac:dyDescent="0.25">
      <c r="A600" s="54" t="s">
        <v>8009</v>
      </c>
      <c r="B600" s="54" t="s">
        <v>11349</v>
      </c>
    </row>
    <row r="601" spans="1:2" x14ac:dyDescent="0.25">
      <c r="A601" s="53" t="s">
        <v>8010</v>
      </c>
      <c r="B601" s="53" t="s">
        <v>11350</v>
      </c>
    </row>
    <row r="602" spans="1:2" x14ac:dyDescent="0.25">
      <c r="A602" s="54" t="s">
        <v>8011</v>
      </c>
      <c r="B602" s="54" t="s">
        <v>11351</v>
      </c>
    </row>
    <row r="603" spans="1:2" x14ac:dyDescent="0.25">
      <c r="A603" s="53" t="s">
        <v>8012</v>
      </c>
      <c r="B603" s="53" t="s">
        <v>11352</v>
      </c>
    </row>
    <row r="604" spans="1:2" x14ac:dyDescent="0.25">
      <c r="A604" s="54" t="s">
        <v>8013</v>
      </c>
      <c r="B604" s="54" t="s">
        <v>11353</v>
      </c>
    </row>
    <row r="605" spans="1:2" x14ac:dyDescent="0.25">
      <c r="A605" s="53" t="s">
        <v>8014</v>
      </c>
      <c r="B605" s="53" t="s">
        <v>11354</v>
      </c>
    </row>
    <row r="606" spans="1:2" x14ac:dyDescent="0.25">
      <c r="A606" s="54" t="s">
        <v>8015</v>
      </c>
      <c r="B606" s="54" t="s">
        <v>11355</v>
      </c>
    </row>
    <row r="607" spans="1:2" x14ac:dyDescent="0.25">
      <c r="A607" s="53" t="s">
        <v>8016</v>
      </c>
      <c r="B607" s="53" t="s">
        <v>11356</v>
      </c>
    </row>
    <row r="608" spans="1:2" x14ac:dyDescent="0.25">
      <c r="A608" s="54" t="s">
        <v>8017</v>
      </c>
      <c r="B608" s="54" t="s">
        <v>11357</v>
      </c>
    </row>
    <row r="609" spans="1:2" x14ac:dyDescent="0.25">
      <c r="A609" s="53" t="s">
        <v>8018</v>
      </c>
      <c r="B609" s="53" t="s">
        <v>11358</v>
      </c>
    </row>
    <row r="610" spans="1:2" x14ac:dyDescent="0.25">
      <c r="A610" s="54" t="s">
        <v>8019</v>
      </c>
      <c r="B610" s="54" t="s">
        <v>11359</v>
      </c>
    </row>
    <row r="611" spans="1:2" x14ac:dyDescent="0.25">
      <c r="A611" s="53" t="s">
        <v>8020</v>
      </c>
      <c r="B611" s="53" t="s">
        <v>11360</v>
      </c>
    </row>
    <row r="612" spans="1:2" x14ac:dyDescent="0.25">
      <c r="A612" s="54" t="s">
        <v>8021</v>
      </c>
      <c r="B612" s="54" t="s">
        <v>11361</v>
      </c>
    </row>
    <row r="613" spans="1:2" x14ac:dyDescent="0.25">
      <c r="A613" s="53" t="s">
        <v>8022</v>
      </c>
      <c r="B613" s="53" t="s">
        <v>11362</v>
      </c>
    </row>
    <row r="614" spans="1:2" x14ac:dyDescent="0.25">
      <c r="A614" s="54" t="s">
        <v>8023</v>
      </c>
      <c r="B614" s="54" t="s">
        <v>11363</v>
      </c>
    </row>
    <row r="615" spans="1:2" x14ac:dyDescent="0.25">
      <c r="A615" s="53" t="s">
        <v>8024</v>
      </c>
      <c r="B615" s="53" t="s">
        <v>11364</v>
      </c>
    </row>
    <row r="616" spans="1:2" x14ac:dyDescent="0.25">
      <c r="A616" s="54" t="s">
        <v>8025</v>
      </c>
      <c r="B616" s="54" t="s">
        <v>11365</v>
      </c>
    </row>
    <row r="617" spans="1:2" x14ac:dyDescent="0.25">
      <c r="A617" s="53" t="s">
        <v>8026</v>
      </c>
      <c r="B617" s="53" t="s">
        <v>11366</v>
      </c>
    </row>
    <row r="618" spans="1:2" x14ac:dyDescent="0.25">
      <c r="A618" s="54" t="s">
        <v>8027</v>
      </c>
      <c r="B618" s="54" t="s">
        <v>11367</v>
      </c>
    </row>
    <row r="619" spans="1:2" x14ac:dyDescent="0.25">
      <c r="A619" s="53" t="s">
        <v>8028</v>
      </c>
      <c r="B619" s="53" t="s">
        <v>11368</v>
      </c>
    </row>
    <row r="620" spans="1:2" x14ac:dyDescent="0.25">
      <c r="A620" s="54" t="s">
        <v>8029</v>
      </c>
      <c r="B620" s="54" t="s">
        <v>11369</v>
      </c>
    </row>
    <row r="621" spans="1:2" x14ac:dyDescent="0.25">
      <c r="A621" s="53" t="s">
        <v>8030</v>
      </c>
      <c r="B621" s="53" t="s">
        <v>11370</v>
      </c>
    </row>
    <row r="622" spans="1:2" x14ac:dyDescent="0.25">
      <c r="A622" s="54" t="s">
        <v>8031</v>
      </c>
      <c r="B622" s="54" t="s">
        <v>11371</v>
      </c>
    </row>
    <row r="623" spans="1:2" x14ac:dyDescent="0.25">
      <c r="A623" s="53" t="s">
        <v>8032</v>
      </c>
      <c r="B623" s="53" t="s">
        <v>11372</v>
      </c>
    </row>
    <row r="624" spans="1:2" x14ac:dyDescent="0.25">
      <c r="A624" s="54" t="s">
        <v>8033</v>
      </c>
      <c r="B624" s="54" t="s">
        <v>11373</v>
      </c>
    </row>
    <row r="625" spans="1:2" x14ac:dyDescent="0.25">
      <c r="A625" s="53" t="s">
        <v>8034</v>
      </c>
      <c r="B625" s="53" t="s">
        <v>11374</v>
      </c>
    </row>
    <row r="626" spans="1:2" x14ac:dyDescent="0.25">
      <c r="A626" s="54" t="s">
        <v>8035</v>
      </c>
      <c r="B626" s="54" t="s">
        <v>11375</v>
      </c>
    </row>
    <row r="627" spans="1:2" x14ac:dyDescent="0.25">
      <c r="A627" s="53" t="s">
        <v>8036</v>
      </c>
      <c r="B627" s="53" t="s">
        <v>11376</v>
      </c>
    </row>
    <row r="628" spans="1:2" x14ac:dyDescent="0.25">
      <c r="A628" s="54" t="s">
        <v>8037</v>
      </c>
      <c r="B628" s="54" t="s">
        <v>10945</v>
      </c>
    </row>
    <row r="629" spans="1:2" x14ac:dyDescent="0.25">
      <c r="A629" s="53" t="s">
        <v>8038</v>
      </c>
      <c r="B629" s="53" t="s">
        <v>11377</v>
      </c>
    </row>
    <row r="630" spans="1:2" x14ac:dyDescent="0.25">
      <c r="A630" s="54" t="s">
        <v>8039</v>
      </c>
      <c r="B630" s="54" t="s">
        <v>11378</v>
      </c>
    </row>
    <row r="631" spans="1:2" x14ac:dyDescent="0.25">
      <c r="A631" s="53" t="s">
        <v>8040</v>
      </c>
      <c r="B631" s="53" t="s">
        <v>11379</v>
      </c>
    </row>
    <row r="632" spans="1:2" x14ac:dyDescent="0.25">
      <c r="A632" s="54" t="s">
        <v>8041</v>
      </c>
      <c r="B632" s="54" t="s">
        <v>11380</v>
      </c>
    </row>
    <row r="633" spans="1:2" x14ac:dyDescent="0.25">
      <c r="A633" s="53" t="s">
        <v>8042</v>
      </c>
      <c r="B633" s="53" t="s">
        <v>11381</v>
      </c>
    </row>
    <row r="634" spans="1:2" x14ac:dyDescent="0.25">
      <c r="A634" s="54" t="s">
        <v>8043</v>
      </c>
      <c r="B634" s="54" t="s">
        <v>11382</v>
      </c>
    </row>
    <row r="635" spans="1:2" x14ac:dyDescent="0.25">
      <c r="A635" s="53" t="s">
        <v>8044</v>
      </c>
      <c r="B635" s="53" t="s">
        <v>11383</v>
      </c>
    </row>
    <row r="636" spans="1:2" x14ac:dyDescent="0.25">
      <c r="A636" s="54" t="s">
        <v>8045</v>
      </c>
      <c r="B636" s="54" t="s">
        <v>11384</v>
      </c>
    </row>
    <row r="637" spans="1:2" x14ac:dyDescent="0.25">
      <c r="A637" s="53" t="s">
        <v>8046</v>
      </c>
      <c r="B637" s="53" t="s">
        <v>11385</v>
      </c>
    </row>
    <row r="638" spans="1:2" x14ac:dyDescent="0.25">
      <c r="A638" s="54" t="s">
        <v>8047</v>
      </c>
      <c r="B638" s="54" t="s">
        <v>11386</v>
      </c>
    </row>
    <row r="639" spans="1:2" x14ac:dyDescent="0.25">
      <c r="A639" s="53" t="s">
        <v>8048</v>
      </c>
      <c r="B639" s="53" t="s">
        <v>11387</v>
      </c>
    </row>
    <row r="640" spans="1:2" x14ac:dyDescent="0.25">
      <c r="A640" s="54" t="s">
        <v>8049</v>
      </c>
      <c r="B640" s="54" t="s">
        <v>11388</v>
      </c>
    </row>
    <row r="641" spans="1:2" x14ac:dyDescent="0.25">
      <c r="A641" s="53" t="s">
        <v>8050</v>
      </c>
      <c r="B641" s="53" t="s">
        <v>11389</v>
      </c>
    </row>
    <row r="642" spans="1:2" x14ac:dyDescent="0.25">
      <c r="A642" s="54" t="s">
        <v>8051</v>
      </c>
      <c r="B642" s="54" t="s">
        <v>11390</v>
      </c>
    </row>
    <row r="643" spans="1:2" x14ac:dyDescent="0.25">
      <c r="A643" s="53" t="s">
        <v>8052</v>
      </c>
      <c r="B643" s="53" t="s">
        <v>11391</v>
      </c>
    </row>
    <row r="644" spans="1:2" x14ac:dyDescent="0.25">
      <c r="A644" s="54" t="s">
        <v>8053</v>
      </c>
      <c r="B644" s="54" t="s">
        <v>11392</v>
      </c>
    </row>
    <row r="645" spans="1:2" x14ac:dyDescent="0.25">
      <c r="A645" s="53" t="s">
        <v>8054</v>
      </c>
      <c r="B645" s="53" t="s">
        <v>11393</v>
      </c>
    </row>
    <row r="646" spans="1:2" x14ac:dyDescent="0.25">
      <c r="A646" s="54" t="s">
        <v>8055</v>
      </c>
      <c r="B646" s="54" t="s">
        <v>11394</v>
      </c>
    </row>
    <row r="647" spans="1:2" x14ac:dyDescent="0.25">
      <c r="A647" s="53" t="s">
        <v>8056</v>
      </c>
      <c r="B647" s="53" t="s">
        <v>10909</v>
      </c>
    </row>
    <row r="648" spans="1:2" x14ac:dyDescent="0.25">
      <c r="A648" s="54" t="s">
        <v>8057</v>
      </c>
      <c r="B648" s="54" t="s">
        <v>11395</v>
      </c>
    </row>
    <row r="649" spans="1:2" x14ac:dyDescent="0.25">
      <c r="A649" s="53" t="s">
        <v>8058</v>
      </c>
      <c r="B649" s="53" t="s">
        <v>11396</v>
      </c>
    </row>
    <row r="650" spans="1:2" x14ac:dyDescent="0.25">
      <c r="A650" s="54" t="s">
        <v>8059</v>
      </c>
      <c r="B650" s="54" t="s">
        <v>11397</v>
      </c>
    </row>
    <row r="651" spans="1:2" x14ac:dyDescent="0.25">
      <c r="A651" s="53" t="s">
        <v>8060</v>
      </c>
      <c r="B651" s="53" t="s">
        <v>11398</v>
      </c>
    </row>
    <row r="652" spans="1:2" x14ac:dyDescent="0.25">
      <c r="A652" s="54" t="s">
        <v>8061</v>
      </c>
      <c r="B652" s="54" t="s">
        <v>11399</v>
      </c>
    </row>
    <row r="653" spans="1:2" x14ac:dyDescent="0.25">
      <c r="A653" s="53" t="s">
        <v>8062</v>
      </c>
      <c r="B653" s="53" t="s">
        <v>11400</v>
      </c>
    </row>
    <row r="654" spans="1:2" x14ac:dyDescent="0.25">
      <c r="A654" s="54" t="s">
        <v>8063</v>
      </c>
      <c r="B654" s="54" t="s">
        <v>11401</v>
      </c>
    </row>
    <row r="655" spans="1:2" x14ac:dyDescent="0.25">
      <c r="A655" s="53" t="s">
        <v>8064</v>
      </c>
      <c r="B655" s="53" t="s">
        <v>11402</v>
      </c>
    </row>
    <row r="656" spans="1:2" x14ac:dyDescent="0.25">
      <c r="A656" s="54" t="s">
        <v>8065</v>
      </c>
      <c r="B656" s="54" t="s">
        <v>11403</v>
      </c>
    </row>
    <row r="657" spans="1:2" x14ac:dyDescent="0.25">
      <c r="A657" s="53" t="s">
        <v>8066</v>
      </c>
      <c r="B657" s="53" t="s">
        <v>11404</v>
      </c>
    </row>
    <row r="658" spans="1:2" x14ac:dyDescent="0.25">
      <c r="A658" s="54" t="s">
        <v>8067</v>
      </c>
      <c r="B658" s="54" t="s">
        <v>11405</v>
      </c>
    </row>
    <row r="659" spans="1:2" x14ac:dyDescent="0.25">
      <c r="A659" s="53" t="s">
        <v>8068</v>
      </c>
      <c r="B659" s="53" t="s">
        <v>11406</v>
      </c>
    </row>
    <row r="660" spans="1:2" x14ac:dyDescent="0.25">
      <c r="A660" s="54" t="s">
        <v>8069</v>
      </c>
      <c r="B660" s="54" t="s">
        <v>11407</v>
      </c>
    </row>
    <row r="661" spans="1:2" x14ac:dyDescent="0.25">
      <c r="A661" s="53" t="s">
        <v>8070</v>
      </c>
      <c r="B661" s="53" t="s">
        <v>11408</v>
      </c>
    </row>
    <row r="662" spans="1:2" x14ac:dyDescent="0.25">
      <c r="A662" s="54" t="s">
        <v>8071</v>
      </c>
      <c r="B662" s="54" t="s">
        <v>11409</v>
      </c>
    </row>
    <row r="663" spans="1:2" x14ac:dyDescent="0.25">
      <c r="A663" s="53" t="s">
        <v>8072</v>
      </c>
      <c r="B663" s="53" t="s">
        <v>11410</v>
      </c>
    </row>
    <row r="664" spans="1:2" x14ac:dyDescent="0.25">
      <c r="A664" s="54" t="s">
        <v>8073</v>
      </c>
      <c r="B664" s="54" t="s">
        <v>11411</v>
      </c>
    </row>
    <row r="665" spans="1:2" x14ac:dyDescent="0.25">
      <c r="A665" s="53" t="s">
        <v>8074</v>
      </c>
      <c r="B665" s="53" t="s">
        <v>11412</v>
      </c>
    </row>
    <row r="666" spans="1:2" x14ac:dyDescent="0.25">
      <c r="A666" s="54" t="s">
        <v>8075</v>
      </c>
      <c r="B666" s="54" t="s">
        <v>11413</v>
      </c>
    </row>
    <row r="667" spans="1:2" x14ac:dyDescent="0.25">
      <c r="A667" s="53" t="s">
        <v>8076</v>
      </c>
      <c r="B667" s="53" t="s">
        <v>11414</v>
      </c>
    </row>
    <row r="668" spans="1:2" x14ac:dyDescent="0.25">
      <c r="A668" s="54" t="s">
        <v>8077</v>
      </c>
      <c r="B668" s="54" t="s">
        <v>11202</v>
      </c>
    </row>
    <row r="669" spans="1:2" x14ac:dyDescent="0.25">
      <c r="A669" s="53" t="s">
        <v>8078</v>
      </c>
      <c r="B669" s="53" t="s">
        <v>11415</v>
      </c>
    </row>
    <row r="670" spans="1:2" x14ac:dyDescent="0.25">
      <c r="A670" s="54" t="s">
        <v>8079</v>
      </c>
      <c r="B670" s="54" t="s">
        <v>11416</v>
      </c>
    </row>
    <row r="671" spans="1:2" x14ac:dyDescent="0.25">
      <c r="A671" s="53" t="s">
        <v>8080</v>
      </c>
      <c r="B671" s="53" t="s">
        <v>11417</v>
      </c>
    </row>
    <row r="672" spans="1:2" x14ac:dyDescent="0.25">
      <c r="A672" s="54" t="s">
        <v>8081</v>
      </c>
      <c r="B672" s="54" t="s">
        <v>11418</v>
      </c>
    </row>
    <row r="673" spans="1:2" x14ac:dyDescent="0.25">
      <c r="A673" s="53" t="s">
        <v>8082</v>
      </c>
      <c r="B673" s="53" t="s">
        <v>11419</v>
      </c>
    </row>
    <row r="674" spans="1:2" x14ac:dyDescent="0.25">
      <c r="A674" s="54" t="s">
        <v>8083</v>
      </c>
      <c r="B674" s="54" t="s">
        <v>11420</v>
      </c>
    </row>
    <row r="675" spans="1:2" x14ac:dyDescent="0.25">
      <c r="A675" s="53" t="s">
        <v>8084</v>
      </c>
      <c r="B675" s="53" t="s">
        <v>11421</v>
      </c>
    </row>
    <row r="676" spans="1:2" x14ac:dyDescent="0.25">
      <c r="A676" s="54" t="s">
        <v>8085</v>
      </c>
      <c r="B676" s="54" t="s">
        <v>11422</v>
      </c>
    </row>
    <row r="677" spans="1:2" x14ac:dyDescent="0.25">
      <c r="A677" s="53" t="s">
        <v>8086</v>
      </c>
      <c r="B677" s="53" t="s">
        <v>11423</v>
      </c>
    </row>
    <row r="678" spans="1:2" x14ac:dyDescent="0.25">
      <c r="A678" s="54" t="s">
        <v>8087</v>
      </c>
      <c r="B678" s="54" t="s">
        <v>11424</v>
      </c>
    </row>
    <row r="679" spans="1:2" x14ac:dyDescent="0.25">
      <c r="A679" s="53" t="s">
        <v>8088</v>
      </c>
      <c r="B679" s="53" t="s">
        <v>11425</v>
      </c>
    </row>
    <row r="680" spans="1:2" x14ac:dyDescent="0.25">
      <c r="A680" s="54" t="s">
        <v>8089</v>
      </c>
      <c r="B680" s="54" t="s">
        <v>11426</v>
      </c>
    </row>
    <row r="681" spans="1:2" x14ac:dyDescent="0.25">
      <c r="A681" s="53" t="s">
        <v>8090</v>
      </c>
      <c r="B681" s="53" t="s">
        <v>10798</v>
      </c>
    </row>
    <row r="682" spans="1:2" x14ac:dyDescent="0.25">
      <c r="A682" s="54" t="s">
        <v>8091</v>
      </c>
      <c r="B682" s="54" t="s">
        <v>11427</v>
      </c>
    </row>
    <row r="683" spans="1:2" x14ac:dyDescent="0.25">
      <c r="A683" s="53" t="s">
        <v>8092</v>
      </c>
      <c r="B683" s="53" t="s">
        <v>11428</v>
      </c>
    </row>
    <row r="684" spans="1:2" x14ac:dyDescent="0.25">
      <c r="A684" s="54" t="s">
        <v>8093</v>
      </c>
      <c r="B684" s="54" t="s">
        <v>11035</v>
      </c>
    </row>
    <row r="685" spans="1:2" x14ac:dyDescent="0.25">
      <c r="A685" s="53" t="s">
        <v>8094</v>
      </c>
      <c r="B685" s="53" t="s">
        <v>11429</v>
      </c>
    </row>
    <row r="686" spans="1:2" x14ac:dyDescent="0.25">
      <c r="A686" s="54" t="s">
        <v>8095</v>
      </c>
      <c r="B686" s="54" t="s">
        <v>11430</v>
      </c>
    </row>
    <row r="687" spans="1:2" x14ac:dyDescent="0.25">
      <c r="A687" s="53" t="s">
        <v>8096</v>
      </c>
      <c r="B687" s="53" t="s">
        <v>11431</v>
      </c>
    </row>
    <row r="688" spans="1:2" x14ac:dyDescent="0.25">
      <c r="A688" s="54" t="s">
        <v>8097</v>
      </c>
      <c r="B688" s="54" t="s">
        <v>11432</v>
      </c>
    </row>
    <row r="689" spans="1:2" x14ac:dyDescent="0.25">
      <c r="A689" s="53" t="s">
        <v>8098</v>
      </c>
      <c r="B689" s="53" t="s">
        <v>11433</v>
      </c>
    </row>
    <row r="690" spans="1:2" x14ac:dyDescent="0.25">
      <c r="A690" s="54" t="s">
        <v>8099</v>
      </c>
      <c r="B690" s="54" t="s">
        <v>11434</v>
      </c>
    </row>
    <row r="691" spans="1:2" x14ac:dyDescent="0.25">
      <c r="A691" s="53" t="s">
        <v>8100</v>
      </c>
      <c r="B691" s="53" t="s">
        <v>11435</v>
      </c>
    </row>
    <row r="692" spans="1:2" x14ac:dyDescent="0.25">
      <c r="A692" s="54" t="s">
        <v>8101</v>
      </c>
      <c r="B692" s="54" t="s">
        <v>11436</v>
      </c>
    </row>
    <row r="693" spans="1:2" x14ac:dyDescent="0.25">
      <c r="A693" s="53" t="s">
        <v>8102</v>
      </c>
      <c r="B693" s="53" t="s">
        <v>11437</v>
      </c>
    </row>
    <row r="694" spans="1:2" x14ac:dyDescent="0.25">
      <c r="A694" s="54" t="s">
        <v>8103</v>
      </c>
      <c r="B694" s="54" t="s">
        <v>11382</v>
      </c>
    </row>
    <row r="695" spans="1:2" x14ac:dyDescent="0.25">
      <c r="A695" s="53" t="s">
        <v>8104</v>
      </c>
      <c r="B695" s="53" t="s">
        <v>11438</v>
      </c>
    </row>
    <row r="696" spans="1:2" x14ac:dyDescent="0.25">
      <c r="A696" s="54" t="s">
        <v>8105</v>
      </c>
      <c r="B696" s="54" t="s">
        <v>11439</v>
      </c>
    </row>
    <row r="697" spans="1:2" x14ac:dyDescent="0.25">
      <c r="A697" s="53" t="s">
        <v>8106</v>
      </c>
      <c r="B697" s="53" t="s">
        <v>11440</v>
      </c>
    </row>
    <row r="698" spans="1:2" x14ac:dyDescent="0.25">
      <c r="A698" s="54" t="s">
        <v>8107</v>
      </c>
      <c r="B698" s="54" t="s">
        <v>11441</v>
      </c>
    </row>
    <row r="699" spans="1:2" x14ac:dyDescent="0.25">
      <c r="A699" s="53" t="s">
        <v>8108</v>
      </c>
      <c r="B699" s="53" t="s">
        <v>11442</v>
      </c>
    </row>
    <row r="700" spans="1:2" x14ac:dyDescent="0.25">
      <c r="A700" s="54" t="s">
        <v>8109</v>
      </c>
      <c r="B700" s="54" t="s">
        <v>11443</v>
      </c>
    </row>
    <row r="701" spans="1:2" x14ac:dyDescent="0.25">
      <c r="A701" s="53" t="s">
        <v>8110</v>
      </c>
      <c r="B701" s="53" t="s">
        <v>11444</v>
      </c>
    </row>
    <row r="702" spans="1:2" x14ac:dyDescent="0.25">
      <c r="A702" s="54" t="s">
        <v>8111</v>
      </c>
      <c r="B702" s="54" t="s">
        <v>11445</v>
      </c>
    </row>
    <row r="703" spans="1:2" x14ac:dyDescent="0.25">
      <c r="A703" s="53" t="s">
        <v>8112</v>
      </c>
      <c r="B703" s="53" t="s">
        <v>11446</v>
      </c>
    </row>
    <row r="704" spans="1:2" x14ac:dyDescent="0.25">
      <c r="A704" s="54" t="s">
        <v>8113</v>
      </c>
      <c r="B704" s="54" t="s">
        <v>11447</v>
      </c>
    </row>
    <row r="705" spans="1:2" x14ac:dyDescent="0.25">
      <c r="A705" s="53" t="s">
        <v>8114</v>
      </c>
      <c r="B705" s="53" t="s">
        <v>11448</v>
      </c>
    </row>
    <row r="706" spans="1:2" x14ac:dyDescent="0.25">
      <c r="A706" s="54" t="s">
        <v>8115</v>
      </c>
      <c r="B706" s="54" t="s">
        <v>11449</v>
      </c>
    </row>
    <row r="707" spans="1:2" x14ac:dyDescent="0.25">
      <c r="A707" s="53" t="s">
        <v>8116</v>
      </c>
      <c r="B707" s="53" t="s">
        <v>11450</v>
      </c>
    </row>
    <row r="708" spans="1:2" x14ac:dyDescent="0.25">
      <c r="A708" s="54" t="s">
        <v>8117</v>
      </c>
      <c r="B708" s="54" t="s">
        <v>11451</v>
      </c>
    </row>
    <row r="709" spans="1:2" x14ac:dyDescent="0.25">
      <c r="A709" s="53" t="s">
        <v>8118</v>
      </c>
      <c r="B709" s="53" t="s">
        <v>11452</v>
      </c>
    </row>
    <row r="710" spans="1:2" x14ac:dyDescent="0.25">
      <c r="A710" s="54" t="s">
        <v>8119</v>
      </c>
      <c r="B710" s="54" t="s">
        <v>11453</v>
      </c>
    </row>
    <row r="711" spans="1:2" x14ac:dyDescent="0.25">
      <c r="A711" s="53" t="s">
        <v>8120</v>
      </c>
      <c r="B711" s="53" t="s">
        <v>11454</v>
      </c>
    </row>
    <row r="712" spans="1:2" x14ac:dyDescent="0.25">
      <c r="A712" s="54" t="s">
        <v>8121</v>
      </c>
      <c r="B712" s="54" t="s">
        <v>11455</v>
      </c>
    </row>
    <row r="713" spans="1:2" x14ac:dyDescent="0.25">
      <c r="A713" s="53" t="s">
        <v>8122</v>
      </c>
      <c r="B713" s="53" t="s">
        <v>11456</v>
      </c>
    </row>
    <row r="714" spans="1:2" x14ac:dyDescent="0.25">
      <c r="A714" s="54" t="s">
        <v>8123</v>
      </c>
      <c r="B714" s="54" t="s">
        <v>11457</v>
      </c>
    </row>
    <row r="715" spans="1:2" x14ac:dyDescent="0.25">
      <c r="A715" s="53" t="s">
        <v>8124</v>
      </c>
      <c r="B715" s="53" t="s">
        <v>11458</v>
      </c>
    </row>
    <row r="716" spans="1:2" x14ac:dyDescent="0.25">
      <c r="A716" s="54" t="s">
        <v>8125</v>
      </c>
      <c r="B716" s="54" t="s">
        <v>11459</v>
      </c>
    </row>
    <row r="717" spans="1:2" x14ac:dyDescent="0.25">
      <c r="A717" s="53" t="s">
        <v>8126</v>
      </c>
      <c r="B717" s="53" t="s">
        <v>11460</v>
      </c>
    </row>
    <row r="718" spans="1:2" x14ac:dyDescent="0.25">
      <c r="A718" s="54" t="s">
        <v>8127</v>
      </c>
      <c r="B718" s="54" t="s">
        <v>11461</v>
      </c>
    </row>
    <row r="719" spans="1:2" x14ac:dyDescent="0.25">
      <c r="A719" s="53" t="s">
        <v>8128</v>
      </c>
      <c r="B719" s="53" t="s">
        <v>11462</v>
      </c>
    </row>
    <row r="720" spans="1:2" x14ac:dyDescent="0.25">
      <c r="A720" s="54" t="s">
        <v>8129</v>
      </c>
      <c r="B720" s="54" t="s">
        <v>11463</v>
      </c>
    </row>
    <row r="721" spans="1:2" x14ac:dyDescent="0.25">
      <c r="A721" s="53" t="s">
        <v>8130</v>
      </c>
      <c r="B721" s="53" t="s">
        <v>11464</v>
      </c>
    </row>
    <row r="722" spans="1:2" x14ac:dyDescent="0.25">
      <c r="A722" s="54" t="s">
        <v>8131</v>
      </c>
      <c r="B722" s="54" t="s">
        <v>11465</v>
      </c>
    </row>
    <row r="723" spans="1:2" x14ac:dyDescent="0.25">
      <c r="A723" s="53" t="s">
        <v>8132</v>
      </c>
      <c r="B723" s="53" t="s">
        <v>11466</v>
      </c>
    </row>
    <row r="724" spans="1:2" x14ac:dyDescent="0.25">
      <c r="A724" s="54" t="s">
        <v>8133</v>
      </c>
      <c r="B724" s="54" t="s">
        <v>11467</v>
      </c>
    </row>
    <row r="725" spans="1:2" x14ac:dyDescent="0.25">
      <c r="A725" s="53" t="s">
        <v>8134</v>
      </c>
      <c r="B725" s="53" t="s">
        <v>11468</v>
      </c>
    </row>
    <row r="726" spans="1:2" x14ac:dyDescent="0.25">
      <c r="A726" s="54" t="s">
        <v>8135</v>
      </c>
      <c r="B726" s="54" t="s">
        <v>11469</v>
      </c>
    </row>
    <row r="727" spans="1:2" x14ac:dyDescent="0.25">
      <c r="A727" s="53" t="s">
        <v>8136</v>
      </c>
      <c r="B727" s="53" t="s">
        <v>11470</v>
      </c>
    </row>
    <row r="728" spans="1:2" x14ac:dyDescent="0.25">
      <c r="A728" s="54" t="s">
        <v>8137</v>
      </c>
      <c r="B728" s="54" t="s">
        <v>11471</v>
      </c>
    </row>
    <row r="729" spans="1:2" x14ac:dyDescent="0.25">
      <c r="A729" s="53" t="s">
        <v>8138</v>
      </c>
      <c r="B729" s="53" t="s">
        <v>11472</v>
      </c>
    </row>
    <row r="730" spans="1:2" x14ac:dyDescent="0.25">
      <c r="A730" s="54" t="s">
        <v>8139</v>
      </c>
      <c r="B730" s="54" t="s">
        <v>11473</v>
      </c>
    </row>
    <row r="731" spans="1:2" x14ac:dyDescent="0.25">
      <c r="A731" s="53" t="s">
        <v>8140</v>
      </c>
      <c r="B731" s="53" t="s">
        <v>11474</v>
      </c>
    </row>
    <row r="732" spans="1:2" x14ac:dyDescent="0.25">
      <c r="A732" s="54" t="s">
        <v>8141</v>
      </c>
      <c r="B732" s="54" t="s">
        <v>11475</v>
      </c>
    </row>
    <row r="733" spans="1:2" x14ac:dyDescent="0.25">
      <c r="A733" s="53" t="s">
        <v>8142</v>
      </c>
      <c r="B733" s="53" t="s">
        <v>11476</v>
      </c>
    </row>
    <row r="734" spans="1:2" x14ac:dyDescent="0.25">
      <c r="A734" s="54" t="s">
        <v>8143</v>
      </c>
      <c r="B734" s="54" t="s">
        <v>10888</v>
      </c>
    </row>
    <row r="735" spans="1:2" x14ac:dyDescent="0.25">
      <c r="A735" s="53" t="s">
        <v>8144</v>
      </c>
      <c r="B735" s="53" t="s">
        <v>11477</v>
      </c>
    </row>
    <row r="736" spans="1:2" x14ac:dyDescent="0.25">
      <c r="A736" s="54" t="s">
        <v>8145</v>
      </c>
      <c r="B736" s="54" t="s">
        <v>11478</v>
      </c>
    </row>
    <row r="737" spans="1:2" x14ac:dyDescent="0.25">
      <c r="A737" s="53" t="s">
        <v>8146</v>
      </c>
      <c r="B737" s="53" t="s">
        <v>11479</v>
      </c>
    </row>
    <row r="738" spans="1:2" x14ac:dyDescent="0.25">
      <c r="A738" s="54" t="s">
        <v>8147</v>
      </c>
      <c r="B738" s="54" t="s">
        <v>11480</v>
      </c>
    </row>
    <row r="739" spans="1:2" x14ac:dyDescent="0.25">
      <c r="A739" s="53" t="s">
        <v>8148</v>
      </c>
      <c r="B739" s="53" t="s">
        <v>11481</v>
      </c>
    </row>
    <row r="740" spans="1:2" x14ac:dyDescent="0.25">
      <c r="A740" s="54" t="s">
        <v>8149</v>
      </c>
      <c r="B740" s="54" t="s">
        <v>11482</v>
      </c>
    </row>
    <row r="741" spans="1:2" x14ac:dyDescent="0.25">
      <c r="A741" s="53" t="s">
        <v>8150</v>
      </c>
      <c r="B741" s="53" t="s">
        <v>11483</v>
      </c>
    </row>
    <row r="742" spans="1:2" x14ac:dyDescent="0.25">
      <c r="A742" s="54" t="s">
        <v>8151</v>
      </c>
      <c r="B742" s="54" t="s">
        <v>11484</v>
      </c>
    </row>
    <row r="743" spans="1:2" x14ac:dyDescent="0.25">
      <c r="A743" s="53" t="s">
        <v>8152</v>
      </c>
      <c r="B743" s="53" t="s">
        <v>11485</v>
      </c>
    </row>
    <row r="744" spans="1:2" x14ac:dyDescent="0.25">
      <c r="A744" s="54" t="s">
        <v>8153</v>
      </c>
      <c r="B744" s="54" t="s">
        <v>11486</v>
      </c>
    </row>
    <row r="745" spans="1:2" x14ac:dyDescent="0.25">
      <c r="A745" s="53" t="s">
        <v>8154</v>
      </c>
      <c r="B745" s="53" t="s">
        <v>11487</v>
      </c>
    </row>
    <row r="746" spans="1:2" x14ac:dyDescent="0.25">
      <c r="A746" s="54" t="s">
        <v>8155</v>
      </c>
      <c r="B746" s="54" t="s">
        <v>11488</v>
      </c>
    </row>
    <row r="747" spans="1:2" x14ac:dyDescent="0.25">
      <c r="A747" s="53" t="s">
        <v>8156</v>
      </c>
      <c r="B747" s="53" t="s">
        <v>11489</v>
      </c>
    </row>
    <row r="748" spans="1:2" x14ac:dyDescent="0.25">
      <c r="A748" s="54" t="s">
        <v>8157</v>
      </c>
      <c r="B748" s="54" t="s">
        <v>11490</v>
      </c>
    </row>
    <row r="749" spans="1:2" x14ac:dyDescent="0.25">
      <c r="A749" s="53" t="s">
        <v>8158</v>
      </c>
      <c r="B749" s="53" t="s">
        <v>11491</v>
      </c>
    </row>
    <row r="750" spans="1:2" x14ac:dyDescent="0.25">
      <c r="A750" s="54" t="s">
        <v>8159</v>
      </c>
      <c r="B750" s="54" t="s">
        <v>11492</v>
      </c>
    </row>
    <row r="751" spans="1:2" x14ac:dyDescent="0.25">
      <c r="A751" s="53" t="s">
        <v>8160</v>
      </c>
      <c r="B751" s="53" t="s">
        <v>11493</v>
      </c>
    </row>
    <row r="752" spans="1:2" x14ac:dyDescent="0.25">
      <c r="A752" s="54" t="s">
        <v>8161</v>
      </c>
      <c r="B752" s="54" t="s">
        <v>11494</v>
      </c>
    </row>
    <row r="753" spans="1:2" x14ac:dyDescent="0.25">
      <c r="A753" s="53" t="s">
        <v>8162</v>
      </c>
      <c r="B753" s="53" t="s">
        <v>11495</v>
      </c>
    </row>
    <row r="754" spans="1:2" x14ac:dyDescent="0.25">
      <c r="A754" s="54" t="s">
        <v>8163</v>
      </c>
      <c r="B754" s="54" t="s">
        <v>11496</v>
      </c>
    </row>
    <row r="755" spans="1:2" x14ac:dyDescent="0.25">
      <c r="A755" s="53" t="s">
        <v>8164</v>
      </c>
      <c r="B755" s="53" t="s">
        <v>11497</v>
      </c>
    </row>
    <row r="756" spans="1:2" x14ac:dyDescent="0.25">
      <c r="A756" s="54" t="s">
        <v>8165</v>
      </c>
      <c r="B756" s="54" t="s">
        <v>11498</v>
      </c>
    </row>
    <row r="757" spans="1:2" x14ac:dyDescent="0.25">
      <c r="A757" s="53" t="s">
        <v>8166</v>
      </c>
      <c r="B757" s="53" t="s">
        <v>11499</v>
      </c>
    </row>
    <row r="758" spans="1:2" x14ac:dyDescent="0.25">
      <c r="A758" s="54" t="s">
        <v>8167</v>
      </c>
      <c r="B758" s="54" t="s">
        <v>11204</v>
      </c>
    </row>
    <row r="759" spans="1:2" x14ac:dyDescent="0.25">
      <c r="A759" s="53" t="s">
        <v>8168</v>
      </c>
      <c r="B759" s="53" t="s">
        <v>11500</v>
      </c>
    </row>
    <row r="760" spans="1:2" x14ac:dyDescent="0.25">
      <c r="A760" s="54" t="s">
        <v>8169</v>
      </c>
      <c r="B760" s="54" t="s">
        <v>11501</v>
      </c>
    </row>
    <row r="761" spans="1:2" x14ac:dyDescent="0.25">
      <c r="A761" s="53" t="s">
        <v>8170</v>
      </c>
      <c r="B761" s="53" t="s">
        <v>10913</v>
      </c>
    </row>
    <row r="762" spans="1:2" x14ac:dyDescent="0.25">
      <c r="A762" s="54" t="s">
        <v>8171</v>
      </c>
      <c r="B762" s="54" t="s">
        <v>11502</v>
      </c>
    </row>
    <row r="763" spans="1:2" x14ac:dyDescent="0.25">
      <c r="A763" s="53" t="s">
        <v>8172</v>
      </c>
      <c r="B763" s="53" t="s">
        <v>11503</v>
      </c>
    </row>
    <row r="764" spans="1:2" x14ac:dyDescent="0.25">
      <c r="A764" s="54" t="s">
        <v>8173</v>
      </c>
      <c r="B764" s="54" t="s">
        <v>11282</v>
      </c>
    </row>
    <row r="765" spans="1:2" x14ac:dyDescent="0.25">
      <c r="A765" s="53" t="s">
        <v>8174</v>
      </c>
      <c r="B765" s="53" t="s">
        <v>11504</v>
      </c>
    </row>
    <row r="766" spans="1:2" x14ac:dyDescent="0.25">
      <c r="A766" s="54" t="s">
        <v>8175</v>
      </c>
      <c r="B766" s="54" t="s">
        <v>11505</v>
      </c>
    </row>
    <row r="767" spans="1:2" x14ac:dyDescent="0.25">
      <c r="A767" s="53" t="s">
        <v>8176</v>
      </c>
      <c r="B767" s="53" t="s">
        <v>11506</v>
      </c>
    </row>
    <row r="768" spans="1:2" x14ac:dyDescent="0.25">
      <c r="A768" s="54" t="s">
        <v>8177</v>
      </c>
      <c r="B768" s="54" t="s">
        <v>11507</v>
      </c>
    </row>
    <row r="769" spans="1:2" x14ac:dyDescent="0.25">
      <c r="A769" s="53" t="s">
        <v>8178</v>
      </c>
      <c r="B769" s="53" t="s">
        <v>11508</v>
      </c>
    </row>
    <row r="770" spans="1:2" x14ac:dyDescent="0.25">
      <c r="A770" s="54" t="s">
        <v>8179</v>
      </c>
      <c r="B770" s="54" t="s">
        <v>11509</v>
      </c>
    </row>
    <row r="771" spans="1:2" x14ac:dyDescent="0.25">
      <c r="A771" s="53" t="s">
        <v>8180</v>
      </c>
      <c r="B771" s="53" t="s">
        <v>11510</v>
      </c>
    </row>
    <row r="772" spans="1:2" x14ac:dyDescent="0.25">
      <c r="A772" s="54" t="s">
        <v>8181</v>
      </c>
      <c r="B772" s="54" t="s">
        <v>11511</v>
      </c>
    </row>
    <row r="773" spans="1:2" x14ac:dyDescent="0.25">
      <c r="A773" s="53" t="s">
        <v>8182</v>
      </c>
      <c r="B773" s="53" t="s">
        <v>11512</v>
      </c>
    </row>
    <row r="774" spans="1:2" x14ac:dyDescent="0.25">
      <c r="A774" s="54" t="s">
        <v>8183</v>
      </c>
      <c r="B774" s="54" t="s">
        <v>11513</v>
      </c>
    </row>
    <row r="775" spans="1:2" x14ac:dyDescent="0.25">
      <c r="A775" s="53" t="s">
        <v>8184</v>
      </c>
      <c r="B775" s="53" t="s">
        <v>11038</v>
      </c>
    </row>
    <row r="776" spans="1:2" x14ac:dyDescent="0.25">
      <c r="A776" s="54" t="s">
        <v>8185</v>
      </c>
      <c r="B776" s="54" t="s">
        <v>11514</v>
      </c>
    </row>
    <row r="777" spans="1:2" x14ac:dyDescent="0.25">
      <c r="A777" s="53" t="s">
        <v>8186</v>
      </c>
      <c r="B777" s="53" t="s">
        <v>11515</v>
      </c>
    </row>
    <row r="778" spans="1:2" x14ac:dyDescent="0.25">
      <c r="A778" s="54" t="s">
        <v>8187</v>
      </c>
      <c r="B778" s="54" t="s">
        <v>11516</v>
      </c>
    </row>
    <row r="779" spans="1:2" x14ac:dyDescent="0.25">
      <c r="A779" s="53" t="s">
        <v>8188</v>
      </c>
      <c r="B779" s="53" t="s">
        <v>10907</v>
      </c>
    </row>
    <row r="780" spans="1:2" x14ac:dyDescent="0.25">
      <c r="A780" s="54" t="s">
        <v>8189</v>
      </c>
      <c r="B780" s="54" t="s">
        <v>11517</v>
      </c>
    </row>
    <row r="781" spans="1:2" x14ac:dyDescent="0.25">
      <c r="A781" s="53" t="s">
        <v>8190</v>
      </c>
      <c r="B781" s="53" t="s">
        <v>11518</v>
      </c>
    </row>
    <row r="782" spans="1:2" x14ac:dyDescent="0.25">
      <c r="A782" s="54" t="s">
        <v>8191</v>
      </c>
      <c r="B782" s="54" t="s">
        <v>11519</v>
      </c>
    </row>
    <row r="783" spans="1:2" x14ac:dyDescent="0.25">
      <c r="A783" s="53" t="s">
        <v>8192</v>
      </c>
      <c r="B783" s="53" t="s">
        <v>10850</v>
      </c>
    </row>
    <row r="784" spans="1:2" x14ac:dyDescent="0.25">
      <c r="A784" s="54" t="s">
        <v>8193</v>
      </c>
      <c r="B784" s="54" t="s">
        <v>11520</v>
      </c>
    </row>
    <row r="785" spans="1:2" x14ac:dyDescent="0.25">
      <c r="A785" s="53" t="s">
        <v>8194</v>
      </c>
      <c r="B785" s="53" t="s">
        <v>11521</v>
      </c>
    </row>
    <row r="786" spans="1:2" x14ac:dyDescent="0.25">
      <c r="A786" s="54" t="s">
        <v>8195</v>
      </c>
      <c r="B786" s="54" t="s">
        <v>11522</v>
      </c>
    </row>
    <row r="787" spans="1:2" x14ac:dyDescent="0.25">
      <c r="A787" s="53" t="s">
        <v>8196</v>
      </c>
      <c r="B787" s="53" t="s">
        <v>11523</v>
      </c>
    </row>
    <row r="788" spans="1:2" x14ac:dyDescent="0.25">
      <c r="A788" s="54" t="s">
        <v>8197</v>
      </c>
      <c r="B788" s="54" t="s">
        <v>11524</v>
      </c>
    </row>
    <row r="789" spans="1:2" x14ac:dyDescent="0.25">
      <c r="A789" s="53" t="s">
        <v>8198</v>
      </c>
      <c r="B789" s="53" t="s">
        <v>11525</v>
      </c>
    </row>
    <row r="790" spans="1:2" x14ac:dyDescent="0.25">
      <c r="A790" s="54" t="s">
        <v>8199</v>
      </c>
      <c r="B790" s="54" t="s">
        <v>11526</v>
      </c>
    </row>
    <row r="791" spans="1:2" x14ac:dyDescent="0.25">
      <c r="A791" s="53" t="s">
        <v>8200</v>
      </c>
      <c r="B791" s="53" t="s">
        <v>11527</v>
      </c>
    </row>
    <row r="792" spans="1:2" x14ac:dyDescent="0.25">
      <c r="A792" s="54" t="s">
        <v>8201</v>
      </c>
      <c r="B792" s="54" t="s">
        <v>11528</v>
      </c>
    </row>
    <row r="793" spans="1:2" x14ac:dyDescent="0.25">
      <c r="A793" s="53" t="s">
        <v>8202</v>
      </c>
      <c r="B793" s="53" t="s">
        <v>11529</v>
      </c>
    </row>
    <row r="794" spans="1:2" x14ac:dyDescent="0.25">
      <c r="A794" s="54" t="s">
        <v>8203</v>
      </c>
      <c r="B794" s="54" t="s">
        <v>11530</v>
      </c>
    </row>
    <row r="795" spans="1:2" x14ac:dyDescent="0.25">
      <c r="A795" s="53" t="s">
        <v>8204</v>
      </c>
      <c r="B795" s="53" t="s">
        <v>10951</v>
      </c>
    </row>
    <row r="796" spans="1:2" x14ac:dyDescent="0.25">
      <c r="A796" s="54" t="s">
        <v>8205</v>
      </c>
      <c r="B796" s="54" t="s">
        <v>11531</v>
      </c>
    </row>
    <row r="797" spans="1:2" x14ac:dyDescent="0.25">
      <c r="A797" s="53" t="s">
        <v>8206</v>
      </c>
      <c r="B797" s="53" t="s">
        <v>11532</v>
      </c>
    </row>
    <row r="798" spans="1:2" x14ac:dyDescent="0.25">
      <c r="A798" s="54" t="s">
        <v>8207</v>
      </c>
      <c r="B798" s="54" t="s">
        <v>11533</v>
      </c>
    </row>
    <row r="799" spans="1:2" x14ac:dyDescent="0.25">
      <c r="A799" s="53" t="s">
        <v>8208</v>
      </c>
      <c r="B799" s="53" t="s">
        <v>10945</v>
      </c>
    </row>
    <row r="800" spans="1:2" x14ac:dyDescent="0.25">
      <c r="A800" s="54" t="s">
        <v>8209</v>
      </c>
      <c r="B800" s="54" t="s">
        <v>11534</v>
      </c>
    </row>
    <row r="801" spans="1:2" x14ac:dyDescent="0.25">
      <c r="A801" s="53" t="s">
        <v>8210</v>
      </c>
      <c r="B801" s="53" t="s">
        <v>11535</v>
      </c>
    </row>
    <row r="802" spans="1:2" x14ac:dyDescent="0.25">
      <c r="A802" s="54" t="s">
        <v>8211</v>
      </c>
      <c r="B802" s="54" t="s">
        <v>11536</v>
      </c>
    </row>
    <row r="803" spans="1:2" x14ac:dyDescent="0.25">
      <c r="A803" s="53" t="s">
        <v>8212</v>
      </c>
      <c r="B803" s="53" t="s">
        <v>11537</v>
      </c>
    </row>
    <row r="804" spans="1:2" x14ac:dyDescent="0.25">
      <c r="A804" s="54" t="s">
        <v>8213</v>
      </c>
      <c r="B804" s="54" t="s">
        <v>11538</v>
      </c>
    </row>
    <row r="805" spans="1:2" x14ac:dyDescent="0.25">
      <c r="A805" s="53" t="s">
        <v>8214</v>
      </c>
      <c r="B805" s="53" t="s">
        <v>11539</v>
      </c>
    </row>
    <row r="806" spans="1:2" x14ac:dyDescent="0.25">
      <c r="A806" s="54" t="s">
        <v>8215</v>
      </c>
      <c r="B806" s="54" t="s">
        <v>11540</v>
      </c>
    </row>
    <row r="807" spans="1:2" x14ac:dyDescent="0.25">
      <c r="A807" s="53" t="s">
        <v>8216</v>
      </c>
      <c r="B807" s="53" t="s">
        <v>11541</v>
      </c>
    </row>
    <row r="808" spans="1:2" x14ac:dyDescent="0.25">
      <c r="A808" s="54" t="s">
        <v>8217</v>
      </c>
      <c r="B808" s="54" t="s">
        <v>10931</v>
      </c>
    </row>
    <row r="809" spans="1:2" x14ac:dyDescent="0.25">
      <c r="A809" s="53" t="s">
        <v>8218</v>
      </c>
      <c r="B809" s="53" t="s">
        <v>11542</v>
      </c>
    </row>
    <row r="810" spans="1:2" x14ac:dyDescent="0.25">
      <c r="A810" s="54" t="s">
        <v>8219</v>
      </c>
      <c r="B810" s="54" t="s">
        <v>11543</v>
      </c>
    </row>
    <row r="811" spans="1:2" x14ac:dyDescent="0.25">
      <c r="A811" s="53" t="s">
        <v>8220</v>
      </c>
      <c r="B811" s="53" t="s">
        <v>11544</v>
      </c>
    </row>
    <row r="812" spans="1:2" x14ac:dyDescent="0.25">
      <c r="A812" s="54" t="s">
        <v>8221</v>
      </c>
      <c r="B812" s="54" t="s">
        <v>11545</v>
      </c>
    </row>
    <row r="813" spans="1:2" x14ac:dyDescent="0.25">
      <c r="A813" s="53" t="s">
        <v>8222</v>
      </c>
      <c r="B813" s="53" t="s">
        <v>11546</v>
      </c>
    </row>
    <row r="814" spans="1:2" x14ac:dyDescent="0.25">
      <c r="A814" s="54" t="s">
        <v>8223</v>
      </c>
      <c r="B814" s="54" t="s">
        <v>11547</v>
      </c>
    </row>
    <row r="815" spans="1:2" x14ac:dyDescent="0.25">
      <c r="A815" s="53" t="s">
        <v>8224</v>
      </c>
      <c r="B815" s="53" t="s">
        <v>11548</v>
      </c>
    </row>
    <row r="816" spans="1:2" x14ac:dyDescent="0.25">
      <c r="A816" s="54" t="s">
        <v>8225</v>
      </c>
      <c r="B816" s="54" t="s">
        <v>11549</v>
      </c>
    </row>
    <row r="817" spans="1:2" x14ac:dyDescent="0.25">
      <c r="A817" s="53" t="s">
        <v>8226</v>
      </c>
      <c r="B817" s="53" t="s">
        <v>11550</v>
      </c>
    </row>
    <row r="818" spans="1:2" x14ac:dyDescent="0.25">
      <c r="A818" s="54" t="s">
        <v>8227</v>
      </c>
      <c r="B818" s="54" t="s">
        <v>11551</v>
      </c>
    </row>
    <row r="819" spans="1:2" x14ac:dyDescent="0.25">
      <c r="A819" s="53" t="s">
        <v>8228</v>
      </c>
      <c r="B819" s="53" t="s">
        <v>11552</v>
      </c>
    </row>
    <row r="820" spans="1:2" x14ac:dyDescent="0.25">
      <c r="A820" s="54" t="s">
        <v>8229</v>
      </c>
      <c r="B820" s="54" t="s">
        <v>11553</v>
      </c>
    </row>
    <row r="821" spans="1:2" x14ac:dyDescent="0.25">
      <c r="A821" s="53" t="s">
        <v>8230</v>
      </c>
      <c r="B821" s="53" t="s">
        <v>11554</v>
      </c>
    </row>
    <row r="822" spans="1:2" x14ac:dyDescent="0.25">
      <c r="A822" s="54" t="s">
        <v>8231</v>
      </c>
      <c r="B822" s="54" t="s">
        <v>11555</v>
      </c>
    </row>
    <row r="823" spans="1:2" x14ac:dyDescent="0.25">
      <c r="A823" s="53" t="s">
        <v>8232</v>
      </c>
      <c r="B823" s="53" t="s">
        <v>11556</v>
      </c>
    </row>
    <row r="824" spans="1:2" x14ac:dyDescent="0.25">
      <c r="A824" s="54" t="s">
        <v>8233</v>
      </c>
      <c r="B824" s="54" t="s">
        <v>11557</v>
      </c>
    </row>
    <row r="825" spans="1:2" x14ac:dyDescent="0.25">
      <c r="A825" s="53" t="s">
        <v>8234</v>
      </c>
      <c r="B825" s="53" t="s">
        <v>11558</v>
      </c>
    </row>
    <row r="826" spans="1:2" x14ac:dyDescent="0.25">
      <c r="A826" s="54" t="s">
        <v>8235</v>
      </c>
      <c r="B826" s="54" t="s">
        <v>11559</v>
      </c>
    </row>
    <row r="827" spans="1:2" x14ac:dyDescent="0.25">
      <c r="A827" s="53" t="s">
        <v>8236</v>
      </c>
      <c r="B827" s="53" t="s">
        <v>11560</v>
      </c>
    </row>
    <row r="828" spans="1:2" x14ac:dyDescent="0.25">
      <c r="A828" s="54" t="s">
        <v>8237</v>
      </c>
      <c r="B828" s="54" t="s">
        <v>11561</v>
      </c>
    </row>
    <row r="829" spans="1:2" x14ac:dyDescent="0.25">
      <c r="A829" s="53" t="s">
        <v>8238</v>
      </c>
      <c r="B829" s="53" t="s">
        <v>11562</v>
      </c>
    </row>
    <row r="830" spans="1:2" x14ac:dyDescent="0.25">
      <c r="A830" s="54" t="s">
        <v>8239</v>
      </c>
      <c r="B830" s="54" t="s">
        <v>11563</v>
      </c>
    </row>
    <row r="831" spans="1:2" x14ac:dyDescent="0.25">
      <c r="A831" s="53" t="s">
        <v>8240</v>
      </c>
      <c r="B831" s="53" t="s">
        <v>10888</v>
      </c>
    </row>
    <row r="832" spans="1:2" x14ac:dyDescent="0.25">
      <c r="A832" s="54" t="s">
        <v>8241</v>
      </c>
      <c r="B832" s="54" t="s">
        <v>11564</v>
      </c>
    </row>
    <row r="833" spans="1:2" x14ac:dyDescent="0.25">
      <c r="A833" s="53" t="s">
        <v>8242</v>
      </c>
      <c r="B833" s="53" t="s">
        <v>11565</v>
      </c>
    </row>
    <row r="834" spans="1:2" x14ac:dyDescent="0.25">
      <c r="A834" s="54" t="s">
        <v>8243</v>
      </c>
      <c r="B834" s="54" t="s">
        <v>11566</v>
      </c>
    </row>
    <row r="835" spans="1:2" x14ac:dyDescent="0.25">
      <c r="A835" s="53" t="s">
        <v>8244</v>
      </c>
      <c r="B835" s="53" t="s">
        <v>11567</v>
      </c>
    </row>
    <row r="836" spans="1:2" x14ac:dyDescent="0.25">
      <c r="A836" s="54" t="s">
        <v>8245</v>
      </c>
      <c r="B836" s="54" t="s">
        <v>11568</v>
      </c>
    </row>
    <row r="837" spans="1:2" x14ac:dyDescent="0.25">
      <c r="A837" s="53" t="s">
        <v>8246</v>
      </c>
      <c r="B837" s="53" t="s">
        <v>11569</v>
      </c>
    </row>
    <row r="838" spans="1:2" x14ac:dyDescent="0.25">
      <c r="A838" s="54" t="s">
        <v>8247</v>
      </c>
      <c r="B838" s="54" t="s">
        <v>11570</v>
      </c>
    </row>
    <row r="839" spans="1:2" x14ac:dyDescent="0.25">
      <c r="A839" s="53" t="s">
        <v>8248</v>
      </c>
      <c r="B839" s="53" t="s">
        <v>11571</v>
      </c>
    </row>
    <row r="840" spans="1:2" x14ac:dyDescent="0.25">
      <c r="A840" s="54" t="s">
        <v>8249</v>
      </c>
      <c r="B840" s="54" t="s">
        <v>11572</v>
      </c>
    </row>
    <row r="841" spans="1:2" x14ac:dyDescent="0.25">
      <c r="A841" s="53" t="s">
        <v>8250</v>
      </c>
      <c r="B841" s="53" t="s">
        <v>11573</v>
      </c>
    </row>
    <row r="842" spans="1:2" x14ac:dyDescent="0.25">
      <c r="A842" s="54" t="s">
        <v>8251</v>
      </c>
      <c r="B842" s="54" t="s">
        <v>11574</v>
      </c>
    </row>
    <row r="843" spans="1:2" x14ac:dyDescent="0.25">
      <c r="A843" s="53" t="s">
        <v>8252</v>
      </c>
      <c r="B843" s="53" t="s">
        <v>11575</v>
      </c>
    </row>
    <row r="844" spans="1:2" x14ac:dyDescent="0.25">
      <c r="A844" s="54" t="s">
        <v>8253</v>
      </c>
      <c r="B844" s="54" t="s">
        <v>11576</v>
      </c>
    </row>
    <row r="845" spans="1:2" x14ac:dyDescent="0.25">
      <c r="A845" s="53" t="s">
        <v>8254</v>
      </c>
      <c r="B845" s="53" t="s">
        <v>11577</v>
      </c>
    </row>
    <row r="846" spans="1:2" x14ac:dyDescent="0.25">
      <c r="A846" s="54" t="s">
        <v>8255</v>
      </c>
      <c r="B846" s="54" t="s">
        <v>11578</v>
      </c>
    </row>
    <row r="847" spans="1:2" x14ac:dyDescent="0.25">
      <c r="A847" s="53" t="s">
        <v>8256</v>
      </c>
      <c r="B847" s="53" t="s">
        <v>11579</v>
      </c>
    </row>
    <row r="848" spans="1:2" x14ac:dyDescent="0.25">
      <c r="A848" s="54" t="s">
        <v>8257</v>
      </c>
      <c r="B848" s="54" t="s">
        <v>11580</v>
      </c>
    </row>
    <row r="849" spans="1:2" x14ac:dyDescent="0.25">
      <c r="A849" s="53" t="s">
        <v>8258</v>
      </c>
      <c r="B849" s="53" t="s">
        <v>11581</v>
      </c>
    </row>
    <row r="850" spans="1:2" x14ac:dyDescent="0.25">
      <c r="A850" s="54" t="s">
        <v>8259</v>
      </c>
      <c r="B850" s="54" t="s">
        <v>11582</v>
      </c>
    </row>
    <row r="851" spans="1:2" x14ac:dyDescent="0.25">
      <c r="A851" s="53" t="s">
        <v>8260</v>
      </c>
      <c r="B851" s="53" t="s">
        <v>11459</v>
      </c>
    </row>
    <row r="852" spans="1:2" x14ac:dyDescent="0.25">
      <c r="A852" s="54" t="s">
        <v>8261</v>
      </c>
      <c r="B852" s="54" t="s">
        <v>11583</v>
      </c>
    </row>
    <row r="853" spans="1:2" x14ac:dyDescent="0.25">
      <c r="A853" s="53" t="s">
        <v>8262</v>
      </c>
      <c r="B853" s="53" t="s">
        <v>11584</v>
      </c>
    </row>
    <row r="854" spans="1:2" x14ac:dyDescent="0.25">
      <c r="A854" s="54" t="s">
        <v>8263</v>
      </c>
      <c r="B854" s="54" t="s">
        <v>11585</v>
      </c>
    </row>
    <row r="855" spans="1:2" x14ac:dyDescent="0.25">
      <c r="A855" s="53" t="s">
        <v>8264</v>
      </c>
      <c r="B855" s="53" t="s">
        <v>11586</v>
      </c>
    </row>
    <row r="856" spans="1:2" x14ac:dyDescent="0.25">
      <c r="A856" s="54" t="s">
        <v>8265</v>
      </c>
      <c r="B856" s="54" t="s">
        <v>11587</v>
      </c>
    </row>
    <row r="857" spans="1:2" x14ac:dyDescent="0.25">
      <c r="A857" s="53" t="s">
        <v>8266</v>
      </c>
      <c r="B857" s="53" t="s">
        <v>11588</v>
      </c>
    </row>
    <row r="858" spans="1:2" x14ac:dyDescent="0.25">
      <c r="A858" s="54" t="s">
        <v>8267</v>
      </c>
      <c r="B858" s="54" t="s">
        <v>11589</v>
      </c>
    </row>
    <row r="859" spans="1:2" x14ac:dyDescent="0.25">
      <c r="A859" s="53" t="s">
        <v>8268</v>
      </c>
      <c r="B859" s="53" t="s">
        <v>11590</v>
      </c>
    </row>
    <row r="860" spans="1:2" x14ac:dyDescent="0.25">
      <c r="A860" s="54" t="s">
        <v>8269</v>
      </c>
      <c r="B860" s="54" t="s">
        <v>11591</v>
      </c>
    </row>
    <row r="861" spans="1:2" x14ac:dyDescent="0.25">
      <c r="A861" s="53" t="s">
        <v>8270</v>
      </c>
      <c r="B861" s="53" t="s">
        <v>11592</v>
      </c>
    </row>
    <row r="862" spans="1:2" x14ac:dyDescent="0.25">
      <c r="A862" s="54" t="s">
        <v>8271</v>
      </c>
      <c r="B862" s="54" t="s">
        <v>11593</v>
      </c>
    </row>
    <row r="863" spans="1:2" x14ac:dyDescent="0.25">
      <c r="A863" s="53" t="s">
        <v>8272</v>
      </c>
      <c r="B863" s="53" t="s">
        <v>11594</v>
      </c>
    </row>
    <row r="864" spans="1:2" x14ac:dyDescent="0.25">
      <c r="A864" s="54" t="s">
        <v>8273</v>
      </c>
      <c r="B864" s="54" t="s">
        <v>11595</v>
      </c>
    </row>
    <row r="865" spans="1:2" x14ac:dyDescent="0.25">
      <c r="A865" s="53" t="s">
        <v>8274</v>
      </c>
      <c r="B865" s="53" t="s">
        <v>11596</v>
      </c>
    </row>
    <row r="866" spans="1:2" x14ac:dyDescent="0.25">
      <c r="A866" s="54" t="s">
        <v>8275</v>
      </c>
      <c r="B866" s="54" t="s">
        <v>11597</v>
      </c>
    </row>
    <row r="867" spans="1:2" x14ac:dyDescent="0.25">
      <c r="A867" s="53" t="s">
        <v>8276</v>
      </c>
      <c r="B867" s="53" t="s">
        <v>11598</v>
      </c>
    </row>
    <row r="868" spans="1:2" x14ac:dyDescent="0.25">
      <c r="A868" s="54" t="s">
        <v>8277</v>
      </c>
      <c r="B868" s="54" t="s">
        <v>11599</v>
      </c>
    </row>
    <row r="869" spans="1:2" x14ac:dyDescent="0.25">
      <c r="A869" s="53" t="s">
        <v>8278</v>
      </c>
      <c r="B869" s="53" t="s">
        <v>11600</v>
      </c>
    </row>
    <row r="870" spans="1:2" x14ac:dyDescent="0.25">
      <c r="A870" s="54" t="s">
        <v>8279</v>
      </c>
      <c r="B870" s="54" t="s">
        <v>11601</v>
      </c>
    </row>
    <row r="871" spans="1:2" x14ac:dyDescent="0.25">
      <c r="A871" s="53" t="s">
        <v>8280</v>
      </c>
      <c r="B871" s="53" t="s">
        <v>11602</v>
      </c>
    </row>
    <row r="872" spans="1:2" x14ac:dyDescent="0.25">
      <c r="A872" s="54" t="s">
        <v>8281</v>
      </c>
      <c r="B872" s="54" t="s">
        <v>11603</v>
      </c>
    </row>
    <row r="873" spans="1:2" x14ac:dyDescent="0.25">
      <c r="A873" s="53" t="s">
        <v>8282</v>
      </c>
      <c r="B873" s="53" t="s">
        <v>11604</v>
      </c>
    </row>
    <row r="874" spans="1:2" x14ac:dyDescent="0.25">
      <c r="A874" s="54" t="s">
        <v>8283</v>
      </c>
      <c r="B874" s="54" t="s">
        <v>11605</v>
      </c>
    </row>
    <row r="875" spans="1:2" x14ac:dyDescent="0.25">
      <c r="A875" s="53" t="s">
        <v>8284</v>
      </c>
      <c r="B875" s="53" t="s">
        <v>11606</v>
      </c>
    </row>
    <row r="876" spans="1:2" x14ac:dyDescent="0.25">
      <c r="A876" s="54" t="s">
        <v>8285</v>
      </c>
      <c r="B876" s="54" t="s">
        <v>11607</v>
      </c>
    </row>
    <row r="877" spans="1:2" x14ac:dyDescent="0.25">
      <c r="A877" s="53" t="s">
        <v>8286</v>
      </c>
      <c r="B877" s="53" t="s">
        <v>11608</v>
      </c>
    </row>
    <row r="878" spans="1:2" x14ac:dyDescent="0.25">
      <c r="A878" s="54" t="s">
        <v>8287</v>
      </c>
      <c r="B878" s="54" t="s">
        <v>11609</v>
      </c>
    </row>
    <row r="879" spans="1:2" x14ac:dyDescent="0.25">
      <c r="A879" s="53" t="s">
        <v>8288</v>
      </c>
      <c r="B879" s="53" t="s">
        <v>11610</v>
      </c>
    </row>
    <row r="880" spans="1:2" x14ac:dyDescent="0.25">
      <c r="A880" s="54" t="s">
        <v>8289</v>
      </c>
      <c r="B880" s="54" t="s">
        <v>11611</v>
      </c>
    </row>
    <row r="881" spans="1:2" x14ac:dyDescent="0.25">
      <c r="A881" s="53" t="s">
        <v>8290</v>
      </c>
      <c r="B881" s="53" t="s">
        <v>11612</v>
      </c>
    </row>
    <row r="882" spans="1:2" x14ac:dyDescent="0.25">
      <c r="A882" s="54" t="s">
        <v>8291</v>
      </c>
      <c r="B882" s="54" t="s">
        <v>11613</v>
      </c>
    </row>
    <row r="883" spans="1:2" x14ac:dyDescent="0.25">
      <c r="A883" s="53" t="s">
        <v>8292</v>
      </c>
      <c r="B883" s="53" t="s">
        <v>11614</v>
      </c>
    </row>
    <row r="884" spans="1:2" x14ac:dyDescent="0.25">
      <c r="A884" s="54" t="s">
        <v>8293</v>
      </c>
      <c r="B884" s="54" t="s">
        <v>11615</v>
      </c>
    </row>
    <row r="885" spans="1:2" x14ac:dyDescent="0.25">
      <c r="A885" s="53" t="s">
        <v>8294</v>
      </c>
      <c r="B885" s="53" t="s">
        <v>11616</v>
      </c>
    </row>
    <row r="886" spans="1:2" x14ac:dyDescent="0.25">
      <c r="A886" s="54" t="s">
        <v>8295</v>
      </c>
      <c r="B886" s="54" t="s">
        <v>11617</v>
      </c>
    </row>
    <row r="887" spans="1:2" x14ac:dyDescent="0.25">
      <c r="A887" s="53" t="s">
        <v>8296</v>
      </c>
      <c r="B887" s="53" t="s">
        <v>11618</v>
      </c>
    </row>
    <row r="888" spans="1:2" x14ac:dyDescent="0.25">
      <c r="A888" s="54" t="s">
        <v>8297</v>
      </c>
      <c r="B888" s="54" t="s">
        <v>11619</v>
      </c>
    </row>
    <row r="889" spans="1:2" x14ac:dyDescent="0.25">
      <c r="A889" s="53" t="s">
        <v>8298</v>
      </c>
      <c r="B889" s="53" t="s">
        <v>11620</v>
      </c>
    </row>
    <row r="890" spans="1:2" x14ac:dyDescent="0.25">
      <c r="A890" s="54" t="s">
        <v>8299</v>
      </c>
      <c r="B890" s="54" t="s">
        <v>11621</v>
      </c>
    </row>
    <row r="891" spans="1:2" x14ac:dyDescent="0.25">
      <c r="A891" s="53" t="s">
        <v>8300</v>
      </c>
      <c r="B891" s="53" t="s">
        <v>11622</v>
      </c>
    </row>
    <row r="892" spans="1:2" x14ac:dyDescent="0.25">
      <c r="A892" s="54" t="s">
        <v>8301</v>
      </c>
      <c r="B892" s="54" t="s">
        <v>11623</v>
      </c>
    </row>
    <row r="893" spans="1:2" x14ac:dyDescent="0.25">
      <c r="A893" s="53" t="s">
        <v>8302</v>
      </c>
      <c r="B893" s="53" t="s">
        <v>11624</v>
      </c>
    </row>
    <row r="894" spans="1:2" x14ac:dyDescent="0.25">
      <c r="A894" s="54" t="s">
        <v>8303</v>
      </c>
      <c r="B894" s="54" t="s">
        <v>11625</v>
      </c>
    </row>
    <row r="895" spans="1:2" x14ac:dyDescent="0.25">
      <c r="A895" s="53" t="s">
        <v>8304</v>
      </c>
      <c r="B895" s="53" t="s">
        <v>11626</v>
      </c>
    </row>
    <row r="896" spans="1:2" x14ac:dyDescent="0.25">
      <c r="A896" s="54" t="s">
        <v>8305</v>
      </c>
      <c r="B896" s="54" t="s">
        <v>11627</v>
      </c>
    </row>
    <row r="897" spans="1:2" x14ac:dyDescent="0.25">
      <c r="A897" s="53" t="s">
        <v>8306</v>
      </c>
      <c r="B897" s="53" t="s">
        <v>11628</v>
      </c>
    </row>
    <row r="898" spans="1:2" x14ac:dyDescent="0.25">
      <c r="A898" s="54" t="s">
        <v>8307</v>
      </c>
      <c r="B898" s="54" t="s">
        <v>11629</v>
      </c>
    </row>
    <row r="899" spans="1:2" x14ac:dyDescent="0.25">
      <c r="A899" s="53" t="s">
        <v>8308</v>
      </c>
      <c r="B899" s="53" t="s">
        <v>11630</v>
      </c>
    </row>
    <row r="900" spans="1:2" x14ac:dyDescent="0.25">
      <c r="A900" s="54" t="s">
        <v>8309</v>
      </c>
      <c r="B900" s="54" t="s">
        <v>11631</v>
      </c>
    </row>
    <row r="901" spans="1:2" x14ac:dyDescent="0.25">
      <c r="A901" s="53" t="s">
        <v>8310</v>
      </c>
      <c r="B901" s="53" t="s">
        <v>11632</v>
      </c>
    </row>
    <row r="902" spans="1:2" x14ac:dyDescent="0.25">
      <c r="A902" s="54" t="s">
        <v>8311</v>
      </c>
      <c r="B902" s="54" t="s">
        <v>11633</v>
      </c>
    </row>
    <row r="903" spans="1:2" x14ac:dyDescent="0.25">
      <c r="A903" s="53" t="s">
        <v>8312</v>
      </c>
      <c r="B903" s="53" t="s">
        <v>11634</v>
      </c>
    </row>
    <row r="904" spans="1:2" x14ac:dyDescent="0.25">
      <c r="A904" s="54" t="s">
        <v>8313</v>
      </c>
      <c r="B904" s="54" t="s">
        <v>11635</v>
      </c>
    </row>
    <row r="905" spans="1:2" x14ac:dyDescent="0.25">
      <c r="A905" s="53" t="s">
        <v>8314</v>
      </c>
      <c r="B905" s="53" t="s">
        <v>11636</v>
      </c>
    </row>
    <row r="906" spans="1:2" x14ac:dyDescent="0.25">
      <c r="A906" s="54" t="s">
        <v>8315</v>
      </c>
      <c r="B906" s="54" t="s">
        <v>10876</v>
      </c>
    </row>
    <row r="907" spans="1:2" x14ac:dyDescent="0.25">
      <c r="A907" s="53" t="s">
        <v>8316</v>
      </c>
      <c r="B907" s="53" t="s">
        <v>11637</v>
      </c>
    </row>
    <row r="908" spans="1:2" x14ac:dyDescent="0.25">
      <c r="A908" s="54" t="s">
        <v>8317</v>
      </c>
      <c r="B908" s="54" t="s">
        <v>11638</v>
      </c>
    </row>
    <row r="909" spans="1:2" x14ac:dyDescent="0.25">
      <c r="A909" s="53" t="s">
        <v>8318</v>
      </c>
      <c r="B909" s="53" t="s">
        <v>11639</v>
      </c>
    </row>
    <row r="910" spans="1:2" x14ac:dyDescent="0.25">
      <c r="A910" s="54" t="s">
        <v>8319</v>
      </c>
      <c r="B910" s="54" t="s">
        <v>11640</v>
      </c>
    </row>
    <row r="911" spans="1:2" x14ac:dyDescent="0.25">
      <c r="A911" s="53" t="s">
        <v>8320</v>
      </c>
      <c r="B911" s="53" t="s">
        <v>11641</v>
      </c>
    </row>
    <row r="912" spans="1:2" x14ac:dyDescent="0.25">
      <c r="A912" s="54" t="s">
        <v>8321</v>
      </c>
      <c r="B912" s="54" t="s">
        <v>11642</v>
      </c>
    </row>
    <row r="913" spans="1:2" x14ac:dyDescent="0.25">
      <c r="A913" s="53" t="s">
        <v>8322</v>
      </c>
      <c r="B913" s="53" t="s">
        <v>11382</v>
      </c>
    </row>
    <row r="914" spans="1:2" x14ac:dyDescent="0.25">
      <c r="A914" s="54" t="s">
        <v>8323</v>
      </c>
      <c r="B914" s="54" t="s">
        <v>11643</v>
      </c>
    </row>
    <row r="915" spans="1:2" x14ac:dyDescent="0.25">
      <c r="A915" s="53" t="s">
        <v>8324</v>
      </c>
      <c r="B915" s="53" t="s">
        <v>11644</v>
      </c>
    </row>
    <row r="916" spans="1:2" x14ac:dyDescent="0.25">
      <c r="A916" s="54" t="s">
        <v>8325</v>
      </c>
      <c r="B916" s="54" t="s">
        <v>11645</v>
      </c>
    </row>
    <row r="917" spans="1:2" x14ac:dyDescent="0.25">
      <c r="A917" s="53" t="s">
        <v>8326</v>
      </c>
      <c r="B917" s="53" t="s">
        <v>11646</v>
      </c>
    </row>
    <row r="918" spans="1:2" x14ac:dyDescent="0.25">
      <c r="A918" s="54" t="s">
        <v>8327</v>
      </c>
      <c r="B918" s="54" t="s">
        <v>11647</v>
      </c>
    </row>
    <row r="919" spans="1:2" x14ac:dyDescent="0.25">
      <c r="A919" s="53" t="s">
        <v>8328</v>
      </c>
      <c r="B919" s="53" t="s">
        <v>11648</v>
      </c>
    </row>
    <row r="920" spans="1:2" x14ac:dyDescent="0.25">
      <c r="A920" s="54" t="s">
        <v>8329</v>
      </c>
      <c r="B920" s="54" t="s">
        <v>11649</v>
      </c>
    </row>
    <row r="921" spans="1:2" x14ac:dyDescent="0.25">
      <c r="A921" s="53" t="s">
        <v>8330</v>
      </c>
      <c r="B921" s="53" t="s">
        <v>11650</v>
      </c>
    </row>
    <row r="922" spans="1:2" x14ac:dyDescent="0.25">
      <c r="A922" s="54" t="s">
        <v>8331</v>
      </c>
      <c r="B922" s="54" t="s">
        <v>11651</v>
      </c>
    </row>
    <row r="923" spans="1:2" x14ac:dyDescent="0.25">
      <c r="A923" s="53" t="s">
        <v>8332</v>
      </c>
      <c r="B923" s="53" t="s">
        <v>11652</v>
      </c>
    </row>
    <row r="924" spans="1:2" x14ac:dyDescent="0.25">
      <c r="A924" s="54" t="s">
        <v>8333</v>
      </c>
      <c r="B924" s="54" t="s">
        <v>11653</v>
      </c>
    </row>
    <row r="925" spans="1:2" x14ac:dyDescent="0.25">
      <c r="A925" s="53" t="s">
        <v>8334</v>
      </c>
      <c r="B925" s="53" t="s">
        <v>11654</v>
      </c>
    </row>
    <row r="926" spans="1:2" x14ac:dyDescent="0.25">
      <c r="A926" s="54" t="s">
        <v>8335</v>
      </c>
      <c r="B926" s="54" t="s">
        <v>11655</v>
      </c>
    </row>
    <row r="927" spans="1:2" x14ac:dyDescent="0.25">
      <c r="A927" s="53" t="s">
        <v>8336</v>
      </c>
      <c r="B927" s="53" t="s">
        <v>11656</v>
      </c>
    </row>
    <row r="928" spans="1:2" x14ac:dyDescent="0.25">
      <c r="A928" s="54" t="s">
        <v>8337</v>
      </c>
      <c r="B928" s="54" t="s">
        <v>11657</v>
      </c>
    </row>
    <row r="929" spans="1:2" x14ac:dyDescent="0.25">
      <c r="A929" s="53" t="s">
        <v>8338</v>
      </c>
      <c r="B929" s="53" t="s">
        <v>11658</v>
      </c>
    </row>
    <row r="930" spans="1:2" x14ac:dyDescent="0.25">
      <c r="A930" s="54" t="s">
        <v>8339</v>
      </c>
      <c r="B930" s="54" t="s">
        <v>10849</v>
      </c>
    </row>
    <row r="931" spans="1:2" x14ac:dyDescent="0.25">
      <c r="A931" s="53" t="s">
        <v>8340</v>
      </c>
      <c r="B931" s="53" t="s">
        <v>11659</v>
      </c>
    </row>
    <row r="932" spans="1:2" x14ac:dyDescent="0.25">
      <c r="A932" s="54" t="s">
        <v>8341</v>
      </c>
      <c r="B932" s="54" t="s">
        <v>10938</v>
      </c>
    </row>
    <row r="933" spans="1:2" x14ac:dyDescent="0.25">
      <c r="A933" s="53" t="s">
        <v>8342</v>
      </c>
      <c r="B933" s="53" t="s">
        <v>11660</v>
      </c>
    </row>
    <row r="934" spans="1:2" x14ac:dyDescent="0.25">
      <c r="A934" s="54" t="s">
        <v>8343</v>
      </c>
      <c r="B934" s="54" t="s">
        <v>10910</v>
      </c>
    </row>
    <row r="935" spans="1:2" x14ac:dyDescent="0.25">
      <c r="A935" s="53" t="s">
        <v>8344</v>
      </c>
      <c r="B935" s="53" t="s">
        <v>11661</v>
      </c>
    </row>
    <row r="936" spans="1:2" x14ac:dyDescent="0.25">
      <c r="A936" s="54" t="s">
        <v>8345</v>
      </c>
      <c r="B936" s="54" t="s">
        <v>11662</v>
      </c>
    </row>
    <row r="937" spans="1:2" x14ac:dyDescent="0.25">
      <c r="A937" s="53" t="s">
        <v>8346</v>
      </c>
      <c r="B937" s="53" t="s">
        <v>11663</v>
      </c>
    </row>
    <row r="938" spans="1:2" x14ac:dyDescent="0.25">
      <c r="A938" s="54" t="s">
        <v>8347</v>
      </c>
      <c r="B938" s="54" t="s">
        <v>11664</v>
      </c>
    </row>
    <row r="939" spans="1:2" x14ac:dyDescent="0.25">
      <c r="A939" s="53" t="s">
        <v>8348</v>
      </c>
      <c r="B939" s="53" t="s">
        <v>11665</v>
      </c>
    </row>
    <row r="940" spans="1:2" x14ac:dyDescent="0.25">
      <c r="A940" s="54" t="s">
        <v>8349</v>
      </c>
      <c r="B940" s="54" t="s">
        <v>11666</v>
      </c>
    </row>
    <row r="941" spans="1:2" x14ac:dyDescent="0.25">
      <c r="A941" s="53" t="s">
        <v>8350</v>
      </c>
      <c r="B941" s="53" t="s">
        <v>11667</v>
      </c>
    </row>
    <row r="942" spans="1:2" x14ac:dyDescent="0.25">
      <c r="A942" s="54" t="s">
        <v>8351</v>
      </c>
      <c r="B942" s="54" t="s">
        <v>11668</v>
      </c>
    </row>
    <row r="943" spans="1:2" x14ac:dyDescent="0.25">
      <c r="A943" s="53" t="s">
        <v>8352</v>
      </c>
      <c r="B943" s="53" t="s">
        <v>11669</v>
      </c>
    </row>
    <row r="944" spans="1:2" x14ac:dyDescent="0.25">
      <c r="A944" s="54" t="s">
        <v>8353</v>
      </c>
      <c r="B944" s="54" t="s">
        <v>11670</v>
      </c>
    </row>
    <row r="945" spans="1:2" x14ac:dyDescent="0.25">
      <c r="A945" s="53" t="s">
        <v>8354</v>
      </c>
      <c r="B945" s="53" t="s">
        <v>11671</v>
      </c>
    </row>
    <row r="946" spans="1:2" x14ac:dyDescent="0.25">
      <c r="A946" s="54" t="s">
        <v>8355</v>
      </c>
      <c r="B946" s="54" t="s">
        <v>11672</v>
      </c>
    </row>
    <row r="947" spans="1:2" x14ac:dyDescent="0.25">
      <c r="A947" s="53" t="s">
        <v>8356</v>
      </c>
      <c r="B947" s="53" t="s">
        <v>11673</v>
      </c>
    </row>
    <row r="948" spans="1:2" x14ac:dyDescent="0.25">
      <c r="A948" s="54" t="s">
        <v>8357</v>
      </c>
      <c r="B948" s="54" t="s">
        <v>11053</v>
      </c>
    </row>
    <row r="949" spans="1:2" x14ac:dyDescent="0.25">
      <c r="A949" s="53" t="s">
        <v>8358</v>
      </c>
      <c r="B949" s="53" t="s">
        <v>11674</v>
      </c>
    </row>
    <row r="950" spans="1:2" x14ac:dyDescent="0.25">
      <c r="A950" s="54" t="s">
        <v>8359</v>
      </c>
      <c r="B950" s="54" t="s">
        <v>11039</v>
      </c>
    </row>
    <row r="951" spans="1:2" x14ac:dyDescent="0.25">
      <c r="A951" s="53" t="s">
        <v>8360</v>
      </c>
      <c r="B951" s="53" t="s">
        <v>11675</v>
      </c>
    </row>
    <row r="952" spans="1:2" x14ac:dyDescent="0.25">
      <c r="A952" s="54" t="s">
        <v>8361</v>
      </c>
      <c r="B952" s="54" t="s">
        <v>11676</v>
      </c>
    </row>
    <row r="953" spans="1:2" x14ac:dyDescent="0.25">
      <c r="A953" s="53" t="s">
        <v>8362</v>
      </c>
      <c r="B953" s="53" t="s">
        <v>11677</v>
      </c>
    </row>
    <row r="954" spans="1:2" x14ac:dyDescent="0.25">
      <c r="A954" s="54" t="s">
        <v>8363</v>
      </c>
      <c r="B954" s="54" t="s">
        <v>11678</v>
      </c>
    </row>
    <row r="955" spans="1:2" x14ac:dyDescent="0.25">
      <c r="A955" s="53" t="s">
        <v>8364</v>
      </c>
      <c r="B955" s="53" t="s">
        <v>11679</v>
      </c>
    </row>
    <row r="956" spans="1:2" x14ac:dyDescent="0.25">
      <c r="A956" s="54" t="s">
        <v>8365</v>
      </c>
      <c r="B956" s="54" t="s">
        <v>11680</v>
      </c>
    </row>
    <row r="957" spans="1:2" x14ac:dyDescent="0.25">
      <c r="A957" s="53" t="s">
        <v>8366</v>
      </c>
      <c r="B957" s="53" t="s">
        <v>11681</v>
      </c>
    </row>
    <row r="958" spans="1:2" x14ac:dyDescent="0.25">
      <c r="A958" s="54" t="s">
        <v>8367</v>
      </c>
      <c r="B958" s="54" t="s">
        <v>11682</v>
      </c>
    </row>
    <row r="959" spans="1:2" x14ac:dyDescent="0.25">
      <c r="A959" s="53" t="s">
        <v>8368</v>
      </c>
      <c r="B959" s="53" t="s">
        <v>11683</v>
      </c>
    </row>
    <row r="960" spans="1:2" x14ac:dyDescent="0.25">
      <c r="A960" s="54" t="s">
        <v>8369</v>
      </c>
      <c r="B960" s="54" t="s">
        <v>11684</v>
      </c>
    </row>
    <row r="961" spans="1:2" x14ac:dyDescent="0.25">
      <c r="A961" s="53" t="s">
        <v>8370</v>
      </c>
      <c r="B961" s="53" t="s">
        <v>11685</v>
      </c>
    </row>
    <row r="962" spans="1:2" x14ac:dyDescent="0.25">
      <c r="A962" s="54" t="s">
        <v>8371</v>
      </c>
      <c r="B962" s="54" t="s">
        <v>11686</v>
      </c>
    </row>
    <row r="963" spans="1:2" x14ac:dyDescent="0.25">
      <c r="A963" s="53" t="s">
        <v>8372</v>
      </c>
      <c r="B963" s="53" t="s">
        <v>11687</v>
      </c>
    </row>
    <row r="964" spans="1:2" x14ac:dyDescent="0.25">
      <c r="A964" s="54" t="s">
        <v>8373</v>
      </c>
      <c r="B964" s="54" t="s">
        <v>11520</v>
      </c>
    </row>
    <row r="965" spans="1:2" x14ac:dyDescent="0.25">
      <c r="A965" s="53" t="s">
        <v>8374</v>
      </c>
      <c r="B965" s="53" t="s">
        <v>11688</v>
      </c>
    </row>
    <row r="966" spans="1:2" x14ac:dyDescent="0.25">
      <c r="A966" s="54" t="s">
        <v>8375</v>
      </c>
      <c r="B966" s="54" t="s">
        <v>11689</v>
      </c>
    </row>
    <row r="967" spans="1:2" x14ac:dyDescent="0.25">
      <c r="A967" s="53" t="s">
        <v>8376</v>
      </c>
      <c r="B967" s="53" t="s">
        <v>11690</v>
      </c>
    </row>
    <row r="968" spans="1:2" x14ac:dyDescent="0.25">
      <c r="A968" s="54" t="s">
        <v>8377</v>
      </c>
      <c r="B968" s="54" t="s">
        <v>11691</v>
      </c>
    </row>
    <row r="969" spans="1:2" x14ac:dyDescent="0.25">
      <c r="A969" s="53" t="s">
        <v>8378</v>
      </c>
      <c r="B969" s="53" t="s">
        <v>11692</v>
      </c>
    </row>
    <row r="970" spans="1:2" x14ac:dyDescent="0.25">
      <c r="A970" s="54" t="s">
        <v>8379</v>
      </c>
      <c r="B970" s="54" t="s">
        <v>11693</v>
      </c>
    </row>
    <row r="971" spans="1:2" x14ac:dyDescent="0.25">
      <c r="A971" s="53" t="s">
        <v>8380</v>
      </c>
      <c r="B971" s="53" t="s">
        <v>11694</v>
      </c>
    </row>
    <row r="972" spans="1:2" x14ac:dyDescent="0.25">
      <c r="A972" s="54" t="s">
        <v>8381</v>
      </c>
      <c r="B972" s="54" t="s">
        <v>11515</v>
      </c>
    </row>
    <row r="973" spans="1:2" x14ac:dyDescent="0.25">
      <c r="A973" s="53" t="s">
        <v>8382</v>
      </c>
      <c r="B973" s="53" t="s">
        <v>11695</v>
      </c>
    </row>
    <row r="974" spans="1:2" x14ac:dyDescent="0.25">
      <c r="A974" s="54" t="s">
        <v>8383</v>
      </c>
      <c r="B974" s="54" t="s">
        <v>11696</v>
      </c>
    </row>
    <row r="975" spans="1:2" x14ac:dyDescent="0.25">
      <c r="A975" s="53" t="s">
        <v>8384</v>
      </c>
      <c r="B975" s="53" t="s">
        <v>11697</v>
      </c>
    </row>
    <row r="976" spans="1:2" x14ac:dyDescent="0.25">
      <c r="A976" s="54" t="s">
        <v>8385</v>
      </c>
      <c r="B976" s="54" t="s">
        <v>11698</v>
      </c>
    </row>
    <row r="977" spans="1:2" x14ac:dyDescent="0.25">
      <c r="A977" s="53" t="s">
        <v>8386</v>
      </c>
      <c r="B977" s="53" t="s">
        <v>11699</v>
      </c>
    </row>
    <row r="978" spans="1:2" x14ac:dyDescent="0.25">
      <c r="A978" s="54" t="s">
        <v>8387</v>
      </c>
      <c r="B978" s="54" t="s">
        <v>11700</v>
      </c>
    </row>
    <row r="979" spans="1:2" x14ac:dyDescent="0.25">
      <c r="A979" s="53" t="s">
        <v>8388</v>
      </c>
      <c r="B979" s="53" t="s">
        <v>11701</v>
      </c>
    </row>
    <row r="980" spans="1:2" x14ac:dyDescent="0.25">
      <c r="A980" s="54" t="s">
        <v>8389</v>
      </c>
      <c r="B980" s="54" t="s">
        <v>11174</v>
      </c>
    </row>
    <row r="981" spans="1:2" x14ac:dyDescent="0.25">
      <c r="A981" s="53" t="s">
        <v>8390</v>
      </c>
      <c r="B981" s="53" t="s">
        <v>11702</v>
      </c>
    </row>
    <row r="982" spans="1:2" x14ac:dyDescent="0.25">
      <c r="A982" s="54" t="s">
        <v>8391</v>
      </c>
      <c r="B982" s="54" t="s">
        <v>11703</v>
      </c>
    </row>
    <row r="983" spans="1:2" x14ac:dyDescent="0.25">
      <c r="A983" s="53" t="s">
        <v>8392</v>
      </c>
      <c r="B983" s="53" t="s">
        <v>11704</v>
      </c>
    </row>
    <row r="984" spans="1:2" x14ac:dyDescent="0.25">
      <c r="A984" s="54" t="s">
        <v>8393</v>
      </c>
      <c r="B984" s="54" t="s">
        <v>10800</v>
      </c>
    </row>
    <row r="985" spans="1:2" x14ac:dyDescent="0.25">
      <c r="A985" s="53" t="s">
        <v>8394</v>
      </c>
      <c r="B985" s="53" t="s">
        <v>11705</v>
      </c>
    </row>
    <row r="986" spans="1:2" x14ac:dyDescent="0.25">
      <c r="A986" s="54" t="s">
        <v>8395</v>
      </c>
      <c r="B986" s="54" t="s">
        <v>11706</v>
      </c>
    </row>
    <row r="987" spans="1:2" x14ac:dyDescent="0.25">
      <c r="A987" s="53" t="s">
        <v>8396</v>
      </c>
      <c r="B987" s="53" t="s">
        <v>10938</v>
      </c>
    </row>
    <row r="988" spans="1:2" x14ac:dyDescent="0.25">
      <c r="A988" s="54" t="s">
        <v>8397</v>
      </c>
      <c r="B988" s="54" t="s">
        <v>11707</v>
      </c>
    </row>
    <row r="989" spans="1:2" x14ac:dyDescent="0.25">
      <c r="A989" s="53" t="s">
        <v>8398</v>
      </c>
      <c r="B989" s="53" t="s">
        <v>11504</v>
      </c>
    </row>
    <row r="990" spans="1:2" x14ac:dyDescent="0.25">
      <c r="A990" s="54" t="s">
        <v>8399</v>
      </c>
      <c r="B990" s="54" t="s">
        <v>11708</v>
      </c>
    </row>
    <row r="991" spans="1:2" x14ac:dyDescent="0.25">
      <c r="A991" s="53" t="s">
        <v>8400</v>
      </c>
      <c r="B991" s="53" t="s">
        <v>11506</v>
      </c>
    </row>
    <row r="992" spans="1:2" x14ac:dyDescent="0.25">
      <c r="A992" s="54" t="s">
        <v>8401</v>
      </c>
      <c r="B992" s="54" t="s">
        <v>11709</v>
      </c>
    </row>
    <row r="993" spans="1:2" x14ac:dyDescent="0.25">
      <c r="A993" s="53" t="s">
        <v>8402</v>
      </c>
      <c r="B993" s="53" t="s">
        <v>11710</v>
      </c>
    </row>
    <row r="994" spans="1:2" x14ac:dyDescent="0.25">
      <c r="A994" s="54" t="s">
        <v>8403</v>
      </c>
      <c r="B994" s="54" t="s">
        <v>11711</v>
      </c>
    </row>
    <row r="995" spans="1:2" x14ac:dyDescent="0.25">
      <c r="A995" s="53" t="s">
        <v>8404</v>
      </c>
      <c r="B995" s="53" t="s">
        <v>10849</v>
      </c>
    </row>
    <row r="996" spans="1:2" x14ac:dyDescent="0.25">
      <c r="A996" s="54" t="s">
        <v>8405</v>
      </c>
      <c r="B996" s="54" t="s">
        <v>11712</v>
      </c>
    </row>
    <row r="997" spans="1:2" x14ac:dyDescent="0.25">
      <c r="A997" s="53" t="s">
        <v>8406</v>
      </c>
      <c r="B997" s="53" t="s">
        <v>11713</v>
      </c>
    </row>
    <row r="998" spans="1:2" x14ac:dyDescent="0.25">
      <c r="A998" s="54" t="s">
        <v>8407</v>
      </c>
      <c r="B998" s="54" t="s">
        <v>11714</v>
      </c>
    </row>
    <row r="999" spans="1:2" x14ac:dyDescent="0.25">
      <c r="A999" s="53" t="s">
        <v>8408</v>
      </c>
      <c r="B999" s="53" t="s">
        <v>11715</v>
      </c>
    </row>
    <row r="1000" spans="1:2" x14ac:dyDescent="0.25">
      <c r="A1000" s="54" t="s">
        <v>8409</v>
      </c>
      <c r="B1000" s="54" t="s">
        <v>11716</v>
      </c>
    </row>
    <row r="1001" spans="1:2" x14ac:dyDescent="0.25">
      <c r="A1001" s="53" t="s">
        <v>8410</v>
      </c>
      <c r="B1001" s="53" t="s">
        <v>11717</v>
      </c>
    </row>
    <row r="1002" spans="1:2" x14ac:dyDescent="0.25">
      <c r="A1002" s="54" t="s">
        <v>8411</v>
      </c>
      <c r="B1002" s="54" t="s">
        <v>11718</v>
      </c>
    </row>
    <row r="1003" spans="1:2" x14ac:dyDescent="0.25">
      <c r="A1003" s="53" t="s">
        <v>8412</v>
      </c>
      <c r="B1003" s="53" t="s">
        <v>11719</v>
      </c>
    </row>
    <row r="1004" spans="1:2" x14ac:dyDescent="0.25">
      <c r="A1004" s="54" t="s">
        <v>8413</v>
      </c>
      <c r="B1004" s="54" t="s">
        <v>11720</v>
      </c>
    </row>
    <row r="1005" spans="1:2" x14ac:dyDescent="0.25">
      <c r="A1005" s="53" t="s">
        <v>8414</v>
      </c>
      <c r="B1005" s="53" t="s">
        <v>11721</v>
      </c>
    </row>
    <row r="1006" spans="1:2" x14ac:dyDescent="0.25">
      <c r="A1006" s="54" t="s">
        <v>8415</v>
      </c>
      <c r="B1006" s="54" t="s">
        <v>11722</v>
      </c>
    </row>
    <row r="1007" spans="1:2" x14ac:dyDescent="0.25">
      <c r="A1007" s="53" t="s">
        <v>8416</v>
      </c>
      <c r="B1007" s="53" t="s">
        <v>11723</v>
      </c>
    </row>
    <row r="1008" spans="1:2" x14ac:dyDescent="0.25">
      <c r="A1008" s="54" t="s">
        <v>8417</v>
      </c>
      <c r="B1008" s="54" t="s">
        <v>11724</v>
      </c>
    </row>
    <row r="1009" spans="1:2" x14ac:dyDescent="0.25">
      <c r="A1009" s="53" t="s">
        <v>8418</v>
      </c>
      <c r="B1009" s="53" t="s">
        <v>11255</v>
      </c>
    </row>
    <row r="1010" spans="1:2" x14ac:dyDescent="0.25">
      <c r="A1010" s="54" t="s">
        <v>8419</v>
      </c>
      <c r="B1010" s="54" t="s">
        <v>11725</v>
      </c>
    </row>
    <row r="1011" spans="1:2" x14ac:dyDescent="0.25">
      <c r="A1011" s="53" t="s">
        <v>8420</v>
      </c>
      <c r="B1011" s="53" t="s">
        <v>11726</v>
      </c>
    </row>
    <row r="1012" spans="1:2" x14ac:dyDescent="0.25">
      <c r="A1012" s="54" t="s">
        <v>8421</v>
      </c>
      <c r="B1012" s="54" t="s">
        <v>11727</v>
      </c>
    </row>
    <row r="1013" spans="1:2" x14ac:dyDescent="0.25">
      <c r="A1013" s="53" t="s">
        <v>8422</v>
      </c>
      <c r="B1013" s="53" t="s">
        <v>11728</v>
      </c>
    </row>
    <row r="1014" spans="1:2" x14ac:dyDescent="0.25">
      <c r="A1014" s="54" t="s">
        <v>8423</v>
      </c>
      <c r="B1014" s="54" t="s">
        <v>11729</v>
      </c>
    </row>
    <row r="1015" spans="1:2" x14ac:dyDescent="0.25">
      <c r="A1015" s="53" t="s">
        <v>8424</v>
      </c>
      <c r="B1015" s="53" t="s">
        <v>11316</v>
      </c>
    </row>
    <row r="1016" spans="1:2" x14ac:dyDescent="0.25">
      <c r="A1016" s="54" t="s">
        <v>8425</v>
      </c>
      <c r="B1016" s="54" t="s">
        <v>11730</v>
      </c>
    </row>
    <row r="1017" spans="1:2" x14ac:dyDescent="0.25">
      <c r="A1017" s="53" t="s">
        <v>8426</v>
      </c>
      <c r="B1017" s="53" t="s">
        <v>11731</v>
      </c>
    </row>
    <row r="1018" spans="1:2" x14ac:dyDescent="0.25">
      <c r="A1018" s="54" t="s">
        <v>8427</v>
      </c>
      <c r="B1018" s="54" t="s">
        <v>11732</v>
      </c>
    </row>
    <row r="1019" spans="1:2" x14ac:dyDescent="0.25">
      <c r="A1019" s="53" t="s">
        <v>8428</v>
      </c>
      <c r="B1019" s="53" t="s">
        <v>11733</v>
      </c>
    </row>
    <row r="1020" spans="1:2" x14ac:dyDescent="0.25">
      <c r="A1020" s="54" t="s">
        <v>8429</v>
      </c>
      <c r="B1020" s="54" t="s">
        <v>11734</v>
      </c>
    </row>
    <row r="1021" spans="1:2" x14ac:dyDescent="0.25">
      <c r="A1021" s="53" t="s">
        <v>8430</v>
      </c>
      <c r="B1021" s="53" t="s">
        <v>11218</v>
      </c>
    </row>
    <row r="1022" spans="1:2" x14ac:dyDescent="0.25">
      <c r="A1022" s="54" t="s">
        <v>8431</v>
      </c>
      <c r="B1022" s="54" t="s">
        <v>11735</v>
      </c>
    </row>
    <row r="1023" spans="1:2" x14ac:dyDescent="0.25">
      <c r="A1023" s="53" t="s">
        <v>8432</v>
      </c>
      <c r="B1023" s="53" t="s">
        <v>10998</v>
      </c>
    </row>
    <row r="1024" spans="1:2" x14ac:dyDescent="0.25">
      <c r="A1024" s="54" t="s">
        <v>8433</v>
      </c>
      <c r="B1024" s="54" t="s">
        <v>11736</v>
      </c>
    </row>
    <row r="1025" spans="1:2" x14ac:dyDescent="0.25">
      <c r="A1025" s="53" t="s">
        <v>8434</v>
      </c>
      <c r="B1025" s="53" t="s">
        <v>11737</v>
      </c>
    </row>
    <row r="1026" spans="1:2" x14ac:dyDescent="0.25">
      <c r="A1026" s="54" t="s">
        <v>8435</v>
      </c>
      <c r="B1026" s="54" t="s">
        <v>11738</v>
      </c>
    </row>
    <row r="1027" spans="1:2" x14ac:dyDescent="0.25">
      <c r="A1027" s="53" t="s">
        <v>8436</v>
      </c>
      <c r="B1027" s="53" t="s">
        <v>11739</v>
      </c>
    </row>
    <row r="1028" spans="1:2" x14ac:dyDescent="0.25">
      <c r="A1028" s="54" t="s">
        <v>8437</v>
      </c>
      <c r="B1028" s="54" t="s">
        <v>11740</v>
      </c>
    </row>
    <row r="1029" spans="1:2" x14ac:dyDescent="0.25">
      <c r="A1029" s="53" t="s">
        <v>8438</v>
      </c>
      <c r="B1029" s="53" t="s">
        <v>11741</v>
      </c>
    </row>
    <row r="1030" spans="1:2" x14ac:dyDescent="0.25">
      <c r="A1030" s="54" t="s">
        <v>8439</v>
      </c>
      <c r="B1030" s="54" t="s">
        <v>11742</v>
      </c>
    </row>
    <row r="1031" spans="1:2" x14ac:dyDescent="0.25">
      <c r="A1031" s="53" t="s">
        <v>8440</v>
      </c>
      <c r="B1031" s="53" t="s">
        <v>11224</v>
      </c>
    </row>
    <row r="1032" spans="1:2" x14ac:dyDescent="0.25">
      <c r="A1032" s="54" t="s">
        <v>8441</v>
      </c>
      <c r="B1032" s="54" t="s">
        <v>11743</v>
      </c>
    </row>
    <row r="1033" spans="1:2" x14ac:dyDescent="0.25">
      <c r="A1033" s="53" t="s">
        <v>8442</v>
      </c>
      <c r="B1033" s="53" t="s">
        <v>11744</v>
      </c>
    </row>
    <row r="1034" spans="1:2" x14ac:dyDescent="0.25">
      <c r="A1034" s="54" t="s">
        <v>8443</v>
      </c>
      <c r="B1034" s="54" t="s">
        <v>11745</v>
      </c>
    </row>
    <row r="1035" spans="1:2" x14ac:dyDescent="0.25">
      <c r="A1035" s="53" t="s">
        <v>8444</v>
      </c>
      <c r="B1035" s="53" t="s">
        <v>11746</v>
      </c>
    </row>
    <row r="1036" spans="1:2" x14ac:dyDescent="0.25">
      <c r="A1036" s="54" t="s">
        <v>8445</v>
      </c>
      <c r="B1036" s="54" t="s">
        <v>11747</v>
      </c>
    </row>
    <row r="1037" spans="1:2" x14ac:dyDescent="0.25">
      <c r="A1037" s="53" t="s">
        <v>8446</v>
      </c>
      <c r="B1037" s="53" t="s">
        <v>11060</v>
      </c>
    </row>
    <row r="1038" spans="1:2" x14ac:dyDescent="0.25">
      <c r="A1038" s="54" t="s">
        <v>8447</v>
      </c>
      <c r="B1038" s="54" t="s">
        <v>11748</v>
      </c>
    </row>
    <row r="1039" spans="1:2" x14ac:dyDescent="0.25">
      <c r="A1039" s="53" t="s">
        <v>8448</v>
      </c>
      <c r="B1039" s="53" t="s">
        <v>11749</v>
      </c>
    </row>
    <row r="1040" spans="1:2" x14ac:dyDescent="0.25">
      <c r="A1040" s="54" t="s">
        <v>8449</v>
      </c>
      <c r="B1040" s="54" t="s">
        <v>11271</v>
      </c>
    </row>
    <row r="1041" spans="1:2" x14ac:dyDescent="0.25">
      <c r="A1041" s="53" t="s">
        <v>8450</v>
      </c>
      <c r="B1041" s="53" t="s">
        <v>11750</v>
      </c>
    </row>
    <row r="1042" spans="1:2" x14ac:dyDescent="0.25">
      <c r="A1042" s="54" t="s">
        <v>8451</v>
      </c>
      <c r="B1042" s="54" t="s">
        <v>11751</v>
      </c>
    </row>
    <row r="1043" spans="1:2" x14ac:dyDescent="0.25">
      <c r="A1043" s="53" t="s">
        <v>8452</v>
      </c>
      <c r="B1043" s="53" t="s">
        <v>11752</v>
      </c>
    </row>
    <row r="1044" spans="1:2" x14ac:dyDescent="0.25">
      <c r="A1044" s="54" t="s">
        <v>8453</v>
      </c>
      <c r="B1044" s="54" t="s">
        <v>11753</v>
      </c>
    </row>
    <row r="1045" spans="1:2" x14ac:dyDescent="0.25">
      <c r="A1045" s="53" t="s">
        <v>8454</v>
      </c>
      <c r="B1045" s="53" t="s">
        <v>11754</v>
      </c>
    </row>
    <row r="1046" spans="1:2" x14ac:dyDescent="0.25">
      <c r="A1046" s="54" t="s">
        <v>8455</v>
      </c>
      <c r="B1046" s="54" t="s">
        <v>11508</v>
      </c>
    </row>
    <row r="1047" spans="1:2" x14ac:dyDescent="0.25">
      <c r="A1047" s="53" t="s">
        <v>8456</v>
      </c>
      <c r="B1047" s="53" t="s">
        <v>11755</v>
      </c>
    </row>
    <row r="1048" spans="1:2" x14ac:dyDescent="0.25">
      <c r="A1048" s="54" t="s">
        <v>8457</v>
      </c>
      <c r="B1048" s="54" t="s">
        <v>11756</v>
      </c>
    </row>
    <row r="1049" spans="1:2" x14ac:dyDescent="0.25">
      <c r="A1049" s="53" t="s">
        <v>8458</v>
      </c>
      <c r="B1049" s="53" t="s">
        <v>11757</v>
      </c>
    </row>
    <row r="1050" spans="1:2" x14ac:dyDescent="0.25">
      <c r="A1050" s="54" t="s">
        <v>8459</v>
      </c>
      <c r="B1050" s="54" t="s">
        <v>11758</v>
      </c>
    </row>
    <row r="1051" spans="1:2" x14ac:dyDescent="0.25">
      <c r="A1051" s="53" t="s">
        <v>8460</v>
      </c>
      <c r="B1051" s="53" t="s">
        <v>11759</v>
      </c>
    </row>
    <row r="1052" spans="1:2" x14ac:dyDescent="0.25">
      <c r="A1052" s="54" t="s">
        <v>8461</v>
      </c>
      <c r="B1052" s="54" t="s">
        <v>11760</v>
      </c>
    </row>
    <row r="1053" spans="1:2" x14ac:dyDescent="0.25">
      <c r="A1053" s="53" t="s">
        <v>8462</v>
      </c>
      <c r="B1053" s="53" t="s">
        <v>11761</v>
      </c>
    </row>
    <row r="1054" spans="1:2" x14ac:dyDescent="0.25">
      <c r="A1054" s="54" t="s">
        <v>8463</v>
      </c>
      <c r="B1054" s="54" t="s">
        <v>11762</v>
      </c>
    </row>
    <row r="1055" spans="1:2" x14ac:dyDescent="0.25">
      <c r="A1055" s="53" t="s">
        <v>8464</v>
      </c>
      <c r="B1055" s="53" t="s">
        <v>11763</v>
      </c>
    </row>
    <row r="1056" spans="1:2" x14ac:dyDescent="0.25">
      <c r="A1056" s="54" t="s">
        <v>8465</v>
      </c>
      <c r="B1056" s="54" t="s">
        <v>11764</v>
      </c>
    </row>
    <row r="1057" spans="1:2" x14ac:dyDescent="0.25">
      <c r="A1057" s="53" t="s">
        <v>8466</v>
      </c>
      <c r="B1057" s="53" t="s">
        <v>11765</v>
      </c>
    </row>
    <row r="1058" spans="1:2" x14ac:dyDescent="0.25">
      <c r="A1058" s="54" t="s">
        <v>8467</v>
      </c>
      <c r="B1058" s="54" t="s">
        <v>11766</v>
      </c>
    </row>
    <row r="1059" spans="1:2" x14ac:dyDescent="0.25">
      <c r="A1059" s="53" t="s">
        <v>8468</v>
      </c>
      <c r="B1059" s="53" t="s">
        <v>11767</v>
      </c>
    </row>
    <row r="1060" spans="1:2" x14ac:dyDescent="0.25">
      <c r="A1060" s="54" t="s">
        <v>8469</v>
      </c>
      <c r="B1060" s="54" t="s">
        <v>11768</v>
      </c>
    </row>
    <row r="1061" spans="1:2" x14ac:dyDescent="0.25">
      <c r="A1061" s="53" t="s">
        <v>8470</v>
      </c>
      <c r="B1061" s="53" t="s">
        <v>11769</v>
      </c>
    </row>
    <row r="1062" spans="1:2" x14ac:dyDescent="0.25">
      <c r="A1062" s="54" t="s">
        <v>8471</v>
      </c>
      <c r="B1062" s="54" t="s">
        <v>10848</v>
      </c>
    </row>
    <row r="1063" spans="1:2" x14ac:dyDescent="0.25">
      <c r="A1063" s="53" t="s">
        <v>8472</v>
      </c>
      <c r="B1063" s="53" t="s">
        <v>11770</v>
      </c>
    </row>
    <row r="1064" spans="1:2" x14ac:dyDescent="0.25">
      <c r="A1064" s="54" t="s">
        <v>8473</v>
      </c>
      <c r="B1064" s="54" t="s">
        <v>11256</v>
      </c>
    </row>
    <row r="1065" spans="1:2" x14ac:dyDescent="0.25">
      <c r="A1065" s="53" t="s">
        <v>8474</v>
      </c>
      <c r="B1065" s="53" t="s">
        <v>11771</v>
      </c>
    </row>
    <row r="1066" spans="1:2" x14ac:dyDescent="0.25">
      <c r="A1066" s="54" t="s">
        <v>8475</v>
      </c>
      <c r="B1066" s="54" t="s">
        <v>11772</v>
      </c>
    </row>
    <row r="1067" spans="1:2" x14ac:dyDescent="0.25">
      <c r="A1067" s="53" t="s">
        <v>8476</v>
      </c>
      <c r="B1067" s="53" t="s">
        <v>11773</v>
      </c>
    </row>
    <row r="1068" spans="1:2" x14ac:dyDescent="0.25">
      <c r="A1068" s="54" t="s">
        <v>8477</v>
      </c>
      <c r="B1068" s="54" t="s">
        <v>11774</v>
      </c>
    </row>
    <row r="1069" spans="1:2" x14ac:dyDescent="0.25">
      <c r="A1069" s="53" t="s">
        <v>8478</v>
      </c>
      <c r="B1069" s="53" t="s">
        <v>11775</v>
      </c>
    </row>
    <row r="1070" spans="1:2" x14ac:dyDescent="0.25">
      <c r="A1070" s="54" t="s">
        <v>8479</v>
      </c>
      <c r="B1070" s="54" t="s">
        <v>11776</v>
      </c>
    </row>
    <row r="1071" spans="1:2" x14ac:dyDescent="0.25">
      <c r="A1071" s="53" t="s">
        <v>8480</v>
      </c>
      <c r="B1071" s="53" t="s">
        <v>11777</v>
      </c>
    </row>
    <row r="1072" spans="1:2" x14ac:dyDescent="0.25">
      <c r="A1072" s="54" t="s">
        <v>8481</v>
      </c>
      <c r="B1072" s="54" t="s">
        <v>11778</v>
      </c>
    </row>
    <row r="1073" spans="1:2" x14ac:dyDescent="0.25">
      <c r="A1073" s="53" t="s">
        <v>8482</v>
      </c>
      <c r="B1073" s="53" t="s">
        <v>11779</v>
      </c>
    </row>
    <row r="1074" spans="1:2" x14ac:dyDescent="0.25">
      <c r="A1074" s="54" t="s">
        <v>8483</v>
      </c>
      <c r="B1074" s="54" t="s">
        <v>785</v>
      </c>
    </row>
    <row r="1075" spans="1:2" x14ac:dyDescent="0.25">
      <c r="A1075" s="53" t="s">
        <v>8484</v>
      </c>
      <c r="B1075" s="53" t="s">
        <v>11053</v>
      </c>
    </row>
    <row r="1076" spans="1:2" x14ac:dyDescent="0.25">
      <c r="A1076" s="54" t="s">
        <v>8485</v>
      </c>
      <c r="B1076" s="54" t="s">
        <v>11064</v>
      </c>
    </row>
    <row r="1077" spans="1:2" x14ac:dyDescent="0.25">
      <c r="A1077" s="53" t="s">
        <v>8486</v>
      </c>
      <c r="B1077" s="53" t="s">
        <v>11686</v>
      </c>
    </row>
    <row r="1078" spans="1:2" x14ac:dyDescent="0.25">
      <c r="A1078" s="54" t="s">
        <v>8487</v>
      </c>
      <c r="B1078" s="54" t="s">
        <v>11780</v>
      </c>
    </row>
    <row r="1079" spans="1:2" x14ac:dyDescent="0.25">
      <c r="A1079" s="53" t="s">
        <v>8488</v>
      </c>
      <c r="B1079" s="53" t="s">
        <v>11781</v>
      </c>
    </row>
    <row r="1080" spans="1:2" x14ac:dyDescent="0.25">
      <c r="A1080" s="54" t="s">
        <v>8489</v>
      </c>
      <c r="B1080" s="54" t="s">
        <v>11782</v>
      </c>
    </row>
    <row r="1081" spans="1:2" x14ac:dyDescent="0.25">
      <c r="A1081" s="53" t="s">
        <v>8490</v>
      </c>
      <c r="B1081" s="53" t="s">
        <v>11783</v>
      </c>
    </row>
    <row r="1082" spans="1:2" x14ac:dyDescent="0.25">
      <c r="A1082" s="54" t="s">
        <v>8491</v>
      </c>
      <c r="B1082" s="54" t="s">
        <v>11599</v>
      </c>
    </row>
    <row r="1083" spans="1:2" x14ac:dyDescent="0.25">
      <c r="A1083" s="53" t="s">
        <v>8492</v>
      </c>
      <c r="B1083" s="53" t="s">
        <v>11784</v>
      </c>
    </row>
    <row r="1084" spans="1:2" x14ac:dyDescent="0.25">
      <c r="A1084" s="54" t="s">
        <v>8493</v>
      </c>
      <c r="B1084" s="54" t="s">
        <v>11785</v>
      </c>
    </row>
    <row r="1085" spans="1:2" x14ac:dyDescent="0.25">
      <c r="A1085" s="53" t="s">
        <v>8494</v>
      </c>
      <c r="B1085" s="53" t="s">
        <v>11786</v>
      </c>
    </row>
    <row r="1086" spans="1:2" x14ac:dyDescent="0.25">
      <c r="A1086" s="54" t="s">
        <v>8495</v>
      </c>
      <c r="B1086" s="54" t="s">
        <v>11787</v>
      </c>
    </row>
    <row r="1087" spans="1:2" x14ac:dyDescent="0.25">
      <c r="A1087" s="53" t="s">
        <v>8496</v>
      </c>
      <c r="B1087" s="53" t="s">
        <v>11788</v>
      </c>
    </row>
    <row r="1088" spans="1:2" x14ac:dyDescent="0.25">
      <c r="A1088" s="54" t="s">
        <v>8497</v>
      </c>
      <c r="B1088" s="54" t="s">
        <v>11789</v>
      </c>
    </row>
    <row r="1089" spans="1:2" x14ac:dyDescent="0.25">
      <c r="A1089" s="53" t="s">
        <v>8498</v>
      </c>
      <c r="B1089" s="53" t="s">
        <v>11790</v>
      </c>
    </row>
    <row r="1090" spans="1:2" x14ac:dyDescent="0.25">
      <c r="A1090" s="54" t="s">
        <v>8499</v>
      </c>
      <c r="B1090" s="54" t="s">
        <v>11791</v>
      </c>
    </row>
    <row r="1091" spans="1:2" x14ac:dyDescent="0.25">
      <c r="A1091" s="53" t="s">
        <v>8500</v>
      </c>
      <c r="B1091" s="53" t="s">
        <v>11792</v>
      </c>
    </row>
    <row r="1092" spans="1:2" x14ac:dyDescent="0.25">
      <c r="A1092" s="54" t="s">
        <v>8501</v>
      </c>
      <c r="B1092" s="54" t="s">
        <v>11793</v>
      </c>
    </row>
    <row r="1093" spans="1:2" x14ac:dyDescent="0.25">
      <c r="A1093" s="53" t="s">
        <v>8502</v>
      </c>
      <c r="B1093" s="53" t="s">
        <v>11794</v>
      </c>
    </row>
    <row r="1094" spans="1:2" x14ac:dyDescent="0.25">
      <c r="A1094" s="54" t="s">
        <v>8503</v>
      </c>
      <c r="B1094" s="54" t="s">
        <v>11795</v>
      </c>
    </row>
    <row r="1095" spans="1:2" x14ac:dyDescent="0.25">
      <c r="A1095" s="53" t="s">
        <v>8504</v>
      </c>
      <c r="B1095" s="53" t="s">
        <v>11796</v>
      </c>
    </row>
    <row r="1096" spans="1:2" x14ac:dyDescent="0.25">
      <c r="A1096" s="54" t="s">
        <v>8505</v>
      </c>
      <c r="B1096" s="54" t="s">
        <v>11797</v>
      </c>
    </row>
    <row r="1097" spans="1:2" x14ac:dyDescent="0.25">
      <c r="A1097" s="53" t="s">
        <v>8506</v>
      </c>
      <c r="B1097" s="53" t="s">
        <v>10799</v>
      </c>
    </row>
    <row r="1098" spans="1:2" x14ac:dyDescent="0.25">
      <c r="A1098" s="54" t="s">
        <v>8507</v>
      </c>
      <c r="B1098" s="54" t="s">
        <v>11798</v>
      </c>
    </row>
    <row r="1099" spans="1:2" x14ac:dyDescent="0.25">
      <c r="A1099" s="53" t="s">
        <v>8508</v>
      </c>
      <c r="B1099" s="53" t="s">
        <v>11799</v>
      </c>
    </row>
    <row r="1100" spans="1:2" x14ac:dyDescent="0.25">
      <c r="A1100" s="54" t="s">
        <v>8509</v>
      </c>
      <c r="B1100" s="54" t="s">
        <v>11800</v>
      </c>
    </row>
    <row r="1101" spans="1:2" x14ac:dyDescent="0.25">
      <c r="A1101" s="53" t="s">
        <v>8510</v>
      </c>
      <c r="B1101" s="53" t="s">
        <v>11801</v>
      </c>
    </row>
    <row r="1102" spans="1:2" x14ac:dyDescent="0.25">
      <c r="A1102" s="54" t="s">
        <v>8511</v>
      </c>
      <c r="B1102" s="54" t="s">
        <v>11802</v>
      </c>
    </row>
    <row r="1103" spans="1:2" x14ac:dyDescent="0.25">
      <c r="A1103" s="53" t="s">
        <v>8512</v>
      </c>
      <c r="B1103" s="53" t="s">
        <v>11803</v>
      </c>
    </row>
    <row r="1104" spans="1:2" x14ac:dyDescent="0.25">
      <c r="A1104" s="54" t="s">
        <v>8513</v>
      </c>
      <c r="B1104" s="54" t="s">
        <v>11804</v>
      </c>
    </row>
    <row r="1105" spans="1:2" x14ac:dyDescent="0.25">
      <c r="A1105" s="53" t="s">
        <v>8514</v>
      </c>
      <c r="B1105" s="53" t="s">
        <v>11805</v>
      </c>
    </row>
    <row r="1106" spans="1:2" x14ac:dyDescent="0.25">
      <c r="A1106" s="54" t="s">
        <v>8515</v>
      </c>
      <c r="B1106" s="54" t="s">
        <v>11004</v>
      </c>
    </row>
    <row r="1107" spans="1:2" x14ac:dyDescent="0.25">
      <c r="A1107" s="53" t="s">
        <v>8516</v>
      </c>
      <c r="B1107" s="53" t="s">
        <v>11806</v>
      </c>
    </row>
    <row r="1108" spans="1:2" x14ac:dyDescent="0.25">
      <c r="A1108" s="54" t="s">
        <v>8517</v>
      </c>
      <c r="B1108" s="54" t="s">
        <v>11807</v>
      </c>
    </row>
    <row r="1109" spans="1:2" x14ac:dyDescent="0.25">
      <c r="A1109" s="53" t="s">
        <v>8518</v>
      </c>
      <c r="B1109" s="53" t="s">
        <v>11808</v>
      </c>
    </row>
    <row r="1110" spans="1:2" x14ac:dyDescent="0.25">
      <c r="A1110" s="54" t="s">
        <v>8519</v>
      </c>
      <c r="B1110" s="54" t="s">
        <v>11809</v>
      </c>
    </row>
    <row r="1111" spans="1:2" x14ac:dyDescent="0.25">
      <c r="A1111" s="53" t="s">
        <v>8520</v>
      </c>
      <c r="B1111" s="53" t="s">
        <v>11810</v>
      </c>
    </row>
    <row r="1112" spans="1:2" x14ac:dyDescent="0.25">
      <c r="A1112" s="54" t="s">
        <v>8521</v>
      </c>
      <c r="B1112" s="54" t="s">
        <v>11811</v>
      </c>
    </row>
    <row r="1113" spans="1:2" x14ac:dyDescent="0.25">
      <c r="A1113" s="53" t="s">
        <v>8522</v>
      </c>
      <c r="B1113" s="53" t="s">
        <v>10936</v>
      </c>
    </row>
    <row r="1114" spans="1:2" x14ac:dyDescent="0.25">
      <c r="A1114" s="54" t="s">
        <v>8523</v>
      </c>
      <c r="B1114" s="54" t="s">
        <v>11812</v>
      </c>
    </row>
    <row r="1115" spans="1:2" x14ac:dyDescent="0.25">
      <c r="A1115" s="53" t="s">
        <v>8524</v>
      </c>
      <c r="B1115" s="53" t="s">
        <v>11813</v>
      </c>
    </row>
    <row r="1116" spans="1:2" x14ac:dyDescent="0.25">
      <c r="A1116" s="54" t="s">
        <v>8525</v>
      </c>
      <c r="B1116" s="54" t="s">
        <v>11814</v>
      </c>
    </row>
    <row r="1117" spans="1:2" x14ac:dyDescent="0.25">
      <c r="A1117" s="53" t="s">
        <v>8526</v>
      </c>
      <c r="B1117" s="53" t="s">
        <v>11815</v>
      </c>
    </row>
    <row r="1118" spans="1:2" x14ac:dyDescent="0.25">
      <c r="A1118" s="54" t="s">
        <v>8527</v>
      </c>
      <c r="B1118" s="54" t="s">
        <v>11816</v>
      </c>
    </row>
    <row r="1119" spans="1:2" x14ac:dyDescent="0.25">
      <c r="A1119" s="53" t="s">
        <v>8528</v>
      </c>
      <c r="B1119" s="53" t="s">
        <v>11817</v>
      </c>
    </row>
    <row r="1120" spans="1:2" x14ac:dyDescent="0.25">
      <c r="A1120" s="54" t="s">
        <v>8529</v>
      </c>
      <c r="B1120" s="54" t="s">
        <v>11818</v>
      </c>
    </row>
    <row r="1121" spans="1:2" x14ac:dyDescent="0.25">
      <c r="A1121" s="53" t="s">
        <v>8530</v>
      </c>
      <c r="B1121" s="53" t="s">
        <v>11819</v>
      </c>
    </row>
    <row r="1122" spans="1:2" x14ac:dyDescent="0.25">
      <c r="A1122" s="54" t="s">
        <v>8531</v>
      </c>
      <c r="B1122" s="54" t="s">
        <v>11820</v>
      </c>
    </row>
    <row r="1123" spans="1:2" x14ac:dyDescent="0.25">
      <c r="A1123" s="53" t="s">
        <v>8532</v>
      </c>
      <c r="B1123" s="53" t="s">
        <v>11821</v>
      </c>
    </row>
    <row r="1124" spans="1:2" x14ac:dyDescent="0.25">
      <c r="A1124" s="54" t="s">
        <v>8533</v>
      </c>
      <c r="B1124" s="54" t="s">
        <v>10799</v>
      </c>
    </row>
    <row r="1125" spans="1:2" x14ac:dyDescent="0.25">
      <c r="A1125" s="53" t="s">
        <v>8534</v>
      </c>
      <c r="B1125" s="53" t="s">
        <v>11822</v>
      </c>
    </row>
    <row r="1126" spans="1:2" x14ac:dyDescent="0.25">
      <c r="A1126" s="54" t="s">
        <v>8535</v>
      </c>
      <c r="B1126" s="54" t="s">
        <v>11823</v>
      </c>
    </row>
    <row r="1127" spans="1:2" x14ac:dyDescent="0.25">
      <c r="A1127" s="53" t="s">
        <v>8536</v>
      </c>
      <c r="B1127" s="53" t="s">
        <v>11824</v>
      </c>
    </row>
    <row r="1128" spans="1:2" x14ac:dyDescent="0.25">
      <c r="A1128" s="54" t="s">
        <v>8537</v>
      </c>
      <c r="B1128" s="54" t="s">
        <v>11825</v>
      </c>
    </row>
    <row r="1129" spans="1:2" x14ac:dyDescent="0.25">
      <c r="A1129" s="53" t="s">
        <v>8538</v>
      </c>
      <c r="B1129" s="53" t="s">
        <v>11826</v>
      </c>
    </row>
    <row r="1130" spans="1:2" x14ac:dyDescent="0.25">
      <c r="A1130" s="54" t="s">
        <v>8539</v>
      </c>
      <c r="B1130" s="54" t="s">
        <v>11827</v>
      </c>
    </row>
    <row r="1131" spans="1:2" x14ac:dyDescent="0.25">
      <c r="A1131" s="53" t="s">
        <v>8540</v>
      </c>
      <c r="B1131" s="53" t="s">
        <v>11828</v>
      </c>
    </row>
    <row r="1132" spans="1:2" x14ac:dyDescent="0.25">
      <c r="A1132" s="54" t="s">
        <v>8541</v>
      </c>
      <c r="B1132" s="54" t="s">
        <v>11829</v>
      </c>
    </row>
    <row r="1133" spans="1:2" x14ac:dyDescent="0.25">
      <c r="A1133" s="53" t="s">
        <v>8542</v>
      </c>
      <c r="B1133" s="53" t="s">
        <v>11830</v>
      </c>
    </row>
    <row r="1134" spans="1:2" x14ac:dyDescent="0.25">
      <c r="A1134" s="54" t="s">
        <v>8543</v>
      </c>
      <c r="B1134" s="54" t="s">
        <v>11762</v>
      </c>
    </row>
    <row r="1135" spans="1:2" x14ac:dyDescent="0.25">
      <c r="A1135" s="53" t="s">
        <v>8544</v>
      </c>
      <c r="B1135" s="53" t="s">
        <v>11706</v>
      </c>
    </row>
    <row r="1136" spans="1:2" x14ac:dyDescent="0.25">
      <c r="A1136" s="54" t="s">
        <v>8545</v>
      </c>
      <c r="B1136" s="54" t="s">
        <v>11118</v>
      </c>
    </row>
    <row r="1137" spans="1:2" x14ac:dyDescent="0.25">
      <c r="A1137" s="53" t="s">
        <v>8546</v>
      </c>
      <c r="B1137" s="53" t="s">
        <v>11831</v>
      </c>
    </row>
    <row r="1138" spans="1:2" x14ac:dyDescent="0.25">
      <c r="A1138" s="54" t="s">
        <v>8547</v>
      </c>
      <c r="B1138" s="54" t="s">
        <v>11832</v>
      </c>
    </row>
    <row r="1139" spans="1:2" x14ac:dyDescent="0.25">
      <c r="A1139" s="53" t="s">
        <v>8548</v>
      </c>
      <c r="B1139" s="53" t="s">
        <v>11833</v>
      </c>
    </row>
    <row r="1140" spans="1:2" x14ac:dyDescent="0.25">
      <c r="A1140" s="54" t="s">
        <v>8549</v>
      </c>
      <c r="B1140" s="54" t="s">
        <v>11834</v>
      </c>
    </row>
    <row r="1141" spans="1:2" x14ac:dyDescent="0.25">
      <c r="A1141" s="53" t="s">
        <v>8550</v>
      </c>
      <c r="B1141" s="53" t="s">
        <v>11835</v>
      </c>
    </row>
    <row r="1142" spans="1:2" x14ac:dyDescent="0.25">
      <c r="A1142" s="54" t="s">
        <v>8551</v>
      </c>
      <c r="B1142" s="54" t="s">
        <v>11836</v>
      </c>
    </row>
    <row r="1143" spans="1:2" x14ac:dyDescent="0.25">
      <c r="A1143" s="53" t="s">
        <v>8552</v>
      </c>
      <c r="B1143" s="53" t="s">
        <v>11837</v>
      </c>
    </row>
    <row r="1144" spans="1:2" x14ac:dyDescent="0.25">
      <c r="A1144" s="54" t="s">
        <v>8553</v>
      </c>
      <c r="B1144" s="54" t="s">
        <v>10938</v>
      </c>
    </row>
    <row r="1145" spans="1:2" x14ac:dyDescent="0.25">
      <c r="A1145" s="53" t="s">
        <v>8554</v>
      </c>
      <c r="B1145" s="53" t="s">
        <v>11684</v>
      </c>
    </row>
    <row r="1146" spans="1:2" x14ac:dyDescent="0.25">
      <c r="A1146" s="54" t="s">
        <v>8555</v>
      </c>
      <c r="B1146" s="54" t="s">
        <v>11838</v>
      </c>
    </row>
    <row r="1147" spans="1:2" x14ac:dyDescent="0.25">
      <c r="A1147" s="53" t="s">
        <v>8556</v>
      </c>
      <c r="B1147" s="53" t="s">
        <v>11839</v>
      </c>
    </row>
    <row r="1148" spans="1:2" x14ac:dyDescent="0.25">
      <c r="A1148" s="54" t="s">
        <v>8557</v>
      </c>
      <c r="B1148" s="54" t="s">
        <v>11840</v>
      </c>
    </row>
    <row r="1149" spans="1:2" x14ac:dyDescent="0.25">
      <c r="A1149" s="53" t="s">
        <v>8558</v>
      </c>
      <c r="B1149" s="53" t="s">
        <v>11841</v>
      </c>
    </row>
    <row r="1150" spans="1:2" x14ac:dyDescent="0.25">
      <c r="A1150" s="54" t="s">
        <v>8559</v>
      </c>
      <c r="B1150" s="54" t="s">
        <v>11842</v>
      </c>
    </row>
    <row r="1151" spans="1:2" x14ac:dyDescent="0.25">
      <c r="A1151" s="53" t="s">
        <v>8560</v>
      </c>
      <c r="B1151" s="53" t="s">
        <v>11843</v>
      </c>
    </row>
    <row r="1152" spans="1:2" x14ac:dyDescent="0.25">
      <c r="A1152" s="54" t="s">
        <v>8561</v>
      </c>
      <c r="B1152" s="54" t="s">
        <v>11844</v>
      </c>
    </row>
    <row r="1153" spans="1:2" x14ac:dyDescent="0.25">
      <c r="A1153" s="53" t="s">
        <v>8562</v>
      </c>
      <c r="B1153" s="53" t="s">
        <v>11845</v>
      </c>
    </row>
    <row r="1154" spans="1:2" x14ac:dyDescent="0.25">
      <c r="A1154" s="54" t="s">
        <v>8563</v>
      </c>
      <c r="B1154" s="54" t="s">
        <v>11846</v>
      </c>
    </row>
    <row r="1155" spans="1:2" x14ac:dyDescent="0.25">
      <c r="A1155" s="53" t="s">
        <v>8564</v>
      </c>
      <c r="B1155" s="53" t="s">
        <v>11847</v>
      </c>
    </row>
    <row r="1156" spans="1:2" x14ac:dyDescent="0.25">
      <c r="A1156" s="54" t="s">
        <v>8565</v>
      </c>
      <c r="B1156" s="54" t="s">
        <v>11047</v>
      </c>
    </row>
    <row r="1157" spans="1:2" x14ac:dyDescent="0.25">
      <c r="A1157" s="53" t="s">
        <v>8566</v>
      </c>
      <c r="B1157" s="53" t="s">
        <v>11848</v>
      </c>
    </row>
    <row r="1158" spans="1:2" x14ac:dyDescent="0.25">
      <c r="A1158" s="54" t="s">
        <v>8567</v>
      </c>
      <c r="B1158" s="54" t="s">
        <v>11849</v>
      </c>
    </row>
    <row r="1159" spans="1:2" x14ac:dyDescent="0.25">
      <c r="A1159" s="53" t="s">
        <v>8568</v>
      </c>
      <c r="B1159" s="53" t="s">
        <v>11762</v>
      </c>
    </row>
    <row r="1160" spans="1:2" x14ac:dyDescent="0.25">
      <c r="A1160" s="54" t="s">
        <v>8569</v>
      </c>
      <c r="B1160" s="54" t="s">
        <v>11850</v>
      </c>
    </row>
    <row r="1161" spans="1:2" x14ac:dyDescent="0.25">
      <c r="A1161" s="53" t="s">
        <v>8570</v>
      </c>
      <c r="B1161" s="53" t="s">
        <v>11851</v>
      </c>
    </row>
    <row r="1162" spans="1:2" x14ac:dyDescent="0.25">
      <c r="A1162" s="54" t="s">
        <v>8571</v>
      </c>
      <c r="B1162" s="54" t="s">
        <v>11852</v>
      </c>
    </row>
    <row r="1163" spans="1:2" x14ac:dyDescent="0.25">
      <c r="A1163" s="53" t="s">
        <v>8572</v>
      </c>
      <c r="B1163" s="53" t="s">
        <v>11853</v>
      </c>
    </row>
    <row r="1164" spans="1:2" x14ac:dyDescent="0.25">
      <c r="A1164" s="54" t="s">
        <v>8573</v>
      </c>
      <c r="B1164" s="54" t="s">
        <v>11854</v>
      </c>
    </row>
    <row r="1165" spans="1:2" x14ac:dyDescent="0.25">
      <c r="A1165" s="53" t="s">
        <v>8574</v>
      </c>
      <c r="B1165" s="53" t="s">
        <v>11855</v>
      </c>
    </row>
    <row r="1166" spans="1:2" x14ac:dyDescent="0.25">
      <c r="A1166" s="54" t="s">
        <v>8575</v>
      </c>
      <c r="B1166" s="54" t="s">
        <v>11856</v>
      </c>
    </row>
    <row r="1167" spans="1:2" x14ac:dyDescent="0.25">
      <c r="A1167" s="53" t="s">
        <v>8576</v>
      </c>
      <c r="B1167" s="53" t="s">
        <v>11857</v>
      </c>
    </row>
    <row r="1168" spans="1:2" x14ac:dyDescent="0.25">
      <c r="A1168" s="54" t="s">
        <v>8577</v>
      </c>
      <c r="B1168" s="54" t="s">
        <v>11858</v>
      </c>
    </row>
    <row r="1169" spans="1:2" x14ac:dyDescent="0.25">
      <c r="A1169" s="53" t="s">
        <v>8578</v>
      </c>
      <c r="B1169" s="53" t="s">
        <v>11859</v>
      </c>
    </row>
    <row r="1170" spans="1:2" x14ac:dyDescent="0.25">
      <c r="A1170" s="54" t="s">
        <v>8579</v>
      </c>
      <c r="B1170" s="54" t="s">
        <v>11860</v>
      </c>
    </row>
    <row r="1171" spans="1:2" x14ac:dyDescent="0.25">
      <c r="A1171" s="53" t="s">
        <v>8580</v>
      </c>
      <c r="B1171" s="53" t="s">
        <v>11861</v>
      </c>
    </row>
    <row r="1172" spans="1:2" x14ac:dyDescent="0.25">
      <c r="A1172" s="54" t="s">
        <v>8581</v>
      </c>
      <c r="B1172" s="54" t="s">
        <v>11862</v>
      </c>
    </row>
    <row r="1173" spans="1:2" x14ac:dyDescent="0.25">
      <c r="A1173" s="53" t="s">
        <v>8582</v>
      </c>
      <c r="B1173" s="53" t="s">
        <v>11517</v>
      </c>
    </row>
    <row r="1174" spans="1:2" x14ac:dyDescent="0.25">
      <c r="A1174" s="54" t="s">
        <v>8583</v>
      </c>
      <c r="B1174" s="54" t="s">
        <v>11863</v>
      </c>
    </row>
    <row r="1175" spans="1:2" x14ac:dyDescent="0.25">
      <c r="A1175" s="53" t="s">
        <v>8584</v>
      </c>
      <c r="B1175" s="53" t="s">
        <v>11864</v>
      </c>
    </row>
    <row r="1176" spans="1:2" x14ac:dyDescent="0.25">
      <c r="A1176" s="54" t="s">
        <v>8585</v>
      </c>
      <c r="B1176" s="54" t="s">
        <v>11865</v>
      </c>
    </row>
    <row r="1177" spans="1:2" x14ac:dyDescent="0.25">
      <c r="A1177" s="53" t="s">
        <v>8586</v>
      </c>
      <c r="B1177" s="53" t="s">
        <v>11866</v>
      </c>
    </row>
    <row r="1178" spans="1:2" x14ac:dyDescent="0.25">
      <c r="A1178" s="54" t="s">
        <v>8587</v>
      </c>
      <c r="B1178" s="54" t="s">
        <v>11867</v>
      </c>
    </row>
    <row r="1179" spans="1:2" x14ac:dyDescent="0.25">
      <c r="A1179" s="53" t="s">
        <v>8588</v>
      </c>
      <c r="B1179" s="53" t="s">
        <v>11868</v>
      </c>
    </row>
    <row r="1180" spans="1:2" x14ac:dyDescent="0.25">
      <c r="A1180" s="54" t="s">
        <v>8589</v>
      </c>
      <c r="B1180" s="54" t="s">
        <v>11869</v>
      </c>
    </row>
    <row r="1181" spans="1:2" x14ac:dyDescent="0.25">
      <c r="A1181" s="53" t="s">
        <v>8590</v>
      </c>
      <c r="B1181" s="53" t="s">
        <v>11870</v>
      </c>
    </row>
    <row r="1182" spans="1:2" x14ac:dyDescent="0.25">
      <c r="A1182" s="54" t="s">
        <v>8591</v>
      </c>
      <c r="B1182" s="54" t="s">
        <v>11871</v>
      </c>
    </row>
    <row r="1183" spans="1:2" x14ac:dyDescent="0.25">
      <c r="A1183" s="53" t="s">
        <v>8592</v>
      </c>
      <c r="B1183" s="53" t="s">
        <v>10862</v>
      </c>
    </row>
    <row r="1184" spans="1:2" x14ac:dyDescent="0.25">
      <c r="A1184" s="54" t="s">
        <v>8593</v>
      </c>
      <c r="B1184" s="54" t="s">
        <v>11872</v>
      </c>
    </row>
    <row r="1185" spans="1:2" x14ac:dyDescent="0.25">
      <c r="A1185" s="53" t="s">
        <v>8594</v>
      </c>
      <c r="B1185" s="53" t="s">
        <v>11873</v>
      </c>
    </row>
    <row r="1186" spans="1:2" x14ac:dyDescent="0.25">
      <c r="A1186" s="54" t="s">
        <v>8595</v>
      </c>
      <c r="B1186" s="54" t="s">
        <v>11874</v>
      </c>
    </row>
    <row r="1187" spans="1:2" x14ac:dyDescent="0.25">
      <c r="A1187" s="53" t="s">
        <v>8596</v>
      </c>
      <c r="B1187" s="53" t="s">
        <v>11875</v>
      </c>
    </row>
    <row r="1188" spans="1:2" x14ac:dyDescent="0.25">
      <c r="A1188" s="54" t="s">
        <v>8597</v>
      </c>
      <c r="B1188" s="54" t="s">
        <v>11876</v>
      </c>
    </row>
    <row r="1189" spans="1:2" x14ac:dyDescent="0.25">
      <c r="A1189" s="53" t="s">
        <v>8598</v>
      </c>
      <c r="B1189" s="53" t="s">
        <v>10948</v>
      </c>
    </row>
    <row r="1190" spans="1:2" x14ac:dyDescent="0.25">
      <c r="A1190" s="54" t="s">
        <v>8599</v>
      </c>
      <c r="B1190" s="54" t="s">
        <v>11877</v>
      </c>
    </row>
    <row r="1191" spans="1:2" x14ac:dyDescent="0.25">
      <c r="A1191" s="53" t="s">
        <v>8600</v>
      </c>
      <c r="B1191" s="53" t="s">
        <v>11878</v>
      </c>
    </row>
    <row r="1192" spans="1:2" x14ac:dyDescent="0.25">
      <c r="A1192" s="54" t="s">
        <v>8601</v>
      </c>
      <c r="B1192" s="54" t="s">
        <v>11879</v>
      </c>
    </row>
    <row r="1193" spans="1:2" x14ac:dyDescent="0.25">
      <c r="A1193" s="53" t="s">
        <v>8602</v>
      </c>
      <c r="B1193" s="53" t="s">
        <v>11880</v>
      </c>
    </row>
    <row r="1194" spans="1:2" x14ac:dyDescent="0.25">
      <c r="A1194" s="54" t="s">
        <v>8603</v>
      </c>
      <c r="B1194" s="54" t="s">
        <v>11881</v>
      </c>
    </row>
    <row r="1195" spans="1:2" x14ac:dyDescent="0.25">
      <c r="A1195" s="53" t="s">
        <v>8604</v>
      </c>
      <c r="B1195" s="53" t="s">
        <v>11882</v>
      </c>
    </row>
    <row r="1196" spans="1:2" x14ac:dyDescent="0.25">
      <c r="A1196" s="54" t="s">
        <v>8605</v>
      </c>
      <c r="B1196" s="54" t="s">
        <v>11883</v>
      </c>
    </row>
    <row r="1197" spans="1:2" x14ac:dyDescent="0.25">
      <c r="A1197" s="53" t="s">
        <v>8606</v>
      </c>
      <c r="B1197" s="53" t="s">
        <v>11884</v>
      </c>
    </row>
    <row r="1198" spans="1:2" x14ac:dyDescent="0.25">
      <c r="A1198" s="54" t="s">
        <v>8607</v>
      </c>
      <c r="B1198" s="54" t="s">
        <v>11885</v>
      </c>
    </row>
    <row r="1199" spans="1:2" x14ac:dyDescent="0.25">
      <c r="A1199" s="53" t="s">
        <v>8608</v>
      </c>
      <c r="B1199" s="53" t="s">
        <v>11706</v>
      </c>
    </row>
    <row r="1200" spans="1:2" x14ac:dyDescent="0.25">
      <c r="A1200" s="54" t="s">
        <v>8609</v>
      </c>
      <c r="B1200" s="54" t="s">
        <v>11886</v>
      </c>
    </row>
    <row r="1201" spans="1:2" x14ac:dyDescent="0.25">
      <c r="A1201" s="53" t="s">
        <v>8610</v>
      </c>
      <c r="B1201" s="53" t="s">
        <v>11887</v>
      </c>
    </row>
    <row r="1202" spans="1:2" x14ac:dyDescent="0.25">
      <c r="A1202" s="54" t="s">
        <v>8611</v>
      </c>
      <c r="B1202" s="54" t="s">
        <v>780</v>
      </c>
    </row>
    <row r="1203" spans="1:2" x14ac:dyDescent="0.25">
      <c r="A1203" s="53" t="s">
        <v>8612</v>
      </c>
      <c r="B1203" s="53" t="s">
        <v>11888</v>
      </c>
    </row>
    <row r="1204" spans="1:2" x14ac:dyDescent="0.25">
      <c r="A1204" s="54" t="s">
        <v>8613</v>
      </c>
      <c r="B1204" s="54" t="s">
        <v>11889</v>
      </c>
    </row>
    <row r="1205" spans="1:2" x14ac:dyDescent="0.25">
      <c r="A1205" s="53" t="s">
        <v>8614</v>
      </c>
      <c r="B1205" s="53" t="s">
        <v>11841</v>
      </c>
    </row>
    <row r="1206" spans="1:2" x14ac:dyDescent="0.25">
      <c r="A1206" s="54" t="s">
        <v>8615</v>
      </c>
      <c r="B1206" s="54" t="s">
        <v>11890</v>
      </c>
    </row>
    <row r="1207" spans="1:2" x14ac:dyDescent="0.25">
      <c r="A1207" s="53" t="s">
        <v>8616</v>
      </c>
      <c r="B1207" s="53" t="s">
        <v>11891</v>
      </c>
    </row>
    <row r="1208" spans="1:2" x14ac:dyDescent="0.25">
      <c r="A1208" s="54" t="s">
        <v>8617</v>
      </c>
      <c r="B1208" s="54" t="s">
        <v>11892</v>
      </c>
    </row>
    <row r="1209" spans="1:2" x14ac:dyDescent="0.25">
      <c r="A1209" s="53" t="s">
        <v>8618</v>
      </c>
      <c r="B1209" s="53" t="s">
        <v>11893</v>
      </c>
    </row>
    <row r="1210" spans="1:2" x14ac:dyDescent="0.25">
      <c r="A1210" s="54" t="s">
        <v>8619</v>
      </c>
      <c r="B1210" s="54" t="s">
        <v>11894</v>
      </c>
    </row>
    <row r="1211" spans="1:2" x14ac:dyDescent="0.25">
      <c r="A1211" s="53" t="s">
        <v>8620</v>
      </c>
      <c r="B1211" s="53" t="s">
        <v>11604</v>
      </c>
    </row>
    <row r="1212" spans="1:2" x14ac:dyDescent="0.25">
      <c r="A1212" s="54" t="s">
        <v>8621</v>
      </c>
      <c r="B1212" s="54" t="s">
        <v>11895</v>
      </c>
    </row>
    <row r="1213" spans="1:2" x14ac:dyDescent="0.25">
      <c r="A1213" s="53" t="s">
        <v>8622</v>
      </c>
      <c r="B1213" s="53" t="s">
        <v>11896</v>
      </c>
    </row>
    <row r="1214" spans="1:2" x14ac:dyDescent="0.25">
      <c r="A1214" s="54" t="s">
        <v>8623</v>
      </c>
      <c r="B1214" s="54" t="s">
        <v>11897</v>
      </c>
    </row>
    <row r="1215" spans="1:2" x14ac:dyDescent="0.25">
      <c r="A1215" s="53" t="s">
        <v>8624</v>
      </c>
      <c r="B1215" s="53" t="s">
        <v>11774</v>
      </c>
    </row>
    <row r="1216" spans="1:2" x14ac:dyDescent="0.25">
      <c r="A1216" s="54" t="s">
        <v>8625</v>
      </c>
      <c r="B1216" s="54" t="s">
        <v>11898</v>
      </c>
    </row>
    <row r="1217" spans="1:2" x14ac:dyDescent="0.25">
      <c r="A1217" s="53" t="s">
        <v>8626</v>
      </c>
      <c r="B1217" s="53" t="s">
        <v>11899</v>
      </c>
    </row>
    <row r="1218" spans="1:2" x14ac:dyDescent="0.25">
      <c r="A1218" s="54" t="s">
        <v>8627</v>
      </c>
      <c r="B1218" s="54" t="s">
        <v>11900</v>
      </c>
    </row>
    <row r="1219" spans="1:2" x14ac:dyDescent="0.25">
      <c r="A1219" s="53" t="s">
        <v>8628</v>
      </c>
      <c r="B1219" s="53" t="s">
        <v>11901</v>
      </c>
    </row>
    <row r="1220" spans="1:2" x14ac:dyDescent="0.25">
      <c r="A1220" s="54" t="s">
        <v>8629</v>
      </c>
      <c r="B1220" s="54" t="s">
        <v>11902</v>
      </c>
    </row>
    <row r="1221" spans="1:2" x14ac:dyDescent="0.25">
      <c r="A1221" s="53" t="s">
        <v>8630</v>
      </c>
      <c r="B1221" s="53" t="s">
        <v>11903</v>
      </c>
    </row>
    <row r="1222" spans="1:2" x14ac:dyDescent="0.25">
      <c r="A1222" s="54" t="s">
        <v>8631</v>
      </c>
      <c r="B1222" s="54" t="s">
        <v>11904</v>
      </c>
    </row>
    <row r="1223" spans="1:2" x14ac:dyDescent="0.25">
      <c r="A1223" s="53" t="s">
        <v>8632</v>
      </c>
      <c r="B1223" s="53" t="s">
        <v>11905</v>
      </c>
    </row>
    <row r="1224" spans="1:2" x14ac:dyDescent="0.25">
      <c r="A1224" s="54" t="s">
        <v>8633</v>
      </c>
      <c r="B1224" s="54" t="s">
        <v>11906</v>
      </c>
    </row>
    <row r="1225" spans="1:2" x14ac:dyDescent="0.25">
      <c r="A1225" s="53" t="s">
        <v>8634</v>
      </c>
      <c r="B1225" s="53" t="s">
        <v>11907</v>
      </c>
    </row>
    <row r="1226" spans="1:2" x14ac:dyDescent="0.25">
      <c r="A1226" s="54" t="s">
        <v>8635</v>
      </c>
      <c r="B1226" s="54" t="s">
        <v>11908</v>
      </c>
    </row>
    <row r="1227" spans="1:2" x14ac:dyDescent="0.25">
      <c r="A1227" s="53" t="s">
        <v>8636</v>
      </c>
      <c r="B1227" s="53" t="s">
        <v>11909</v>
      </c>
    </row>
    <row r="1228" spans="1:2" x14ac:dyDescent="0.25">
      <c r="A1228" s="54" t="s">
        <v>8637</v>
      </c>
      <c r="B1228" s="54" t="s">
        <v>11910</v>
      </c>
    </row>
    <row r="1229" spans="1:2" x14ac:dyDescent="0.25">
      <c r="A1229" s="53" t="s">
        <v>8638</v>
      </c>
      <c r="B1229" s="53" t="s">
        <v>11911</v>
      </c>
    </row>
    <row r="1230" spans="1:2" x14ac:dyDescent="0.25">
      <c r="A1230" s="54" t="s">
        <v>8639</v>
      </c>
      <c r="B1230" s="54" t="s">
        <v>11912</v>
      </c>
    </row>
    <row r="1231" spans="1:2" x14ac:dyDescent="0.25">
      <c r="A1231" s="53" t="s">
        <v>8640</v>
      </c>
      <c r="B1231" s="53" t="s">
        <v>11913</v>
      </c>
    </row>
    <row r="1232" spans="1:2" x14ac:dyDescent="0.25">
      <c r="A1232" s="54" t="s">
        <v>8641</v>
      </c>
      <c r="B1232" s="54" t="s">
        <v>11914</v>
      </c>
    </row>
    <row r="1233" spans="1:2" x14ac:dyDescent="0.25">
      <c r="A1233" s="53" t="s">
        <v>8642</v>
      </c>
      <c r="B1233" s="53" t="s">
        <v>11915</v>
      </c>
    </row>
    <row r="1234" spans="1:2" x14ac:dyDescent="0.25">
      <c r="A1234" s="54" t="s">
        <v>8643</v>
      </c>
      <c r="B1234" s="54" t="s">
        <v>11916</v>
      </c>
    </row>
    <row r="1235" spans="1:2" x14ac:dyDescent="0.25">
      <c r="A1235" s="53" t="s">
        <v>8644</v>
      </c>
      <c r="B1235" s="53" t="s">
        <v>11917</v>
      </c>
    </row>
    <row r="1236" spans="1:2" x14ac:dyDescent="0.25">
      <c r="A1236" s="54" t="s">
        <v>8645</v>
      </c>
      <c r="B1236" s="54" t="s">
        <v>11918</v>
      </c>
    </row>
    <row r="1237" spans="1:2" x14ac:dyDescent="0.25">
      <c r="A1237" s="53" t="s">
        <v>8646</v>
      </c>
      <c r="B1237" s="53" t="s">
        <v>11919</v>
      </c>
    </row>
    <row r="1238" spans="1:2" x14ac:dyDescent="0.25">
      <c r="A1238" s="54" t="s">
        <v>8647</v>
      </c>
      <c r="B1238" s="54" t="s">
        <v>11920</v>
      </c>
    </row>
    <row r="1239" spans="1:2" x14ac:dyDescent="0.25">
      <c r="A1239" s="53" t="s">
        <v>8648</v>
      </c>
      <c r="B1239" s="53" t="s">
        <v>11921</v>
      </c>
    </row>
    <row r="1240" spans="1:2" x14ac:dyDescent="0.25">
      <c r="A1240" s="54" t="s">
        <v>8649</v>
      </c>
      <c r="B1240" s="54" t="s">
        <v>11922</v>
      </c>
    </row>
    <row r="1241" spans="1:2" x14ac:dyDescent="0.25">
      <c r="A1241" s="53" t="s">
        <v>8650</v>
      </c>
      <c r="B1241" s="53" t="s">
        <v>11923</v>
      </c>
    </row>
    <row r="1242" spans="1:2" x14ac:dyDescent="0.25">
      <c r="A1242" s="54" t="s">
        <v>8651</v>
      </c>
      <c r="B1242" s="54" t="s">
        <v>11924</v>
      </c>
    </row>
    <row r="1243" spans="1:2" x14ac:dyDescent="0.25">
      <c r="A1243" s="53" t="s">
        <v>8652</v>
      </c>
      <c r="B1243" s="53" t="s">
        <v>11925</v>
      </c>
    </row>
    <row r="1244" spans="1:2" x14ac:dyDescent="0.25">
      <c r="A1244" s="54" t="s">
        <v>8653</v>
      </c>
      <c r="B1244" s="54" t="s">
        <v>11926</v>
      </c>
    </row>
    <row r="1245" spans="1:2" x14ac:dyDescent="0.25">
      <c r="A1245" s="53" t="s">
        <v>8654</v>
      </c>
      <c r="B1245" s="53" t="s">
        <v>10849</v>
      </c>
    </row>
    <row r="1246" spans="1:2" x14ac:dyDescent="0.25">
      <c r="A1246" s="54" t="s">
        <v>8655</v>
      </c>
      <c r="B1246" s="54" t="s">
        <v>10845</v>
      </c>
    </row>
    <row r="1247" spans="1:2" x14ac:dyDescent="0.25">
      <c r="A1247" s="53" t="s">
        <v>8656</v>
      </c>
      <c r="B1247" s="53" t="s">
        <v>11927</v>
      </c>
    </row>
    <row r="1248" spans="1:2" x14ac:dyDescent="0.25">
      <c r="A1248" s="54" t="s">
        <v>8657</v>
      </c>
      <c r="B1248" s="54" t="s">
        <v>11928</v>
      </c>
    </row>
    <row r="1249" spans="1:2" x14ac:dyDescent="0.25">
      <c r="A1249" s="53" t="s">
        <v>8658</v>
      </c>
      <c r="B1249" s="53" t="s">
        <v>11929</v>
      </c>
    </row>
    <row r="1250" spans="1:2" x14ac:dyDescent="0.25">
      <c r="A1250" s="54" t="s">
        <v>8659</v>
      </c>
      <c r="B1250" s="54" t="s">
        <v>11930</v>
      </c>
    </row>
    <row r="1251" spans="1:2" x14ac:dyDescent="0.25">
      <c r="A1251" s="53" t="s">
        <v>8660</v>
      </c>
      <c r="B1251" s="53" t="s">
        <v>11931</v>
      </c>
    </row>
    <row r="1252" spans="1:2" x14ac:dyDescent="0.25">
      <c r="A1252" s="54" t="s">
        <v>8661</v>
      </c>
      <c r="B1252" s="54" t="s">
        <v>11932</v>
      </c>
    </row>
    <row r="1253" spans="1:2" x14ac:dyDescent="0.25">
      <c r="A1253" s="53" t="s">
        <v>8662</v>
      </c>
      <c r="B1253" s="53" t="s">
        <v>11187</v>
      </c>
    </row>
    <row r="1254" spans="1:2" x14ac:dyDescent="0.25">
      <c r="A1254" s="54" t="s">
        <v>8663</v>
      </c>
      <c r="B1254" s="54" t="s">
        <v>11933</v>
      </c>
    </row>
    <row r="1255" spans="1:2" x14ac:dyDescent="0.25">
      <c r="A1255" s="53" t="s">
        <v>8664</v>
      </c>
      <c r="B1255" s="53" t="s">
        <v>11934</v>
      </c>
    </row>
    <row r="1256" spans="1:2" x14ac:dyDescent="0.25">
      <c r="A1256" s="54" t="s">
        <v>8665</v>
      </c>
      <c r="B1256" s="54" t="s">
        <v>11935</v>
      </c>
    </row>
    <row r="1257" spans="1:2" x14ac:dyDescent="0.25">
      <c r="A1257" s="53" t="s">
        <v>8666</v>
      </c>
      <c r="B1257" s="53" t="s">
        <v>11936</v>
      </c>
    </row>
    <row r="1258" spans="1:2" x14ac:dyDescent="0.25">
      <c r="A1258" s="54" t="s">
        <v>8667</v>
      </c>
      <c r="B1258" s="54" t="s">
        <v>11937</v>
      </c>
    </row>
    <row r="1259" spans="1:2" x14ac:dyDescent="0.25">
      <c r="A1259" s="53" t="s">
        <v>8668</v>
      </c>
      <c r="B1259" s="53" t="s">
        <v>11534</v>
      </c>
    </row>
    <row r="1260" spans="1:2" x14ac:dyDescent="0.25">
      <c r="A1260" s="54" t="s">
        <v>8669</v>
      </c>
      <c r="B1260" s="54" t="s">
        <v>11938</v>
      </c>
    </row>
    <row r="1261" spans="1:2" x14ac:dyDescent="0.25">
      <c r="A1261" s="53" t="s">
        <v>8670</v>
      </c>
      <c r="B1261" s="53" t="s">
        <v>11939</v>
      </c>
    </row>
    <row r="1262" spans="1:2" x14ac:dyDescent="0.25">
      <c r="A1262" s="54" t="s">
        <v>8671</v>
      </c>
      <c r="B1262" s="54" t="s">
        <v>11940</v>
      </c>
    </row>
    <row r="1263" spans="1:2" x14ac:dyDescent="0.25">
      <c r="A1263" s="53" t="s">
        <v>8672</v>
      </c>
      <c r="B1263" s="53" t="s">
        <v>11941</v>
      </c>
    </row>
    <row r="1264" spans="1:2" x14ac:dyDescent="0.25">
      <c r="A1264" s="54" t="s">
        <v>8673</v>
      </c>
      <c r="B1264" s="54" t="s">
        <v>11942</v>
      </c>
    </row>
    <row r="1265" spans="1:2" x14ac:dyDescent="0.25">
      <c r="A1265" s="53" t="s">
        <v>8674</v>
      </c>
      <c r="B1265" s="53" t="s">
        <v>11943</v>
      </c>
    </row>
    <row r="1266" spans="1:2" x14ac:dyDescent="0.25">
      <c r="A1266" s="54" t="s">
        <v>8675</v>
      </c>
      <c r="B1266" s="54" t="s">
        <v>11944</v>
      </c>
    </row>
    <row r="1267" spans="1:2" x14ac:dyDescent="0.25">
      <c r="A1267" s="53" t="s">
        <v>8676</v>
      </c>
      <c r="B1267" s="53" t="s">
        <v>11945</v>
      </c>
    </row>
    <row r="1268" spans="1:2" x14ac:dyDescent="0.25">
      <c r="A1268" s="54" t="s">
        <v>8677</v>
      </c>
      <c r="B1268" s="54" t="s">
        <v>11946</v>
      </c>
    </row>
    <row r="1269" spans="1:2" x14ac:dyDescent="0.25">
      <c r="A1269" s="53" t="s">
        <v>8678</v>
      </c>
      <c r="B1269" s="53" t="s">
        <v>11947</v>
      </c>
    </row>
    <row r="1270" spans="1:2" x14ac:dyDescent="0.25">
      <c r="A1270" s="54" t="s">
        <v>8679</v>
      </c>
      <c r="B1270" s="54" t="s">
        <v>11948</v>
      </c>
    </row>
    <row r="1271" spans="1:2" x14ac:dyDescent="0.25">
      <c r="A1271" s="53" t="s">
        <v>8680</v>
      </c>
      <c r="B1271" s="53" t="s">
        <v>11949</v>
      </c>
    </row>
    <row r="1272" spans="1:2" x14ac:dyDescent="0.25">
      <c r="A1272" s="54" t="s">
        <v>8681</v>
      </c>
      <c r="B1272" s="54" t="s">
        <v>11950</v>
      </c>
    </row>
    <row r="1273" spans="1:2" x14ac:dyDescent="0.25">
      <c r="A1273" s="53" t="s">
        <v>8682</v>
      </c>
      <c r="B1273" s="53" t="s">
        <v>11951</v>
      </c>
    </row>
    <row r="1274" spans="1:2" x14ac:dyDescent="0.25">
      <c r="A1274" s="54" t="s">
        <v>8683</v>
      </c>
      <c r="B1274" s="54" t="s">
        <v>11952</v>
      </c>
    </row>
    <row r="1275" spans="1:2" x14ac:dyDescent="0.25">
      <c r="A1275" s="53" t="s">
        <v>8684</v>
      </c>
      <c r="B1275" s="53" t="s">
        <v>11953</v>
      </c>
    </row>
    <row r="1276" spans="1:2" x14ac:dyDescent="0.25">
      <c r="A1276" s="54" t="s">
        <v>8685</v>
      </c>
      <c r="B1276" s="54" t="s">
        <v>11954</v>
      </c>
    </row>
    <row r="1277" spans="1:2" x14ac:dyDescent="0.25">
      <c r="A1277" s="53" t="s">
        <v>8686</v>
      </c>
      <c r="B1277" s="53" t="s">
        <v>11955</v>
      </c>
    </row>
    <row r="1278" spans="1:2" x14ac:dyDescent="0.25">
      <c r="A1278" s="54" t="s">
        <v>8687</v>
      </c>
      <c r="B1278" s="54" t="s">
        <v>11956</v>
      </c>
    </row>
    <row r="1279" spans="1:2" x14ac:dyDescent="0.25">
      <c r="A1279" s="53" t="s">
        <v>8688</v>
      </c>
      <c r="B1279" s="53" t="s">
        <v>11957</v>
      </c>
    </row>
    <row r="1280" spans="1:2" x14ac:dyDescent="0.25">
      <c r="A1280" s="54" t="s">
        <v>8689</v>
      </c>
      <c r="B1280" s="54" t="s">
        <v>11958</v>
      </c>
    </row>
    <row r="1281" spans="1:2" x14ac:dyDescent="0.25">
      <c r="A1281" s="53" t="s">
        <v>8690</v>
      </c>
      <c r="B1281" s="53" t="s">
        <v>11959</v>
      </c>
    </row>
    <row r="1282" spans="1:2" x14ac:dyDescent="0.25">
      <c r="A1282" s="54" t="s">
        <v>8691</v>
      </c>
      <c r="B1282" s="54" t="s">
        <v>11960</v>
      </c>
    </row>
    <row r="1283" spans="1:2" x14ac:dyDescent="0.25">
      <c r="A1283" s="53" t="s">
        <v>8692</v>
      </c>
      <c r="B1283" s="53" t="s">
        <v>11961</v>
      </c>
    </row>
    <row r="1284" spans="1:2" x14ac:dyDescent="0.25">
      <c r="A1284" s="54" t="s">
        <v>8693</v>
      </c>
      <c r="B1284" s="54" t="s">
        <v>11962</v>
      </c>
    </row>
    <row r="1285" spans="1:2" x14ac:dyDescent="0.25">
      <c r="A1285" s="53" t="s">
        <v>8694</v>
      </c>
      <c r="B1285" s="53" t="s">
        <v>11963</v>
      </c>
    </row>
    <row r="1286" spans="1:2" x14ac:dyDescent="0.25">
      <c r="A1286" s="54" t="s">
        <v>8695</v>
      </c>
      <c r="B1286" s="54" t="s">
        <v>11964</v>
      </c>
    </row>
    <row r="1287" spans="1:2" x14ac:dyDescent="0.25">
      <c r="A1287" s="53" t="s">
        <v>8696</v>
      </c>
      <c r="B1287" s="53" t="s">
        <v>11965</v>
      </c>
    </row>
    <row r="1288" spans="1:2" x14ac:dyDescent="0.25">
      <c r="A1288" s="54" t="s">
        <v>8697</v>
      </c>
      <c r="B1288" s="54" t="s">
        <v>11966</v>
      </c>
    </row>
    <row r="1289" spans="1:2" x14ac:dyDescent="0.25">
      <c r="A1289" s="53" t="s">
        <v>8698</v>
      </c>
      <c r="B1289" s="53" t="s">
        <v>11967</v>
      </c>
    </row>
    <row r="1290" spans="1:2" x14ac:dyDescent="0.25">
      <c r="A1290" s="54" t="s">
        <v>8699</v>
      </c>
      <c r="B1290" s="54" t="s">
        <v>11968</v>
      </c>
    </row>
    <row r="1291" spans="1:2" x14ac:dyDescent="0.25">
      <c r="A1291" s="53" t="s">
        <v>8700</v>
      </c>
      <c r="B1291" s="53" t="s">
        <v>11969</v>
      </c>
    </row>
    <row r="1292" spans="1:2" x14ac:dyDescent="0.25">
      <c r="A1292" s="54" t="s">
        <v>8701</v>
      </c>
      <c r="B1292" s="54" t="s">
        <v>11970</v>
      </c>
    </row>
    <row r="1293" spans="1:2" x14ac:dyDescent="0.25">
      <c r="A1293" s="53" t="s">
        <v>8702</v>
      </c>
      <c r="B1293" s="53" t="s">
        <v>11971</v>
      </c>
    </row>
    <row r="1294" spans="1:2" x14ac:dyDescent="0.25">
      <c r="A1294" s="54" t="s">
        <v>8703</v>
      </c>
      <c r="B1294" s="54" t="s">
        <v>11972</v>
      </c>
    </row>
    <row r="1295" spans="1:2" x14ac:dyDescent="0.25">
      <c r="A1295" s="53" t="s">
        <v>8704</v>
      </c>
      <c r="B1295" s="53" t="s">
        <v>11973</v>
      </c>
    </row>
    <row r="1296" spans="1:2" x14ac:dyDescent="0.25">
      <c r="A1296" s="54" t="s">
        <v>8705</v>
      </c>
      <c r="B1296" s="54" t="s">
        <v>11974</v>
      </c>
    </row>
    <row r="1297" spans="1:2" x14ac:dyDescent="0.25">
      <c r="A1297" s="53" t="s">
        <v>8706</v>
      </c>
      <c r="B1297" s="53" t="s">
        <v>11975</v>
      </c>
    </row>
    <row r="1298" spans="1:2" x14ac:dyDescent="0.25">
      <c r="A1298" s="54" t="s">
        <v>8707</v>
      </c>
      <c r="B1298" s="54" t="s">
        <v>11976</v>
      </c>
    </row>
    <row r="1299" spans="1:2" x14ac:dyDescent="0.25">
      <c r="A1299" s="53" t="s">
        <v>8708</v>
      </c>
      <c r="B1299" s="53" t="s">
        <v>10822</v>
      </c>
    </row>
    <row r="1300" spans="1:2" x14ac:dyDescent="0.25">
      <c r="A1300" s="54" t="s">
        <v>8709</v>
      </c>
      <c r="B1300" s="54" t="s">
        <v>11977</v>
      </c>
    </row>
    <row r="1301" spans="1:2" x14ac:dyDescent="0.25">
      <c r="A1301" s="53" t="s">
        <v>8710</v>
      </c>
      <c r="B1301" s="53" t="s">
        <v>11429</v>
      </c>
    </row>
    <row r="1302" spans="1:2" x14ac:dyDescent="0.25">
      <c r="A1302" s="54" t="s">
        <v>8711</v>
      </c>
      <c r="B1302" s="54" t="s">
        <v>11978</v>
      </c>
    </row>
    <row r="1303" spans="1:2" x14ac:dyDescent="0.25">
      <c r="A1303" s="53" t="s">
        <v>8712</v>
      </c>
      <c r="B1303" s="53" t="s">
        <v>11979</v>
      </c>
    </row>
    <row r="1304" spans="1:2" x14ac:dyDescent="0.25">
      <c r="A1304" s="54" t="s">
        <v>8713</v>
      </c>
      <c r="B1304" s="54" t="s">
        <v>11980</v>
      </c>
    </row>
    <row r="1305" spans="1:2" x14ac:dyDescent="0.25">
      <c r="A1305" s="53" t="s">
        <v>8714</v>
      </c>
      <c r="B1305" s="53" t="s">
        <v>11981</v>
      </c>
    </row>
    <row r="1306" spans="1:2" x14ac:dyDescent="0.25">
      <c r="A1306" s="54" t="s">
        <v>8715</v>
      </c>
      <c r="B1306" s="54" t="s">
        <v>11982</v>
      </c>
    </row>
    <row r="1307" spans="1:2" x14ac:dyDescent="0.25">
      <c r="A1307" s="53" t="s">
        <v>8716</v>
      </c>
      <c r="B1307" s="53" t="s">
        <v>11983</v>
      </c>
    </row>
    <row r="1308" spans="1:2" x14ac:dyDescent="0.25">
      <c r="A1308" s="54" t="s">
        <v>8717</v>
      </c>
      <c r="B1308" s="54" t="s">
        <v>11984</v>
      </c>
    </row>
    <row r="1309" spans="1:2" x14ac:dyDescent="0.25">
      <c r="A1309" s="53" t="s">
        <v>8718</v>
      </c>
      <c r="B1309" s="53" t="s">
        <v>11985</v>
      </c>
    </row>
    <row r="1310" spans="1:2" x14ac:dyDescent="0.25">
      <c r="A1310" s="54" t="s">
        <v>8719</v>
      </c>
      <c r="B1310" s="54" t="s">
        <v>11986</v>
      </c>
    </row>
    <row r="1311" spans="1:2" x14ac:dyDescent="0.25">
      <c r="A1311" s="53" t="s">
        <v>8720</v>
      </c>
      <c r="B1311" s="53" t="s">
        <v>11987</v>
      </c>
    </row>
    <row r="1312" spans="1:2" x14ac:dyDescent="0.25">
      <c r="A1312" s="54" t="s">
        <v>8721</v>
      </c>
      <c r="B1312" s="54" t="s">
        <v>11988</v>
      </c>
    </row>
    <row r="1313" spans="1:2" x14ac:dyDescent="0.25">
      <c r="A1313" s="53" t="s">
        <v>8722</v>
      </c>
      <c r="B1313" s="53" t="s">
        <v>11989</v>
      </c>
    </row>
    <row r="1314" spans="1:2" x14ac:dyDescent="0.25">
      <c r="A1314" s="54" t="s">
        <v>8723</v>
      </c>
      <c r="B1314" s="54" t="s">
        <v>11990</v>
      </c>
    </row>
    <row r="1315" spans="1:2" x14ac:dyDescent="0.25">
      <c r="A1315" s="53" t="s">
        <v>8724</v>
      </c>
      <c r="B1315" s="53" t="s">
        <v>11991</v>
      </c>
    </row>
    <row r="1316" spans="1:2" x14ac:dyDescent="0.25">
      <c r="A1316" s="54" t="s">
        <v>8725</v>
      </c>
      <c r="B1316" s="54" t="s">
        <v>11992</v>
      </c>
    </row>
    <row r="1317" spans="1:2" x14ac:dyDescent="0.25">
      <c r="A1317" s="53" t="s">
        <v>8726</v>
      </c>
      <c r="B1317" s="53" t="s">
        <v>11993</v>
      </c>
    </row>
    <row r="1318" spans="1:2" x14ac:dyDescent="0.25">
      <c r="A1318" s="54" t="s">
        <v>8727</v>
      </c>
      <c r="B1318" s="54" t="s">
        <v>11994</v>
      </c>
    </row>
    <row r="1319" spans="1:2" x14ac:dyDescent="0.25">
      <c r="A1319" s="53" t="s">
        <v>8728</v>
      </c>
      <c r="B1319" s="53" t="s">
        <v>11995</v>
      </c>
    </row>
    <row r="1320" spans="1:2" x14ac:dyDescent="0.25">
      <c r="A1320" s="54" t="s">
        <v>8729</v>
      </c>
      <c r="B1320" s="54" t="s">
        <v>11996</v>
      </c>
    </row>
    <row r="1321" spans="1:2" x14ac:dyDescent="0.25">
      <c r="A1321" s="53" t="s">
        <v>8730</v>
      </c>
      <c r="B1321" s="53" t="s">
        <v>11997</v>
      </c>
    </row>
    <row r="1322" spans="1:2" x14ac:dyDescent="0.25">
      <c r="A1322" s="54" t="s">
        <v>8731</v>
      </c>
      <c r="B1322" s="54" t="s">
        <v>11998</v>
      </c>
    </row>
    <row r="1323" spans="1:2" x14ac:dyDescent="0.25">
      <c r="A1323" s="53" t="s">
        <v>8732</v>
      </c>
      <c r="B1323" s="53" t="s">
        <v>11999</v>
      </c>
    </row>
    <row r="1324" spans="1:2" x14ac:dyDescent="0.25">
      <c r="A1324" s="54" t="s">
        <v>8733</v>
      </c>
      <c r="B1324" s="54" t="s">
        <v>12000</v>
      </c>
    </row>
    <row r="1325" spans="1:2" x14ac:dyDescent="0.25">
      <c r="A1325" s="53" t="s">
        <v>8734</v>
      </c>
      <c r="B1325" s="53" t="s">
        <v>12001</v>
      </c>
    </row>
    <row r="1326" spans="1:2" x14ac:dyDescent="0.25">
      <c r="A1326" s="54" t="s">
        <v>8735</v>
      </c>
      <c r="B1326" s="54" t="s">
        <v>12002</v>
      </c>
    </row>
    <row r="1327" spans="1:2" x14ac:dyDescent="0.25">
      <c r="A1327" s="53" t="s">
        <v>8736</v>
      </c>
      <c r="B1327" s="53" t="s">
        <v>12003</v>
      </c>
    </row>
    <row r="1328" spans="1:2" x14ac:dyDescent="0.25">
      <c r="A1328" s="54" t="s">
        <v>8737</v>
      </c>
      <c r="B1328" s="54" t="s">
        <v>12004</v>
      </c>
    </row>
    <row r="1329" spans="1:2" x14ac:dyDescent="0.25">
      <c r="A1329" s="53" t="s">
        <v>8738</v>
      </c>
      <c r="B1329" s="53" t="s">
        <v>12005</v>
      </c>
    </row>
    <row r="1330" spans="1:2" x14ac:dyDescent="0.25">
      <c r="A1330" s="54" t="s">
        <v>8739</v>
      </c>
      <c r="B1330" s="54" t="s">
        <v>12006</v>
      </c>
    </row>
    <row r="1331" spans="1:2" x14ac:dyDescent="0.25">
      <c r="A1331" s="53" t="s">
        <v>8740</v>
      </c>
      <c r="B1331" s="53" t="s">
        <v>12007</v>
      </c>
    </row>
    <row r="1332" spans="1:2" x14ac:dyDescent="0.25">
      <c r="A1332" s="54" t="s">
        <v>8741</v>
      </c>
      <c r="B1332" s="54" t="s">
        <v>12008</v>
      </c>
    </row>
    <row r="1333" spans="1:2" x14ac:dyDescent="0.25">
      <c r="A1333" s="53" t="s">
        <v>8742</v>
      </c>
      <c r="B1333" s="53" t="s">
        <v>12009</v>
      </c>
    </row>
    <row r="1334" spans="1:2" x14ac:dyDescent="0.25">
      <c r="A1334" s="54" t="s">
        <v>8743</v>
      </c>
      <c r="B1334" s="54" t="s">
        <v>11514</v>
      </c>
    </row>
    <row r="1335" spans="1:2" x14ac:dyDescent="0.25">
      <c r="A1335" s="53" t="s">
        <v>8744</v>
      </c>
      <c r="B1335" s="53" t="s">
        <v>12010</v>
      </c>
    </row>
    <row r="1336" spans="1:2" x14ac:dyDescent="0.25">
      <c r="A1336" s="54" t="s">
        <v>8745</v>
      </c>
      <c r="B1336" s="54" t="s">
        <v>12011</v>
      </c>
    </row>
    <row r="1337" spans="1:2" x14ac:dyDescent="0.25">
      <c r="A1337" s="53" t="s">
        <v>8746</v>
      </c>
      <c r="B1337" s="53" t="s">
        <v>12012</v>
      </c>
    </row>
    <row r="1338" spans="1:2" x14ac:dyDescent="0.25">
      <c r="A1338" s="54" t="s">
        <v>8747</v>
      </c>
      <c r="B1338" s="54" t="s">
        <v>12013</v>
      </c>
    </row>
    <row r="1339" spans="1:2" x14ac:dyDescent="0.25">
      <c r="A1339" s="53" t="s">
        <v>8748</v>
      </c>
      <c r="B1339" s="53" t="s">
        <v>12014</v>
      </c>
    </row>
    <row r="1340" spans="1:2" x14ac:dyDescent="0.25">
      <c r="A1340" s="54" t="s">
        <v>8749</v>
      </c>
      <c r="B1340" s="54" t="s">
        <v>12015</v>
      </c>
    </row>
    <row r="1341" spans="1:2" x14ac:dyDescent="0.25">
      <c r="A1341" s="53" t="s">
        <v>8750</v>
      </c>
      <c r="B1341" s="53" t="s">
        <v>12016</v>
      </c>
    </row>
    <row r="1342" spans="1:2" x14ac:dyDescent="0.25">
      <c r="A1342" s="54" t="s">
        <v>8751</v>
      </c>
      <c r="B1342" s="54" t="s">
        <v>12017</v>
      </c>
    </row>
    <row r="1343" spans="1:2" x14ac:dyDescent="0.25">
      <c r="A1343" s="53" t="s">
        <v>8752</v>
      </c>
      <c r="B1343" s="53" t="s">
        <v>12018</v>
      </c>
    </row>
    <row r="1344" spans="1:2" x14ac:dyDescent="0.25">
      <c r="A1344" s="54" t="s">
        <v>8753</v>
      </c>
      <c r="B1344" s="54" t="s">
        <v>12019</v>
      </c>
    </row>
    <row r="1345" spans="1:2" x14ac:dyDescent="0.25">
      <c r="A1345" s="53" t="s">
        <v>8754</v>
      </c>
      <c r="B1345" s="53" t="s">
        <v>12020</v>
      </c>
    </row>
    <row r="1346" spans="1:2" x14ac:dyDescent="0.25">
      <c r="A1346" s="54" t="s">
        <v>8755</v>
      </c>
      <c r="B1346" s="54" t="s">
        <v>12021</v>
      </c>
    </row>
    <row r="1347" spans="1:2" x14ac:dyDescent="0.25">
      <c r="A1347" s="53" t="s">
        <v>8756</v>
      </c>
      <c r="B1347" s="53" t="s">
        <v>12022</v>
      </c>
    </row>
    <row r="1348" spans="1:2" x14ac:dyDescent="0.25">
      <c r="A1348" s="54" t="s">
        <v>8757</v>
      </c>
      <c r="B1348" s="54" t="s">
        <v>12023</v>
      </c>
    </row>
    <row r="1349" spans="1:2" x14ac:dyDescent="0.25">
      <c r="A1349" s="53" t="s">
        <v>8758</v>
      </c>
      <c r="B1349" s="53" t="s">
        <v>12024</v>
      </c>
    </row>
    <row r="1350" spans="1:2" x14ac:dyDescent="0.25">
      <c r="A1350" s="54" t="s">
        <v>8759</v>
      </c>
      <c r="B1350" s="54" t="s">
        <v>12025</v>
      </c>
    </row>
    <row r="1351" spans="1:2" x14ac:dyDescent="0.25">
      <c r="A1351" s="53" t="s">
        <v>8760</v>
      </c>
      <c r="B1351" s="53" t="s">
        <v>12026</v>
      </c>
    </row>
    <row r="1352" spans="1:2" x14ac:dyDescent="0.25">
      <c r="A1352" s="54" t="s">
        <v>8761</v>
      </c>
      <c r="B1352" s="54" t="s">
        <v>10877</v>
      </c>
    </row>
    <row r="1353" spans="1:2" x14ac:dyDescent="0.25">
      <c r="A1353" s="53" t="s">
        <v>8762</v>
      </c>
      <c r="B1353" s="53" t="s">
        <v>12027</v>
      </c>
    </row>
    <row r="1354" spans="1:2" x14ac:dyDescent="0.25">
      <c r="A1354" s="54" t="s">
        <v>8763</v>
      </c>
      <c r="B1354" s="54" t="s">
        <v>12028</v>
      </c>
    </row>
    <row r="1355" spans="1:2" x14ac:dyDescent="0.25">
      <c r="A1355" s="53" t="s">
        <v>8764</v>
      </c>
      <c r="B1355" s="53" t="s">
        <v>12029</v>
      </c>
    </row>
    <row r="1356" spans="1:2" x14ac:dyDescent="0.25">
      <c r="A1356" s="54" t="s">
        <v>8765</v>
      </c>
      <c r="B1356" s="54" t="s">
        <v>12030</v>
      </c>
    </row>
    <row r="1357" spans="1:2" x14ac:dyDescent="0.25">
      <c r="A1357" s="53" t="s">
        <v>8766</v>
      </c>
      <c r="B1357" s="53" t="s">
        <v>12031</v>
      </c>
    </row>
    <row r="1358" spans="1:2" x14ac:dyDescent="0.25">
      <c r="A1358" s="54" t="s">
        <v>8767</v>
      </c>
      <c r="B1358" s="54" t="s">
        <v>12032</v>
      </c>
    </row>
    <row r="1359" spans="1:2" x14ac:dyDescent="0.25">
      <c r="A1359" s="53" t="s">
        <v>8768</v>
      </c>
      <c r="B1359" s="53" t="s">
        <v>12033</v>
      </c>
    </row>
    <row r="1360" spans="1:2" x14ac:dyDescent="0.25">
      <c r="A1360" s="54" t="s">
        <v>8769</v>
      </c>
      <c r="B1360" s="54" t="s">
        <v>12034</v>
      </c>
    </row>
    <row r="1361" spans="1:2" x14ac:dyDescent="0.25">
      <c r="A1361" s="53" t="s">
        <v>8770</v>
      </c>
      <c r="B1361" s="53" t="s">
        <v>12035</v>
      </c>
    </row>
    <row r="1362" spans="1:2" x14ac:dyDescent="0.25">
      <c r="A1362" s="54" t="s">
        <v>8771</v>
      </c>
      <c r="B1362" s="54" t="s">
        <v>12036</v>
      </c>
    </row>
    <row r="1363" spans="1:2" x14ac:dyDescent="0.25">
      <c r="A1363" s="53" t="s">
        <v>8772</v>
      </c>
      <c r="B1363" s="53" t="s">
        <v>12037</v>
      </c>
    </row>
    <row r="1364" spans="1:2" x14ac:dyDescent="0.25">
      <c r="A1364" s="54" t="s">
        <v>8773</v>
      </c>
      <c r="B1364" s="54" t="s">
        <v>12038</v>
      </c>
    </row>
    <row r="1365" spans="1:2" x14ac:dyDescent="0.25">
      <c r="A1365" s="53" t="s">
        <v>8774</v>
      </c>
      <c r="B1365" s="53" t="s">
        <v>12039</v>
      </c>
    </row>
    <row r="1366" spans="1:2" x14ac:dyDescent="0.25">
      <c r="A1366" s="54" t="s">
        <v>8775</v>
      </c>
      <c r="B1366" s="54" t="s">
        <v>12040</v>
      </c>
    </row>
    <row r="1367" spans="1:2" x14ac:dyDescent="0.25">
      <c r="A1367" s="53" t="s">
        <v>8776</v>
      </c>
      <c r="B1367" s="53" t="s">
        <v>12041</v>
      </c>
    </row>
    <row r="1368" spans="1:2" x14ac:dyDescent="0.25">
      <c r="A1368" s="54" t="s">
        <v>8777</v>
      </c>
      <c r="B1368" s="54" t="s">
        <v>12042</v>
      </c>
    </row>
    <row r="1369" spans="1:2" x14ac:dyDescent="0.25">
      <c r="A1369" s="53" t="s">
        <v>8778</v>
      </c>
      <c r="B1369" s="53" t="s">
        <v>12043</v>
      </c>
    </row>
    <row r="1370" spans="1:2" x14ac:dyDescent="0.25">
      <c r="A1370" s="54" t="s">
        <v>8779</v>
      </c>
      <c r="B1370" s="54" t="s">
        <v>12044</v>
      </c>
    </row>
    <row r="1371" spans="1:2" x14ac:dyDescent="0.25">
      <c r="A1371" s="53" t="s">
        <v>8780</v>
      </c>
      <c r="B1371" s="53" t="s">
        <v>12045</v>
      </c>
    </row>
    <row r="1372" spans="1:2" x14ac:dyDescent="0.25">
      <c r="A1372" s="54" t="s">
        <v>8781</v>
      </c>
      <c r="B1372" s="54" t="s">
        <v>12046</v>
      </c>
    </row>
    <row r="1373" spans="1:2" x14ac:dyDescent="0.25">
      <c r="A1373" s="53" t="s">
        <v>8782</v>
      </c>
      <c r="B1373" s="53" t="s">
        <v>12047</v>
      </c>
    </row>
    <row r="1374" spans="1:2" x14ac:dyDescent="0.25">
      <c r="A1374" s="54" t="s">
        <v>8783</v>
      </c>
      <c r="B1374" s="54" t="s">
        <v>12048</v>
      </c>
    </row>
    <row r="1375" spans="1:2" x14ac:dyDescent="0.25">
      <c r="A1375" s="53" t="s">
        <v>8784</v>
      </c>
      <c r="B1375" s="53" t="s">
        <v>12049</v>
      </c>
    </row>
    <row r="1376" spans="1:2" x14ac:dyDescent="0.25">
      <c r="A1376" s="54" t="s">
        <v>8785</v>
      </c>
      <c r="B1376" s="54" t="s">
        <v>12050</v>
      </c>
    </row>
    <row r="1377" spans="1:2" x14ac:dyDescent="0.25">
      <c r="A1377" s="53" t="s">
        <v>8786</v>
      </c>
      <c r="B1377" s="53" t="s">
        <v>12051</v>
      </c>
    </row>
    <row r="1378" spans="1:2" x14ac:dyDescent="0.25">
      <c r="A1378" s="54" t="s">
        <v>8787</v>
      </c>
      <c r="B1378" s="54" t="s">
        <v>12052</v>
      </c>
    </row>
    <row r="1379" spans="1:2" x14ac:dyDescent="0.25">
      <c r="A1379" s="53" t="s">
        <v>8788</v>
      </c>
      <c r="B1379" s="53" t="s">
        <v>12053</v>
      </c>
    </row>
    <row r="1380" spans="1:2" x14ac:dyDescent="0.25">
      <c r="A1380" s="54" t="s">
        <v>8789</v>
      </c>
      <c r="B1380" s="54" t="s">
        <v>12054</v>
      </c>
    </row>
    <row r="1381" spans="1:2" x14ac:dyDescent="0.25">
      <c r="A1381" s="53" t="s">
        <v>8790</v>
      </c>
      <c r="B1381" s="53" t="s">
        <v>12055</v>
      </c>
    </row>
    <row r="1382" spans="1:2" x14ac:dyDescent="0.25">
      <c r="A1382" s="54" t="s">
        <v>8791</v>
      </c>
      <c r="B1382" s="54" t="s">
        <v>12056</v>
      </c>
    </row>
    <row r="1383" spans="1:2" x14ac:dyDescent="0.25">
      <c r="A1383" s="53" t="s">
        <v>8792</v>
      </c>
      <c r="B1383" s="53" t="s">
        <v>12057</v>
      </c>
    </row>
    <row r="1384" spans="1:2" x14ac:dyDescent="0.25">
      <c r="A1384" s="54" t="s">
        <v>8793</v>
      </c>
      <c r="B1384" s="54" t="s">
        <v>12058</v>
      </c>
    </row>
    <row r="1385" spans="1:2" x14ac:dyDescent="0.25">
      <c r="A1385" s="53" t="s">
        <v>8794</v>
      </c>
      <c r="B1385" s="53" t="s">
        <v>12059</v>
      </c>
    </row>
    <row r="1386" spans="1:2" x14ac:dyDescent="0.25">
      <c r="A1386" s="54" t="s">
        <v>8795</v>
      </c>
      <c r="B1386" s="54" t="s">
        <v>12060</v>
      </c>
    </row>
    <row r="1387" spans="1:2" x14ac:dyDescent="0.25">
      <c r="A1387" s="53" t="s">
        <v>8796</v>
      </c>
      <c r="B1387" s="53" t="s">
        <v>11727</v>
      </c>
    </row>
    <row r="1388" spans="1:2" x14ac:dyDescent="0.25">
      <c r="A1388" s="54" t="s">
        <v>8797</v>
      </c>
      <c r="B1388" s="54" t="s">
        <v>12061</v>
      </c>
    </row>
    <row r="1389" spans="1:2" x14ac:dyDescent="0.25">
      <c r="A1389" s="53" t="s">
        <v>8798</v>
      </c>
      <c r="B1389" s="53" t="s">
        <v>12062</v>
      </c>
    </row>
    <row r="1390" spans="1:2" x14ac:dyDescent="0.25">
      <c r="A1390" s="54" t="s">
        <v>8799</v>
      </c>
      <c r="B1390" s="54" t="s">
        <v>12063</v>
      </c>
    </row>
    <row r="1391" spans="1:2" x14ac:dyDescent="0.25">
      <c r="A1391" s="53" t="s">
        <v>8800</v>
      </c>
      <c r="B1391" s="53" t="s">
        <v>12064</v>
      </c>
    </row>
    <row r="1392" spans="1:2" x14ac:dyDescent="0.25">
      <c r="A1392" s="54" t="s">
        <v>8801</v>
      </c>
      <c r="B1392" s="54" t="s">
        <v>12065</v>
      </c>
    </row>
    <row r="1393" spans="1:2" x14ac:dyDescent="0.25">
      <c r="A1393" s="53" t="s">
        <v>8802</v>
      </c>
      <c r="B1393" s="53" t="s">
        <v>12066</v>
      </c>
    </row>
    <row r="1394" spans="1:2" x14ac:dyDescent="0.25">
      <c r="A1394" s="54" t="s">
        <v>8803</v>
      </c>
      <c r="B1394" s="54" t="s">
        <v>12067</v>
      </c>
    </row>
    <row r="1395" spans="1:2" x14ac:dyDescent="0.25">
      <c r="A1395" s="53" t="s">
        <v>8804</v>
      </c>
      <c r="B1395" s="53" t="s">
        <v>12068</v>
      </c>
    </row>
    <row r="1396" spans="1:2" x14ac:dyDescent="0.25">
      <c r="A1396" s="54" t="s">
        <v>8805</v>
      </c>
      <c r="B1396" s="54" t="s">
        <v>12069</v>
      </c>
    </row>
    <row r="1397" spans="1:2" x14ac:dyDescent="0.25">
      <c r="A1397" s="53" t="s">
        <v>8806</v>
      </c>
      <c r="B1397" s="53" t="s">
        <v>12070</v>
      </c>
    </row>
    <row r="1398" spans="1:2" x14ac:dyDescent="0.25">
      <c r="A1398" s="54" t="s">
        <v>8807</v>
      </c>
      <c r="B1398" s="54" t="s">
        <v>12071</v>
      </c>
    </row>
    <row r="1399" spans="1:2" x14ac:dyDescent="0.25">
      <c r="A1399" s="53" t="s">
        <v>8808</v>
      </c>
      <c r="B1399" s="53" t="s">
        <v>12072</v>
      </c>
    </row>
    <row r="1400" spans="1:2" x14ac:dyDescent="0.25">
      <c r="A1400" s="54" t="s">
        <v>8809</v>
      </c>
      <c r="B1400" s="54" t="s">
        <v>12073</v>
      </c>
    </row>
    <row r="1401" spans="1:2" x14ac:dyDescent="0.25">
      <c r="A1401" s="53" t="s">
        <v>8810</v>
      </c>
      <c r="B1401" s="53" t="s">
        <v>12074</v>
      </c>
    </row>
    <row r="1402" spans="1:2" x14ac:dyDescent="0.25">
      <c r="A1402" s="54" t="s">
        <v>8811</v>
      </c>
      <c r="B1402" s="54" t="s">
        <v>12075</v>
      </c>
    </row>
    <row r="1403" spans="1:2" x14ac:dyDescent="0.25">
      <c r="A1403" s="53" t="s">
        <v>8812</v>
      </c>
      <c r="B1403" s="53" t="s">
        <v>12076</v>
      </c>
    </row>
    <row r="1404" spans="1:2" x14ac:dyDescent="0.25">
      <c r="A1404" s="54" t="s">
        <v>8813</v>
      </c>
      <c r="B1404" s="54" t="s">
        <v>12077</v>
      </c>
    </row>
    <row r="1405" spans="1:2" x14ac:dyDescent="0.25">
      <c r="A1405" s="53" t="s">
        <v>8814</v>
      </c>
      <c r="B1405" s="53" t="s">
        <v>12078</v>
      </c>
    </row>
    <row r="1406" spans="1:2" x14ac:dyDescent="0.25">
      <c r="A1406" s="54" t="s">
        <v>8815</v>
      </c>
      <c r="B1406" s="54" t="s">
        <v>12079</v>
      </c>
    </row>
    <row r="1407" spans="1:2" x14ac:dyDescent="0.25">
      <c r="A1407" s="53" t="s">
        <v>8816</v>
      </c>
      <c r="B1407" s="53" t="s">
        <v>12080</v>
      </c>
    </row>
    <row r="1408" spans="1:2" x14ac:dyDescent="0.25">
      <c r="A1408" s="54" t="s">
        <v>8817</v>
      </c>
      <c r="B1408" s="54" t="s">
        <v>12081</v>
      </c>
    </row>
    <row r="1409" spans="1:2" x14ac:dyDescent="0.25">
      <c r="A1409" s="53" t="s">
        <v>8818</v>
      </c>
      <c r="B1409" s="53" t="s">
        <v>12082</v>
      </c>
    </row>
    <row r="1410" spans="1:2" x14ac:dyDescent="0.25">
      <c r="A1410" s="54" t="s">
        <v>8819</v>
      </c>
      <c r="B1410" s="54" t="s">
        <v>12083</v>
      </c>
    </row>
    <row r="1411" spans="1:2" x14ac:dyDescent="0.25">
      <c r="A1411" s="53" t="s">
        <v>8820</v>
      </c>
      <c r="B1411" s="53" t="s">
        <v>12084</v>
      </c>
    </row>
    <row r="1412" spans="1:2" x14ac:dyDescent="0.25">
      <c r="A1412" s="54" t="s">
        <v>8821</v>
      </c>
      <c r="B1412" s="54" t="s">
        <v>12085</v>
      </c>
    </row>
    <row r="1413" spans="1:2" x14ac:dyDescent="0.25">
      <c r="A1413" s="53" t="s">
        <v>8822</v>
      </c>
      <c r="B1413" s="53" t="s">
        <v>12086</v>
      </c>
    </row>
    <row r="1414" spans="1:2" x14ac:dyDescent="0.25">
      <c r="A1414" s="54" t="s">
        <v>8823</v>
      </c>
      <c r="B1414" s="54" t="s">
        <v>12087</v>
      </c>
    </row>
    <row r="1415" spans="1:2" x14ac:dyDescent="0.25">
      <c r="A1415" s="53" t="s">
        <v>8824</v>
      </c>
      <c r="B1415" s="53" t="s">
        <v>12088</v>
      </c>
    </row>
    <row r="1416" spans="1:2" x14ac:dyDescent="0.25">
      <c r="A1416" s="54" t="s">
        <v>8825</v>
      </c>
      <c r="B1416" s="54" t="s">
        <v>12089</v>
      </c>
    </row>
    <row r="1417" spans="1:2" x14ac:dyDescent="0.25">
      <c r="A1417" s="53" t="s">
        <v>8826</v>
      </c>
      <c r="B1417" s="53" t="s">
        <v>12090</v>
      </c>
    </row>
    <row r="1418" spans="1:2" x14ac:dyDescent="0.25">
      <c r="A1418" s="54" t="s">
        <v>8827</v>
      </c>
      <c r="B1418" s="54" t="s">
        <v>12091</v>
      </c>
    </row>
    <row r="1419" spans="1:2" x14ac:dyDescent="0.25">
      <c r="A1419" s="53" t="s">
        <v>8828</v>
      </c>
      <c r="B1419" s="53" t="s">
        <v>12092</v>
      </c>
    </row>
    <row r="1420" spans="1:2" x14ac:dyDescent="0.25">
      <c r="A1420" s="54" t="s">
        <v>8829</v>
      </c>
      <c r="B1420" s="54" t="s">
        <v>12093</v>
      </c>
    </row>
    <row r="1421" spans="1:2" x14ac:dyDescent="0.25">
      <c r="A1421" s="53" t="s">
        <v>8830</v>
      </c>
      <c r="B1421" s="53" t="s">
        <v>12094</v>
      </c>
    </row>
    <row r="1422" spans="1:2" x14ac:dyDescent="0.25">
      <c r="A1422" s="54" t="s">
        <v>8831</v>
      </c>
      <c r="B1422" s="54" t="s">
        <v>12095</v>
      </c>
    </row>
    <row r="1423" spans="1:2" x14ac:dyDescent="0.25">
      <c r="A1423" s="53" t="s">
        <v>8832</v>
      </c>
      <c r="B1423" s="53" t="s">
        <v>12096</v>
      </c>
    </row>
    <row r="1424" spans="1:2" x14ac:dyDescent="0.25">
      <c r="A1424" s="54" t="s">
        <v>8833</v>
      </c>
      <c r="B1424" s="54" t="s">
        <v>12097</v>
      </c>
    </row>
    <row r="1425" spans="1:2" x14ac:dyDescent="0.25">
      <c r="A1425" s="53" t="s">
        <v>8834</v>
      </c>
      <c r="B1425" s="53" t="s">
        <v>12098</v>
      </c>
    </row>
    <row r="1426" spans="1:2" x14ac:dyDescent="0.25">
      <c r="A1426" s="54" t="s">
        <v>8835</v>
      </c>
      <c r="B1426" s="54" t="s">
        <v>12099</v>
      </c>
    </row>
    <row r="1427" spans="1:2" x14ac:dyDescent="0.25">
      <c r="A1427" s="53" t="s">
        <v>8836</v>
      </c>
      <c r="B1427" s="53" t="s">
        <v>12100</v>
      </c>
    </row>
    <row r="1428" spans="1:2" x14ac:dyDescent="0.25">
      <c r="A1428" s="54" t="s">
        <v>8837</v>
      </c>
      <c r="B1428" s="54" t="s">
        <v>10864</v>
      </c>
    </row>
    <row r="1429" spans="1:2" x14ac:dyDescent="0.25">
      <c r="A1429" s="53" t="s">
        <v>8838</v>
      </c>
      <c r="B1429" s="53" t="s">
        <v>11534</v>
      </c>
    </row>
    <row r="1430" spans="1:2" x14ac:dyDescent="0.25">
      <c r="A1430" s="54" t="s">
        <v>8839</v>
      </c>
      <c r="B1430" s="54" t="s">
        <v>12101</v>
      </c>
    </row>
    <row r="1431" spans="1:2" x14ac:dyDescent="0.25">
      <c r="A1431" s="53" t="s">
        <v>8840</v>
      </c>
      <c r="B1431" s="53" t="s">
        <v>10888</v>
      </c>
    </row>
    <row r="1432" spans="1:2" x14ac:dyDescent="0.25">
      <c r="A1432" s="54" t="s">
        <v>8841</v>
      </c>
      <c r="B1432" s="54" t="s">
        <v>12102</v>
      </c>
    </row>
    <row r="1433" spans="1:2" x14ac:dyDescent="0.25">
      <c r="A1433" s="53" t="s">
        <v>8842</v>
      </c>
      <c r="B1433" s="53" t="s">
        <v>12103</v>
      </c>
    </row>
    <row r="1434" spans="1:2" x14ac:dyDescent="0.25">
      <c r="A1434" s="54" t="s">
        <v>8843</v>
      </c>
      <c r="B1434" s="54" t="s">
        <v>12104</v>
      </c>
    </row>
    <row r="1435" spans="1:2" x14ac:dyDescent="0.25">
      <c r="A1435" s="53" t="s">
        <v>8844</v>
      </c>
      <c r="B1435" s="53" t="s">
        <v>12105</v>
      </c>
    </row>
    <row r="1436" spans="1:2" x14ac:dyDescent="0.25">
      <c r="A1436" s="54" t="s">
        <v>8845</v>
      </c>
      <c r="B1436" s="54" t="s">
        <v>12106</v>
      </c>
    </row>
    <row r="1437" spans="1:2" x14ac:dyDescent="0.25">
      <c r="A1437" s="53" t="s">
        <v>8846</v>
      </c>
      <c r="B1437" s="53" t="s">
        <v>12107</v>
      </c>
    </row>
    <row r="1438" spans="1:2" x14ac:dyDescent="0.25">
      <c r="A1438" s="54" t="s">
        <v>8847</v>
      </c>
      <c r="B1438" s="54" t="s">
        <v>12108</v>
      </c>
    </row>
    <row r="1439" spans="1:2" x14ac:dyDescent="0.25">
      <c r="A1439" s="53" t="s">
        <v>8848</v>
      </c>
      <c r="B1439" s="53" t="s">
        <v>12109</v>
      </c>
    </row>
    <row r="1440" spans="1:2" x14ac:dyDescent="0.25">
      <c r="A1440" s="54" t="s">
        <v>8849</v>
      </c>
      <c r="B1440" s="54" t="s">
        <v>12110</v>
      </c>
    </row>
    <row r="1441" spans="1:2" x14ac:dyDescent="0.25">
      <c r="A1441" s="53" t="s">
        <v>8850</v>
      </c>
      <c r="B1441" s="53" t="s">
        <v>12111</v>
      </c>
    </row>
    <row r="1442" spans="1:2" x14ac:dyDescent="0.25">
      <c r="A1442" s="54" t="s">
        <v>8851</v>
      </c>
      <c r="B1442" s="54" t="s">
        <v>12112</v>
      </c>
    </row>
    <row r="1443" spans="1:2" x14ac:dyDescent="0.25">
      <c r="A1443" s="53" t="s">
        <v>8852</v>
      </c>
      <c r="B1443" s="53" t="s">
        <v>12113</v>
      </c>
    </row>
    <row r="1444" spans="1:2" x14ac:dyDescent="0.25">
      <c r="A1444" s="54" t="s">
        <v>8853</v>
      </c>
      <c r="B1444" s="54" t="s">
        <v>12114</v>
      </c>
    </row>
    <row r="1445" spans="1:2" x14ac:dyDescent="0.25">
      <c r="A1445" s="53" t="s">
        <v>8854</v>
      </c>
      <c r="B1445" s="53" t="s">
        <v>12115</v>
      </c>
    </row>
    <row r="1446" spans="1:2" x14ac:dyDescent="0.25">
      <c r="A1446" s="54" t="s">
        <v>8855</v>
      </c>
      <c r="B1446" s="54" t="s">
        <v>12116</v>
      </c>
    </row>
    <row r="1447" spans="1:2" x14ac:dyDescent="0.25">
      <c r="A1447" s="53" t="s">
        <v>8856</v>
      </c>
      <c r="B1447" s="53" t="s">
        <v>12117</v>
      </c>
    </row>
    <row r="1448" spans="1:2" x14ac:dyDescent="0.25">
      <c r="A1448" s="54" t="s">
        <v>8857</v>
      </c>
      <c r="B1448" s="54" t="s">
        <v>12118</v>
      </c>
    </row>
    <row r="1449" spans="1:2" x14ac:dyDescent="0.25">
      <c r="A1449" s="53" t="s">
        <v>764</v>
      </c>
      <c r="B1449" s="53" t="s">
        <v>765</v>
      </c>
    </row>
    <row r="1450" spans="1:2" x14ac:dyDescent="0.25">
      <c r="A1450" s="54" t="s">
        <v>8858</v>
      </c>
      <c r="B1450" s="54" t="s">
        <v>12119</v>
      </c>
    </row>
    <row r="1451" spans="1:2" x14ac:dyDescent="0.25">
      <c r="A1451" s="53" t="s">
        <v>8859</v>
      </c>
      <c r="B1451" s="53" t="s">
        <v>12120</v>
      </c>
    </row>
    <row r="1452" spans="1:2" x14ac:dyDescent="0.25">
      <c r="A1452" s="54" t="s">
        <v>8860</v>
      </c>
      <c r="B1452" s="54" t="s">
        <v>12121</v>
      </c>
    </row>
    <row r="1453" spans="1:2" x14ac:dyDescent="0.25">
      <c r="A1453" s="53" t="s">
        <v>8861</v>
      </c>
      <c r="B1453" s="53" t="s">
        <v>12122</v>
      </c>
    </row>
    <row r="1454" spans="1:2" x14ac:dyDescent="0.25">
      <c r="A1454" s="54" t="s">
        <v>8862</v>
      </c>
      <c r="B1454" s="54" t="s">
        <v>12123</v>
      </c>
    </row>
    <row r="1455" spans="1:2" x14ac:dyDescent="0.25">
      <c r="A1455" s="53" t="s">
        <v>8863</v>
      </c>
      <c r="B1455" s="53" t="s">
        <v>12124</v>
      </c>
    </row>
    <row r="1456" spans="1:2" x14ac:dyDescent="0.25">
      <c r="A1456" s="54" t="s">
        <v>8864</v>
      </c>
      <c r="B1456" s="54" t="s">
        <v>12125</v>
      </c>
    </row>
    <row r="1457" spans="1:2" x14ac:dyDescent="0.25">
      <c r="A1457" s="53" t="s">
        <v>8865</v>
      </c>
      <c r="B1457" s="53" t="s">
        <v>12126</v>
      </c>
    </row>
    <row r="1458" spans="1:2" x14ac:dyDescent="0.25">
      <c r="A1458" s="54" t="s">
        <v>8866</v>
      </c>
      <c r="B1458" s="54" t="s">
        <v>677</v>
      </c>
    </row>
    <row r="1459" spans="1:2" x14ac:dyDescent="0.25">
      <c r="A1459" s="53" t="s">
        <v>8867</v>
      </c>
      <c r="B1459" s="53" t="s">
        <v>12127</v>
      </c>
    </row>
    <row r="1460" spans="1:2" x14ac:dyDescent="0.25">
      <c r="A1460" s="54" t="s">
        <v>8868</v>
      </c>
      <c r="B1460" s="54" t="s">
        <v>12128</v>
      </c>
    </row>
    <row r="1461" spans="1:2" x14ac:dyDescent="0.25">
      <c r="A1461" s="53" t="s">
        <v>8869</v>
      </c>
      <c r="B1461" s="53" t="s">
        <v>12129</v>
      </c>
    </row>
    <row r="1462" spans="1:2" x14ac:dyDescent="0.25">
      <c r="A1462" s="54" t="s">
        <v>8870</v>
      </c>
      <c r="B1462" s="54" t="s">
        <v>12130</v>
      </c>
    </row>
    <row r="1463" spans="1:2" x14ac:dyDescent="0.25">
      <c r="A1463" s="53" t="s">
        <v>8871</v>
      </c>
      <c r="B1463" s="53" t="s">
        <v>12131</v>
      </c>
    </row>
    <row r="1464" spans="1:2" x14ac:dyDescent="0.25">
      <c r="A1464" s="54" t="s">
        <v>8872</v>
      </c>
      <c r="B1464" s="54" t="s">
        <v>12132</v>
      </c>
    </row>
    <row r="1465" spans="1:2" x14ac:dyDescent="0.25">
      <c r="A1465" s="53" t="s">
        <v>8873</v>
      </c>
      <c r="B1465" s="53" t="s">
        <v>12133</v>
      </c>
    </row>
    <row r="1466" spans="1:2" x14ac:dyDescent="0.25">
      <c r="A1466" s="54" t="s">
        <v>8874</v>
      </c>
      <c r="B1466" s="54" t="s">
        <v>12134</v>
      </c>
    </row>
    <row r="1467" spans="1:2" x14ac:dyDescent="0.25">
      <c r="A1467" s="53" t="s">
        <v>8875</v>
      </c>
      <c r="B1467" s="53" t="s">
        <v>12135</v>
      </c>
    </row>
    <row r="1468" spans="1:2" x14ac:dyDescent="0.25">
      <c r="A1468" s="54" t="s">
        <v>8876</v>
      </c>
      <c r="B1468" s="54" t="s">
        <v>12136</v>
      </c>
    </row>
    <row r="1469" spans="1:2" x14ac:dyDescent="0.25">
      <c r="A1469" s="53" t="s">
        <v>8877</v>
      </c>
      <c r="B1469" s="53" t="s">
        <v>12137</v>
      </c>
    </row>
    <row r="1470" spans="1:2" x14ac:dyDescent="0.25">
      <c r="A1470" s="54" t="s">
        <v>8878</v>
      </c>
      <c r="B1470" s="54" t="s">
        <v>12138</v>
      </c>
    </row>
    <row r="1471" spans="1:2" x14ac:dyDescent="0.25">
      <c r="A1471" s="53" t="s">
        <v>8879</v>
      </c>
      <c r="B1471" s="53" t="s">
        <v>12139</v>
      </c>
    </row>
    <row r="1472" spans="1:2" x14ac:dyDescent="0.25">
      <c r="A1472" s="54" t="s">
        <v>8880</v>
      </c>
      <c r="B1472" s="54" t="s">
        <v>12140</v>
      </c>
    </row>
    <row r="1473" spans="1:2" x14ac:dyDescent="0.25">
      <c r="A1473" s="53" t="s">
        <v>8881</v>
      </c>
      <c r="B1473" s="53" t="s">
        <v>12141</v>
      </c>
    </row>
    <row r="1474" spans="1:2" x14ac:dyDescent="0.25">
      <c r="A1474" s="54" t="s">
        <v>8882</v>
      </c>
      <c r="B1474" s="54" t="s">
        <v>12142</v>
      </c>
    </row>
    <row r="1475" spans="1:2" x14ac:dyDescent="0.25">
      <c r="A1475" s="53" t="s">
        <v>8883</v>
      </c>
      <c r="B1475" s="53" t="s">
        <v>12143</v>
      </c>
    </row>
    <row r="1476" spans="1:2" x14ac:dyDescent="0.25">
      <c r="A1476" s="54" t="s">
        <v>8884</v>
      </c>
      <c r="B1476" s="54" t="s">
        <v>12144</v>
      </c>
    </row>
    <row r="1477" spans="1:2" x14ac:dyDescent="0.25">
      <c r="A1477" s="53" t="s">
        <v>8885</v>
      </c>
      <c r="B1477" s="53" t="s">
        <v>12145</v>
      </c>
    </row>
    <row r="1478" spans="1:2" x14ac:dyDescent="0.25">
      <c r="A1478" s="54" t="s">
        <v>8886</v>
      </c>
      <c r="B1478" s="54" t="s">
        <v>12146</v>
      </c>
    </row>
    <row r="1479" spans="1:2" x14ac:dyDescent="0.25">
      <c r="A1479" s="53" t="s">
        <v>8887</v>
      </c>
      <c r="B1479" s="53" t="s">
        <v>12147</v>
      </c>
    </row>
    <row r="1480" spans="1:2" x14ac:dyDescent="0.25">
      <c r="A1480" s="54" t="s">
        <v>8888</v>
      </c>
      <c r="B1480" s="54" t="s">
        <v>12148</v>
      </c>
    </row>
    <row r="1481" spans="1:2" x14ac:dyDescent="0.25">
      <c r="A1481" s="53" t="s">
        <v>8889</v>
      </c>
      <c r="B1481" s="53" t="s">
        <v>12149</v>
      </c>
    </row>
    <row r="1482" spans="1:2" x14ac:dyDescent="0.25">
      <c r="A1482" s="54" t="s">
        <v>8890</v>
      </c>
      <c r="B1482" s="54" t="s">
        <v>12150</v>
      </c>
    </row>
    <row r="1483" spans="1:2" x14ac:dyDescent="0.25">
      <c r="A1483" s="53" t="s">
        <v>8891</v>
      </c>
      <c r="B1483" s="53" t="s">
        <v>11271</v>
      </c>
    </row>
    <row r="1484" spans="1:2" x14ac:dyDescent="0.25">
      <c r="A1484" s="54" t="s">
        <v>8892</v>
      </c>
      <c r="B1484" s="54" t="s">
        <v>12151</v>
      </c>
    </row>
    <row r="1485" spans="1:2" x14ac:dyDescent="0.25">
      <c r="A1485" s="53" t="s">
        <v>8893</v>
      </c>
      <c r="B1485" s="53" t="s">
        <v>12152</v>
      </c>
    </row>
    <row r="1486" spans="1:2" x14ac:dyDescent="0.25">
      <c r="A1486" s="54" t="s">
        <v>8894</v>
      </c>
      <c r="B1486" s="54" t="s">
        <v>12153</v>
      </c>
    </row>
    <row r="1487" spans="1:2" x14ac:dyDescent="0.25">
      <c r="A1487" s="53" t="s">
        <v>8895</v>
      </c>
      <c r="B1487" s="53" t="s">
        <v>12154</v>
      </c>
    </row>
    <row r="1488" spans="1:2" x14ac:dyDescent="0.25">
      <c r="A1488" s="54" t="s">
        <v>8896</v>
      </c>
      <c r="B1488" s="54" t="s">
        <v>12155</v>
      </c>
    </row>
    <row r="1489" spans="1:2" x14ac:dyDescent="0.25">
      <c r="A1489" s="53" t="s">
        <v>8897</v>
      </c>
      <c r="B1489" s="53" t="s">
        <v>12156</v>
      </c>
    </row>
    <row r="1490" spans="1:2" x14ac:dyDescent="0.25">
      <c r="A1490" s="54" t="s">
        <v>8898</v>
      </c>
      <c r="B1490" s="54" t="s">
        <v>12157</v>
      </c>
    </row>
    <row r="1491" spans="1:2" x14ac:dyDescent="0.25">
      <c r="A1491" s="53" t="s">
        <v>8899</v>
      </c>
      <c r="B1491" s="53" t="s">
        <v>12158</v>
      </c>
    </row>
    <row r="1492" spans="1:2" x14ac:dyDescent="0.25">
      <c r="A1492" s="54" t="s">
        <v>8900</v>
      </c>
      <c r="B1492" s="54" t="s">
        <v>12159</v>
      </c>
    </row>
    <row r="1493" spans="1:2" x14ac:dyDescent="0.25">
      <c r="A1493" s="53" t="s">
        <v>8901</v>
      </c>
      <c r="B1493" s="53" t="s">
        <v>12160</v>
      </c>
    </row>
    <row r="1494" spans="1:2" x14ac:dyDescent="0.25">
      <c r="A1494" s="54" t="s">
        <v>8902</v>
      </c>
      <c r="B1494" s="54" t="s">
        <v>12161</v>
      </c>
    </row>
    <row r="1495" spans="1:2" x14ac:dyDescent="0.25">
      <c r="A1495" s="53" t="s">
        <v>8903</v>
      </c>
      <c r="B1495" s="53" t="s">
        <v>12162</v>
      </c>
    </row>
    <row r="1496" spans="1:2" x14ac:dyDescent="0.25">
      <c r="A1496" s="54" t="s">
        <v>8904</v>
      </c>
      <c r="B1496" s="54" t="s">
        <v>12163</v>
      </c>
    </row>
    <row r="1497" spans="1:2" x14ac:dyDescent="0.25">
      <c r="A1497" s="53" t="s">
        <v>8905</v>
      </c>
      <c r="B1497" s="53" t="s">
        <v>12164</v>
      </c>
    </row>
    <row r="1498" spans="1:2" x14ac:dyDescent="0.25">
      <c r="A1498" s="54" t="s">
        <v>8906</v>
      </c>
      <c r="B1498" s="54" t="s">
        <v>12165</v>
      </c>
    </row>
    <row r="1499" spans="1:2" x14ac:dyDescent="0.25">
      <c r="A1499" s="53" t="s">
        <v>8907</v>
      </c>
      <c r="B1499" s="53" t="s">
        <v>12166</v>
      </c>
    </row>
    <row r="1500" spans="1:2" x14ac:dyDescent="0.25">
      <c r="A1500" s="54" t="s">
        <v>8908</v>
      </c>
      <c r="B1500" s="54" t="s">
        <v>12167</v>
      </c>
    </row>
    <row r="1501" spans="1:2" x14ac:dyDescent="0.25">
      <c r="A1501" s="53" t="s">
        <v>8909</v>
      </c>
      <c r="B1501" s="53" t="s">
        <v>12168</v>
      </c>
    </row>
    <row r="1502" spans="1:2" x14ac:dyDescent="0.25">
      <c r="A1502" s="54" t="s">
        <v>8910</v>
      </c>
      <c r="B1502" s="54" t="s">
        <v>11159</v>
      </c>
    </row>
    <row r="1503" spans="1:2" x14ac:dyDescent="0.25">
      <c r="A1503" s="53" t="s">
        <v>8911</v>
      </c>
      <c r="B1503" s="53" t="s">
        <v>12169</v>
      </c>
    </row>
    <row r="1504" spans="1:2" x14ac:dyDescent="0.25">
      <c r="A1504" s="54" t="s">
        <v>8912</v>
      </c>
      <c r="B1504" s="54" t="s">
        <v>12170</v>
      </c>
    </row>
    <row r="1505" spans="1:2" x14ac:dyDescent="0.25">
      <c r="A1505" s="53" t="s">
        <v>8913</v>
      </c>
      <c r="B1505" s="53" t="s">
        <v>12171</v>
      </c>
    </row>
    <row r="1506" spans="1:2" x14ac:dyDescent="0.25">
      <c r="A1506" s="54" t="s">
        <v>8914</v>
      </c>
      <c r="B1506" s="54" t="s">
        <v>12172</v>
      </c>
    </row>
    <row r="1507" spans="1:2" x14ac:dyDescent="0.25">
      <c r="A1507" s="53" t="s">
        <v>8915</v>
      </c>
      <c r="B1507" s="53" t="s">
        <v>12173</v>
      </c>
    </row>
    <row r="1508" spans="1:2" x14ac:dyDescent="0.25">
      <c r="A1508" s="54" t="s">
        <v>8916</v>
      </c>
      <c r="B1508" s="54" t="s">
        <v>12174</v>
      </c>
    </row>
    <row r="1509" spans="1:2" x14ac:dyDescent="0.25">
      <c r="A1509" s="53" t="s">
        <v>8917</v>
      </c>
      <c r="B1509" s="53" t="s">
        <v>12175</v>
      </c>
    </row>
    <row r="1510" spans="1:2" x14ac:dyDescent="0.25">
      <c r="A1510" s="54" t="s">
        <v>8918</v>
      </c>
      <c r="B1510" s="54" t="s">
        <v>12176</v>
      </c>
    </row>
    <row r="1511" spans="1:2" x14ac:dyDescent="0.25">
      <c r="A1511" s="53" t="s">
        <v>8919</v>
      </c>
      <c r="B1511" s="53" t="s">
        <v>12177</v>
      </c>
    </row>
    <row r="1512" spans="1:2" x14ac:dyDescent="0.25">
      <c r="A1512" s="54" t="s">
        <v>8920</v>
      </c>
      <c r="B1512" s="54" t="s">
        <v>12178</v>
      </c>
    </row>
    <row r="1513" spans="1:2" x14ac:dyDescent="0.25">
      <c r="A1513" s="53" t="s">
        <v>8921</v>
      </c>
      <c r="B1513" s="53" t="s">
        <v>12179</v>
      </c>
    </row>
    <row r="1514" spans="1:2" x14ac:dyDescent="0.25">
      <c r="A1514" s="54" t="s">
        <v>8922</v>
      </c>
      <c r="B1514" s="54" t="s">
        <v>12180</v>
      </c>
    </row>
    <row r="1515" spans="1:2" x14ac:dyDescent="0.25">
      <c r="A1515" s="53" t="s">
        <v>8923</v>
      </c>
      <c r="B1515" s="53" t="s">
        <v>12181</v>
      </c>
    </row>
    <row r="1516" spans="1:2" x14ac:dyDescent="0.25">
      <c r="A1516" s="54" t="s">
        <v>8924</v>
      </c>
      <c r="B1516" s="54" t="s">
        <v>12182</v>
      </c>
    </row>
    <row r="1517" spans="1:2" x14ac:dyDescent="0.25">
      <c r="A1517" s="53" t="s">
        <v>8925</v>
      </c>
      <c r="B1517" s="53" t="s">
        <v>12183</v>
      </c>
    </row>
    <row r="1518" spans="1:2" x14ac:dyDescent="0.25">
      <c r="A1518" s="54" t="s">
        <v>8926</v>
      </c>
      <c r="B1518" s="54" t="s">
        <v>12184</v>
      </c>
    </row>
    <row r="1519" spans="1:2" x14ac:dyDescent="0.25">
      <c r="A1519" s="53" t="s">
        <v>8927</v>
      </c>
      <c r="B1519" s="53" t="s">
        <v>12185</v>
      </c>
    </row>
    <row r="1520" spans="1:2" x14ac:dyDescent="0.25">
      <c r="A1520" s="54" t="s">
        <v>8928</v>
      </c>
      <c r="B1520" s="54" t="s">
        <v>12186</v>
      </c>
    </row>
    <row r="1521" spans="1:2" x14ac:dyDescent="0.25">
      <c r="A1521" s="53" t="s">
        <v>8929</v>
      </c>
      <c r="B1521" s="53" t="s">
        <v>11217</v>
      </c>
    </row>
    <row r="1522" spans="1:2" x14ac:dyDescent="0.25">
      <c r="A1522" s="54" t="s">
        <v>8930</v>
      </c>
      <c r="B1522" s="54" t="s">
        <v>12187</v>
      </c>
    </row>
    <row r="1523" spans="1:2" x14ac:dyDescent="0.25">
      <c r="A1523" s="53" t="s">
        <v>8931</v>
      </c>
      <c r="B1523" s="53" t="s">
        <v>12188</v>
      </c>
    </row>
    <row r="1524" spans="1:2" x14ac:dyDescent="0.25">
      <c r="A1524" s="54" t="s">
        <v>8932</v>
      </c>
      <c r="B1524" s="54" t="s">
        <v>12189</v>
      </c>
    </row>
    <row r="1525" spans="1:2" x14ac:dyDescent="0.25">
      <c r="A1525" s="53" t="s">
        <v>8933</v>
      </c>
      <c r="B1525" s="53" t="s">
        <v>12190</v>
      </c>
    </row>
    <row r="1526" spans="1:2" x14ac:dyDescent="0.25">
      <c r="A1526" s="54" t="s">
        <v>8934</v>
      </c>
      <c r="B1526" s="54" t="s">
        <v>12191</v>
      </c>
    </row>
    <row r="1527" spans="1:2" x14ac:dyDescent="0.25">
      <c r="A1527" s="53" t="s">
        <v>8935</v>
      </c>
      <c r="B1527" s="53" t="s">
        <v>11502</v>
      </c>
    </row>
    <row r="1528" spans="1:2" x14ac:dyDescent="0.25">
      <c r="A1528" s="54" t="s">
        <v>8936</v>
      </c>
      <c r="B1528" s="54" t="s">
        <v>12192</v>
      </c>
    </row>
    <row r="1529" spans="1:2" x14ac:dyDescent="0.25">
      <c r="A1529" s="53" t="s">
        <v>8937</v>
      </c>
      <c r="B1529" s="53" t="s">
        <v>11706</v>
      </c>
    </row>
    <row r="1530" spans="1:2" x14ac:dyDescent="0.25">
      <c r="A1530" s="54" t="s">
        <v>8938</v>
      </c>
      <c r="B1530" s="54" t="s">
        <v>12193</v>
      </c>
    </row>
    <row r="1531" spans="1:2" x14ac:dyDescent="0.25">
      <c r="A1531" s="53" t="s">
        <v>8939</v>
      </c>
      <c r="B1531" s="53" t="s">
        <v>11728</v>
      </c>
    </row>
    <row r="1532" spans="1:2" x14ac:dyDescent="0.25">
      <c r="A1532" s="54" t="s">
        <v>8940</v>
      </c>
      <c r="B1532" s="54" t="s">
        <v>12194</v>
      </c>
    </row>
    <row r="1533" spans="1:2" x14ac:dyDescent="0.25">
      <c r="A1533" s="53" t="s">
        <v>8941</v>
      </c>
      <c r="B1533" s="53" t="s">
        <v>10876</v>
      </c>
    </row>
    <row r="1534" spans="1:2" x14ac:dyDescent="0.25">
      <c r="A1534" s="54" t="s">
        <v>8942</v>
      </c>
      <c r="B1534" s="54" t="s">
        <v>12195</v>
      </c>
    </row>
    <row r="1535" spans="1:2" x14ac:dyDescent="0.25">
      <c r="A1535" s="53" t="s">
        <v>8943</v>
      </c>
      <c r="B1535" s="53" t="s">
        <v>12196</v>
      </c>
    </row>
    <row r="1536" spans="1:2" x14ac:dyDescent="0.25">
      <c r="A1536" s="54" t="s">
        <v>8944</v>
      </c>
      <c r="B1536" s="54" t="s">
        <v>12197</v>
      </c>
    </row>
    <row r="1537" spans="1:2" x14ac:dyDescent="0.25">
      <c r="A1537" s="53" t="s">
        <v>8945</v>
      </c>
      <c r="B1537" s="53" t="s">
        <v>12198</v>
      </c>
    </row>
    <row r="1538" spans="1:2" x14ac:dyDescent="0.25">
      <c r="A1538" s="54" t="s">
        <v>8946</v>
      </c>
      <c r="B1538" s="54" t="s">
        <v>12199</v>
      </c>
    </row>
    <row r="1539" spans="1:2" x14ac:dyDescent="0.25">
      <c r="A1539" s="53" t="s">
        <v>8947</v>
      </c>
      <c r="B1539" s="53" t="s">
        <v>12200</v>
      </c>
    </row>
    <row r="1540" spans="1:2" x14ac:dyDescent="0.25">
      <c r="A1540" s="54" t="s">
        <v>8948</v>
      </c>
      <c r="B1540" s="54" t="s">
        <v>12201</v>
      </c>
    </row>
    <row r="1541" spans="1:2" x14ac:dyDescent="0.25">
      <c r="A1541" s="53" t="s">
        <v>8949</v>
      </c>
      <c r="B1541" s="53" t="s">
        <v>12202</v>
      </c>
    </row>
    <row r="1542" spans="1:2" x14ac:dyDescent="0.25">
      <c r="A1542" s="54" t="s">
        <v>8950</v>
      </c>
      <c r="B1542" s="54" t="s">
        <v>12203</v>
      </c>
    </row>
    <row r="1543" spans="1:2" x14ac:dyDescent="0.25">
      <c r="A1543" s="53" t="s">
        <v>8951</v>
      </c>
      <c r="B1543" s="53" t="s">
        <v>12204</v>
      </c>
    </row>
    <row r="1544" spans="1:2" x14ac:dyDescent="0.25">
      <c r="A1544" s="54" t="s">
        <v>8952</v>
      </c>
      <c r="B1544" s="54" t="s">
        <v>12205</v>
      </c>
    </row>
    <row r="1545" spans="1:2" x14ac:dyDescent="0.25">
      <c r="A1545" s="53" t="s">
        <v>8953</v>
      </c>
      <c r="B1545" s="53" t="s">
        <v>11421</v>
      </c>
    </row>
    <row r="1546" spans="1:2" x14ac:dyDescent="0.25">
      <c r="A1546" s="54" t="s">
        <v>8954</v>
      </c>
      <c r="B1546" s="54" t="s">
        <v>12206</v>
      </c>
    </row>
    <row r="1547" spans="1:2" x14ac:dyDescent="0.25">
      <c r="A1547" s="53" t="s">
        <v>8955</v>
      </c>
      <c r="B1547" s="53" t="s">
        <v>12207</v>
      </c>
    </row>
    <row r="1548" spans="1:2" x14ac:dyDescent="0.25">
      <c r="A1548" s="54" t="s">
        <v>8956</v>
      </c>
      <c r="B1548" s="54" t="s">
        <v>12208</v>
      </c>
    </row>
    <row r="1549" spans="1:2" x14ac:dyDescent="0.25">
      <c r="A1549" s="53" t="s">
        <v>8957</v>
      </c>
      <c r="B1549" s="53" t="s">
        <v>12209</v>
      </c>
    </row>
    <row r="1550" spans="1:2" x14ac:dyDescent="0.25">
      <c r="A1550" s="54" t="s">
        <v>8958</v>
      </c>
      <c r="B1550" s="54" t="s">
        <v>12210</v>
      </c>
    </row>
    <row r="1551" spans="1:2" x14ac:dyDescent="0.25">
      <c r="A1551" s="53" t="s">
        <v>8959</v>
      </c>
      <c r="B1551" s="53" t="s">
        <v>12211</v>
      </c>
    </row>
    <row r="1552" spans="1:2" x14ac:dyDescent="0.25">
      <c r="A1552" s="54" t="s">
        <v>8960</v>
      </c>
      <c r="B1552" s="54" t="s">
        <v>12212</v>
      </c>
    </row>
    <row r="1553" spans="1:2" x14ac:dyDescent="0.25">
      <c r="A1553" s="53" t="s">
        <v>8961</v>
      </c>
      <c r="B1553" s="53" t="s">
        <v>11775</v>
      </c>
    </row>
    <row r="1554" spans="1:2" x14ac:dyDescent="0.25">
      <c r="A1554" s="54" t="s">
        <v>8962</v>
      </c>
      <c r="B1554" s="54" t="s">
        <v>12213</v>
      </c>
    </row>
    <row r="1555" spans="1:2" x14ac:dyDescent="0.25">
      <c r="A1555" s="53" t="s">
        <v>8963</v>
      </c>
      <c r="B1555" s="53" t="s">
        <v>12214</v>
      </c>
    </row>
    <row r="1556" spans="1:2" x14ac:dyDescent="0.25">
      <c r="A1556" s="54" t="s">
        <v>8964</v>
      </c>
      <c r="B1556" s="54" t="s">
        <v>12215</v>
      </c>
    </row>
    <row r="1557" spans="1:2" x14ac:dyDescent="0.25">
      <c r="A1557" s="53" t="s">
        <v>8965</v>
      </c>
      <c r="B1557" s="53" t="s">
        <v>12216</v>
      </c>
    </row>
    <row r="1558" spans="1:2" x14ac:dyDescent="0.25">
      <c r="A1558" s="54" t="s">
        <v>8966</v>
      </c>
      <c r="B1558" s="54" t="s">
        <v>12217</v>
      </c>
    </row>
    <row r="1559" spans="1:2" x14ac:dyDescent="0.25">
      <c r="A1559" s="53" t="s">
        <v>8967</v>
      </c>
      <c r="B1559" s="53" t="s">
        <v>12218</v>
      </c>
    </row>
    <row r="1560" spans="1:2" x14ac:dyDescent="0.25">
      <c r="A1560" s="54" t="s">
        <v>8968</v>
      </c>
      <c r="B1560" s="54" t="s">
        <v>12219</v>
      </c>
    </row>
    <row r="1561" spans="1:2" x14ac:dyDescent="0.25">
      <c r="A1561" s="53" t="s">
        <v>8969</v>
      </c>
      <c r="B1561" s="53" t="s">
        <v>12220</v>
      </c>
    </row>
    <row r="1562" spans="1:2" x14ac:dyDescent="0.25">
      <c r="A1562" s="54" t="s">
        <v>8970</v>
      </c>
      <c r="B1562" s="54" t="s">
        <v>12221</v>
      </c>
    </row>
    <row r="1563" spans="1:2" x14ac:dyDescent="0.25">
      <c r="A1563" s="53" t="s">
        <v>8971</v>
      </c>
      <c r="B1563" s="53" t="s">
        <v>12222</v>
      </c>
    </row>
    <row r="1564" spans="1:2" x14ac:dyDescent="0.25">
      <c r="A1564" s="54" t="s">
        <v>8972</v>
      </c>
      <c r="B1564" s="54" t="s">
        <v>12223</v>
      </c>
    </row>
    <row r="1565" spans="1:2" x14ac:dyDescent="0.25">
      <c r="A1565" s="53" t="s">
        <v>8973</v>
      </c>
      <c r="B1565" s="53" t="s">
        <v>12224</v>
      </c>
    </row>
    <row r="1566" spans="1:2" x14ac:dyDescent="0.25">
      <c r="A1566" s="54" t="s">
        <v>8974</v>
      </c>
      <c r="B1566" s="54" t="s">
        <v>12225</v>
      </c>
    </row>
    <row r="1567" spans="1:2" x14ac:dyDescent="0.25">
      <c r="A1567" s="53" t="s">
        <v>8975</v>
      </c>
      <c r="B1567" s="53" t="s">
        <v>12226</v>
      </c>
    </row>
    <row r="1568" spans="1:2" x14ac:dyDescent="0.25">
      <c r="A1568" s="54" t="s">
        <v>8976</v>
      </c>
      <c r="B1568" s="54" t="s">
        <v>12227</v>
      </c>
    </row>
    <row r="1569" spans="1:2" x14ac:dyDescent="0.25">
      <c r="A1569" s="53" t="s">
        <v>8977</v>
      </c>
      <c r="B1569" s="53" t="s">
        <v>12228</v>
      </c>
    </row>
    <row r="1570" spans="1:2" x14ac:dyDescent="0.25">
      <c r="A1570" s="54" t="s">
        <v>8978</v>
      </c>
      <c r="B1570" s="54" t="s">
        <v>12229</v>
      </c>
    </row>
    <row r="1571" spans="1:2" x14ac:dyDescent="0.25">
      <c r="A1571" s="53" t="s">
        <v>8979</v>
      </c>
      <c r="B1571" s="53" t="s">
        <v>12230</v>
      </c>
    </row>
    <row r="1572" spans="1:2" x14ac:dyDescent="0.25">
      <c r="A1572" s="54" t="s">
        <v>8980</v>
      </c>
      <c r="B1572" s="54" t="s">
        <v>12231</v>
      </c>
    </row>
    <row r="1573" spans="1:2" x14ac:dyDescent="0.25">
      <c r="A1573" s="53" t="s">
        <v>8981</v>
      </c>
      <c r="B1573" s="53" t="s">
        <v>12232</v>
      </c>
    </row>
    <row r="1574" spans="1:2" x14ac:dyDescent="0.25">
      <c r="A1574" s="54" t="s">
        <v>8982</v>
      </c>
      <c r="B1574" s="54" t="s">
        <v>12233</v>
      </c>
    </row>
    <row r="1575" spans="1:2" x14ac:dyDescent="0.25">
      <c r="A1575" s="53" t="s">
        <v>8983</v>
      </c>
      <c r="B1575" s="53" t="s">
        <v>12234</v>
      </c>
    </row>
    <row r="1576" spans="1:2" x14ac:dyDescent="0.25">
      <c r="A1576" s="54" t="s">
        <v>8984</v>
      </c>
      <c r="B1576" s="54" t="s">
        <v>12235</v>
      </c>
    </row>
    <row r="1577" spans="1:2" x14ac:dyDescent="0.25">
      <c r="A1577" s="53" t="s">
        <v>8985</v>
      </c>
      <c r="B1577" s="53" t="s">
        <v>12236</v>
      </c>
    </row>
    <row r="1578" spans="1:2" x14ac:dyDescent="0.25">
      <c r="A1578" s="54" t="s">
        <v>8986</v>
      </c>
      <c r="B1578" s="54" t="s">
        <v>12237</v>
      </c>
    </row>
    <row r="1579" spans="1:2" x14ac:dyDescent="0.25">
      <c r="A1579" s="53" t="s">
        <v>8987</v>
      </c>
      <c r="B1579" s="53" t="s">
        <v>12238</v>
      </c>
    </row>
    <row r="1580" spans="1:2" x14ac:dyDescent="0.25">
      <c r="A1580" s="54" t="s">
        <v>8988</v>
      </c>
      <c r="B1580" s="54" t="s">
        <v>12239</v>
      </c>
    </row>
    <row r="1581" spans="1:2" x14ac:dyDescent="0.25">
      <c r="A1581" s="53" t="s">
        <v>8989</v>
      </c>
      <c r="B1581" s="53" t="s">
        <v>12240</v>
      </c>
    </row>
    <row r="1582" spans="1:2" x14ac:dyDescent="0.25">
      <c r="A1582" s="54" t="s">
        <v>8990</v>
      </c>
      <c r="B1582" s="54" t="s">
        <v>12241</v>
      </c>
    </row>
    <row r="1583" spans="1:2" x14ac:dyDescent="0.25">
      <c r="A1583" s="53" t="s">
        <v>8991</v>
      </c>
      <c r="B1583" s="53" t="s">
        <v>12242</v>
      </c>
    </row>
    <row r="1584" spans="1:2" x14ac:dyDescent="0.25">
      <c r="A1584" s="54" t="s">
        <v>8992</v>
      </c>
      <c r="B1584" s="54" t="s">
        <v>12243</v>
      </c>
    </row>
    <row r="1585" spans="1:2" x14ac:dyDescent="0.25">
      <c r="A1585" s="53" t="s">
        <v>8993</v>
      </c>
      <c r="B1585" s="53" t="s">
        <v>12244</v>
      </c>
    </row>
    <row r="1586" spans="1:2" x14ac:dyDescent="0.25">
      <c r="A1586" s="54" t="s">
        <v>8994</v>
      </c>
      <c r="B1586" s="54" t="s">
        <v>12245</v>
      </c>
    </row>
    <row r="1587" spans="1:2" x14ac:dyDescent="0.25">
      <c r="A1587" s="53" t="s">
        <v>8995</v>
      </c>
      <c r="B1587" s="53" t="s">
        <v>11240</v>
      </c>
    </row>
    <row r="1588" spans="1:2" x14ac:dyDescent="0.25">
      <c r="A1588" s="54" t="s">
        <v>8996</v>
      </c>
      <c r="B1588" s="54" t="s">
        <v>12246</v>
      </c>
    </row>
    <row r="1589" spans="1:2" x14ac:dyDescent="0.25">
      <c r="A1589" s="53" t="s">
        <v>8997</v>
      </c>
      <c r="B1589" s="53" t="s">
        <v>12247</v>
      </c>
    </row>
    <row r="1590" spans="1:2" x14ac:dyDescent="0.25">
      <c r="A1590" s="54" t="s">
        <v>8998</v>
      </c>
      <c r="B1590" s="54" t="s">
        <v>12248</v>
      </c>
    </row>
    <row r="1591" spans="1:2" x14ac:dyDescent="0.25">
      <c r="A1591" s="53" t="s">
        <v>8999</v>
      </c>
      <c r="B1591" s="53" t="s">
        <v>12249</v>
      </c>
    </row>
    <row r="1592" spans="1:2" x14ac:dyDescent="0.25">
      <c r="A1592" s="54" t="s">
        <v>9000</v>
      </c>
      <c r="B1592" s="54" t="s">
        <v>10875</v>
      </c>
    </row>
    <row r="1593" spans="1:2" x14ac:dyDescent="0.25">
      <c r="A1593" s="53" t="s">
        <v>9001</v>
      </c>
      <c r="B1593" s="53" t="s">
        <v>12250</v>
      </c>
    </row>
    <row r="1594" spans="1:2" x14ac:dyDescent="0.25">
      <c r="A1594" s="54" t="s">
        <v>9002</v>
      </c>
      <c r="B1594" s="54" t="s">
        <v>12251</v>
      </c>
    </row>
    <row r="1595" spans="1:2" x14ac:dyDescent="0.25">
      <c r="A1595" s="53" t="s">
        <v>9003</v>
      </c>
      <c r="B1595" s="53" t="s">
        <v>12252</v>
      </c>
    </row>
    <row r="1596" spans="1:2" x14ac:dyDescent="0.25">
      <c r="A1596" s="54" t="s">
        <v>9004</v>
      </c>
      <c r="B1596" s="54" t="s">
        <v>12253</v>
      </c>
    </row>
    <row r="1597" spans="1:2" x14ac:dyDescent="0.25">
      <c r="A1597" s="53" t="s">
        <v>9005</v>
      </c>
      <c r="B1597" s="53" t="s">
        <v>10820</v>
      </c>
    </row>
    <row r="1598" spans="1:2" x14ac:dyDescent="0.25">
      <c r="A1598" s="54" t="s">
        <v>9006</v>
      </c>
      <c r="B1598" s="54" t="s">
        <v>12254</v>
      </c>
    </row>
    <row r="1599" spans="1:2" x14ac:dyDescent="0.25">
      <c r="A1599" s="53" t="s">
        <v>9007</v>
      </c>
      <c r="B1599" s="53" t="s">
        <v>12255</v>
      </c>
    </row>
    <row r="1600" spans="1:2" x14ac:dyDescent="0.25">
      <c r="A1600" s="54" t="s">
        <v>9008</v>
      </c>
      <c r="B1600" s="54" t="s">
        <v>12256</v>
      </c>
    </row>
    <row r="1601" spans="1:2" x14ac:dyDescent="0.25">
      <c r="A1601" s="53" t="s">
        <v>9009</v>
      </c>
      <c r="B1601" s="53" t="s">
        <v>12257</v>
      </c>
    </row>
    <row r="1602" spans="1:2" x14ac:dyDescent="0.25">
      <c r="A1602" s="54" t="s">
        <v>9010</v>
      </c>
      <c r="B1602" s="54" t="s">
        <v>12258</v>
      </c>
    </row>
    <row r="1603" spans="1:2" x14ac:dyDescent="0.25">
      <c r="A1603" s="53" t="s">
        <v>9011</v>
      </c>
      <c r="B1603" s="53" t="s">
        <v>12259</v>
      </c>
    </row>
    <row r="1604" spans="1:2" x14ac:dyDescent="0.25">
      <c r="A1604" s="54" t="s">
        <v>9012</v>
      </c>
      <c r="B1604" s="54" t="s">
        <v>12260</v>
      </c>
    </row>
    <row r="1605" spans="1:2" x14ac:dyDescent="0.25">
      <c r="A1605" s="53" t="s">
        <v>9013</v>
      </c>
      <c r="B1605" s="53" t="s">
        <v>12261</v>
      </c>
    </row>
    <row r="1606" spans="1:2" x14ac:dyDescent="0.25">
      <c r="A1606" s="54" t="s">
        <v>9014</v>
      </c>
      <c r="B1606" s="54" t="s">
        <v>12262</v>
      </c>
    </row>
    <row r="1607" spans="1:2" x14ac:dyDescent="0.25">
      <c r="A1607" s="53" t="s">
        <v>9015</v>
      </c>
      <c r="B1607" s="53" t="s">
        <v>12263</v>
      </c>
    </row>
    <row r="1608" spans="1:2" x14ac:dyDescent="0.25">
      <c r="A1608" s="54" t="s">
        <v>9016</v>
      </c>
      <c r="B1608" s="54" t="s">
        <v>12264</v>
      </c>
    </row>
    <row r="1609" spans="1:2" x14ac:dyDescent="0.25">
      <c r="A1609" s="53" t="s">
        <v>9017</v>
      </c>
      <c r="B1609" s="53" t="s">
        <v>12265</v>
      </c>
    </row>
    <row r="1610" spans="1:2" x14ac:dyDescent="0.25">
      <c r="A1610" s="54" t="s">
        <v>9018</v>
      </c>
      <c r="B1610" s="54" t="s">
        <v>11270</v>
      </c>
    </row>
    <row r="1611" spans="1:2" x14ac:dyDescent="0.25">
      <c r="A1611" s="53" t="s">
        <v>9019</v>
      </c>
      <c r="B1611" s="53" t="s">
        <v>12266</v>
      </c>
    </row>
    <row r="1612" spans="1:2" x14ac:dyDescent="0.25">
      <c r="A1612" s="54" t="s">
        <v>9020</v>
      </c>
      <c r="B1612" s="54" t="s">
        <v>12267</v>
      </c>
    </row>
    <row r="1613" spans="1:2" x14ac:dyDescent="0.25">
      <c r="A1613" s="53" t="s">
        <v>9021</v>
      </c>
      <c r="B1613" s="53" t="s">
        <v>12268</v>
      </c>
    </row>
    <row r="1614" spans="1:2" x14ac:dyDescent="0.25">
      <c r="A1614" s="54" t="s">
        <v>9022</v>
      </c>
      <c r="B1614" s="54" t="s">
        <v>12269</v>
      </c>
    </row>
    <row r="1615" spans="1:2" x14ac:dyDescent="0.25">
      <c r="A1615" s="53" t="s">
        <v>9023</v>
      </c>
      <c r="B1615" s="53" t="s">
        <v>12270</v>
      </c>
    </row>
    <row r="1616" spans="1:2" x14ac:dyDescent="0.25">
      <c r="A1616" s="54" t="s">
        <v>9024</v>
      </c>
      <c r="B1616" s="54" t="s">
        <v>12271</v>
      </c>
    </row>
    <row r="1617" spans="1:2" x14ac:dyDescent="0.25">
      <c r="A1617" s="53" t="s">
        <v>9025</v>
      </c>
      <c r="B1617" s="53" t="s">
        <v>12272</v>
      </c>
    </row>
    <row r="1618" spans="1:2" x14ac:dyDescent="0.25">
      <c r="A1618" s="54" t="s">
        <v>9026</v>
      </c>
      <c r="B1618" s="54" t="s">
        <v>12273</v>
      </c>
    </row>
    <row r="1619" spans="1:2" x14ac:dyDescent="0.25">
      <c r="A1619" s="53" t="s">
        <v>9027</v>
      </c>
      <c r="B1619" s="53" t="s">
        <v>12274</v>
      </c>
    </row>
    <row r="1620" spans="1:2" x14ac:dyDescent="0.25">
      <c r="A1620" s="54" t="s">
        <v>9028</v>
      </c>
      <c r="B1620" s="54" t="s">
        <v>12275</v>
      </c>
    </row>
    <row r="1621" spans="1:2" x14ac:dyDescent="0.25">
      <c r="A1621" s="53" t="s">
        <v>9029</v>
      </c>
      <c r="B1621" s="53" t="s">
        <v>12276</v>
      </c>
    </row>
    <row r="1622" spans="1:2" x14ac:dyDescent="0.25">
      <c r="A1622" s="54" t="s">
        <v>9030</v>
      </c>
      <c r="B1622" s="54" t="s">
        <v>11018</v>
      </c>
    </row>
    <row r="1623" spans="1:2" x14ac:dyDescent="0.25">
      <c r="A1623" s="53" t="s">
        <v>9031</v>
      </c>
      <c r="B1623" s="53" t="s">
        <v>12277</v>
      </c>
    </row>
    <row r="1624" spans="1:2" x14ac:dyDescent="0.25">
      <c r="A1624" s="54" t="s">
        <v>9032</v>
      </c>
      <c r="B1624" s="54" t="s">
        <v>12278</v>
      </c>
    </row>
    <row r="1625" spans="1:2" x14ac:dyDescent="0.25">
      <c r="A1625" s="53" t="s">
        <v>9033</v>
      </c>
      <c r="B1625" s="53" t="s">
        <v>12279</v>
      </c>
    </row>
    <row r="1626" spans="1:2" x14ac:dyDescent="0.25">
      <c r="A1626" s="54" t="s">
        <v>9034</v>
      </c>
      <c r="B1626" s="54" t="s">
        <v>12280</v>
      </c>
    </row>
    <row r="1627" spans="1:2" x14ac:dyDescent="0.25">
      <c r="A1627" s="53" t="s">
        <v>9035</v>
      </c>
      <c r="B1627" s="53" t="s">
        <v>12281</v>
      </c>
    </row>
    <row r="1628" spans="1:2" x14ac:dyDescent="0.25">
      <c r="A1628" s="54" t="s">
        <v>9036</v>
      </c>
      <c r="B1628" s="54" t="s">
        <v>12282</v>
      </c>
    </row>
    <row r="1629" spans="1:2" x14ac:dyDescent="0.25">
      <c r="A1629" s="53" t="s">
        <v>9037</v>
      </c>
      <c r="B1629" s="53" t="s">
        <v>12283</v>
      </c>
    </row>
    <row r="1630" spans="1:2" x14ac:dyDescent="0.25">
      <c r="A1630" s="54" t="s">
        <v>9038</v>
      </c>
      <c r="B1630" s="54" t="s">
        <v>11103</v>
      </c>
    </row>
    <row r="1631" spans="1:2" x14ac:dyDescent="0.25">
      <c r="A1631" s="53" t="s">
        <v>9039</v>
      </c>
      <c r="B1631" s="53" t="s">
        <v>12284</v>
      </c>
    </row>
    <row r="1632" spans="1:2" x14ac:dyDescent="0.25">
      <c r="A1632" s="54" t="s">
        <v>9040</v>
      </c>
      <c r="B1632" s="54" t="s">
        <v>12285</v>
      </c>
    </row>
    <row r="1633" spans="1:2" x14ac:dyDescent="0.25">
      <c r="A1633" s="53" t="s">
        <v>9041</v>
      </c>
      <c r="B1633" s="53" t="s">
        <v>12286</v>
      </c>
    </row>
    <row r="1634" spans="1:2" x14ac:dyDescent="0.25">
      <c r="A1634" s="54" t="s">
        <v>9042</v>
      </c>
      <c r="B1634" s="54" t="s">
        <v>12287</v>
      </c>
    </row>
    <row r="1635" spans="1:2" x14ac:dyDescent="0.25">
      <c r="A1635" s="53" t="s">
        <v>9043</v>
      </c>
      <c r="B1635" s="53" t="s">
        <v>12288</v>
      </c>
    </row>
    <row r="1636" spans="1:2" x14ac:dyDescent="0.25">
      <c r="A1636" s="54" t="s">
        <v>9044</v>
      </c>
      <c r="B1636" s="54" t="s">
        <v>12289</v>
      </c>
    </row>
    <row r="1637" spans="1:2" x14ac:dyDescent="0.25">
      <c r="A1637" s="54" t="s">
        <v>9045</v>
      </c>
      <c r="B1637" s="54" t="s">
        <v>12290</v>
      </c>
    </row>
    <row r="1638" spans="1:2" x14ac:dyDescent="0.25">
      <c r="A1638" s="53" t="s">
        <v>9046</v>
      </c>
      <c r="B1638" s="53" t="s">
        <v>12291</v>
      </c>
    </row>
    <row r="1639" spans="1:2" x14ac:dyDescent="0.25">
      <c r="A1639" s="54" t="s">
        <v>9047</v>
      </c>
      <c r="B1639" s="54" t="s">
        <v>12292</v>
      </c>
    </row>
    <row r="1640" spans="1:2" x14ac:dyDescent="0.25">
      <c r="A1640" s="53" t="s">
        <v>9048</v>
      </c>
      <c r="B1640" s="53" t="s">
        <v>12293</v>
      </c>
    </row>
    <row r="1641" spans="1:2" x14ac:dyDescent="0.25">
      <c r="A1641" s="54" t="s">
        <v>9049</v>
      </c>
      <c r="B1641" s="54" t="s">
        <v>12294</v>
      </c>
    </row>
    <row r="1642" spans="1:2" x14ac:dyDescent="0.25">
      <c r="A1642" s="53" t="s">
        <v>9050</v>
      </c>
      <c r="B1642" s="53" t="s">
        <v>12295</v>
      </c>
    </row>
    <row r="1643" spans="1:2" x14ac:dyDescent="0.25">
      <c r="A1643" s="54" t="s">
        <v>9051</v>
      </c>
      <c r="B1643" s="54" t="s">
        <v>12296</v>
      </c>
    </row>
    <row r="1644" spans="1:2" x14ac:dyDescent="0.25">
      <c r="A1644" s="53" t="s">
        <v>9052</v>
      </c>
      <c r="B1644" s="53" t="s">
        <v>12297</v>
      </c>
    </row>
    <row r="1645" spans="1:2" x14ac:dyDescent="0.25">
      <c r="A1645" s="54" t="s">
        <v>9053</v>
      </c>
      <c r="B1645" s="54" t="s">
        <v>12298</v>
      </c>
    </row>
    <row r="1646" spans="1:2" x14ac:dyDescent="0.25">
      <c r="A1646" s="53" t="s">
        <v>9054</v>
      </c>
      <c r="B1646" s="53" t="s">
        <v>12299</v>
      </c>
    </row>
    <row r="1647" spans="1:2" x14ac:dyDescent="0.25">
      <c r="A1647" s="54" t="s">
        <v>9055</v>
      </c>
      <c r="B1647" s="54" t="s">
        <v>12300</v>
      </c>
    </row>
    <row r="1648" spans="1:2" x14ac:dyDescent="0.25">
      <c r="A1648" s="53" t="s">
        <v>9056</v>
      </c>
      <c r="B1648" s="53" t="s">
        <v>11230</v>
      </c>
    </row>
    <row r="1649" spans="1:2" x14ac:dyDescent="0.25">
      <c r="A1649" s="54" t="s">
        <v>9057</v>
      </c>
      <c r="B1649" s="54" t="s">
        <v>12301</v>
      </c>
    </row>
    <row r="1650" spans="1:2" x14ac:dyDescent="0.25">
      <c r="A1650" s="53" t="s">
        <v>9058</v>
      </c>
      <c r="B1650" s="53" t="s">
        <v>12302</v>
      </c>
    </row>
    <row r="1651" spans="1:2" x14ac:dyDescent="0.25">
      <c r="A1651" s="54" t="s">
        <v>9059</v>
      </c>
      <c r="B1651" s="54" t="s">
        <v>12303</v>
      </c>
    </row>
    <row r="1652" spans="1:2" x14ac:dyDescent="0.25">
      <c r="A1652" s="53" t="s">
        <v>9060</v>
      </c>
      <c r="B1652" s="53" t="s">
        <v>12304</v>
      </c>
    </row>
    <row r="1653" spans="1:2" x14ac:dyDescent="0.25">
      <c r="A1653" s="54" t="s">
        <v>9061</v>
      </c>
      <c r="B1653" s="54" t="s">
        <v>12305</v>
      </c>
    </row>
    <row r="1654" spans="1:2" x14ac:dyDescent="0.25">
      <c r="A1654" s="53" t="s">
        <v>9062</v>
      </c>
      <c r="B1654" s="53" t="s">
        <v>12306</v>
      </c>
    </row>
    <row r="1655" spans="1:2" x14ac:dyDescent="0.25">
      <c r="A1655" s="54" t="s">
        <v>9063</v>
      </c>
      <c r="B1655" s="54" t="s">
        <v>11957</v>
      </c>
    </row>
    <row r="1656" spans="1:2" x14ac:dyDescent="0.25">
      <c r="A1656" s="53" t="s">
        <v>9064</v>
      </c>
      <c r="B1656" s="53" t="s">
        <v>12307</v>
      </c>
    </row>
    <row r="1657" spans="1:2" x14ac:dyDescent="0.25">
      <c r="A1657" s="54" t="s">
        <v>9065</v>
      </c>
      <c r="B1657" s="54" t="s">
        <v>12308</v>
      </c>
    </row>
    <row r="1658" spans="1:2" x14ac:dyDescent="0.25">
      <c r="A1658" s="53" t="s">
        <v>9066</v>
      </c>
      <c r="B1658" s="53" t="s">
        <v>12309</v>
      </c>
    </row>
    <row r="1659" spans="1:2" x14ac:dyDescent="0.25">
      <c r="A1659" s="54" t="s">
        <v>9067</v>
      </c>
      <c r="B1659" s="54" t="s">
        <v>12310</v>
      </c>
    </row>
    <row r="1660" spans="1:2" x14ac:dyDescent="0.25">
      <c r="A1660" s="53" t="s">
        <v>9068</v>
      </c>
      <c r="B1660" s="53" t="s">
        <v>12311</v>
      </c>
    </row>
    <row r="1661" spans="1:2" x14ac:dyDescent="0.25">
      <c r="A1661" s="54" t="s">
        <v>9069</v>
      </c>
      <c r="B1661" s="54" t="s">
        <v>10852</v>
      </c>
    </row>
    <row r="1662" spans="1:2" x14ac:dyDescent="0.25">
      <c r="A1662" s="53" t="s">
        <v>9070</v>
      </c>
      <c r="B1662" s="53" t="s">
        <v>12312</v>
      </c>
    </row>
    <row r="1663" spans="1:2" x14ac:dyDescent="0.25">
      <c r="A1663" s="54" t="s">
        <v>9071</v>
      </c>
      <c r="B1663" s="54" t="s">
        <v>12313</v>
      </c>
    </row>
    <row r="1664" spans="1:2" x14ac:dyDescent="0.25">
      <c r="A1664" s="53" t="s">
        <v>9072</v>
      </c>
      <c r="B1664" s="53" t="s">
        <v>12314</v>
      </c>
    </row>
    <row r="1665" spans="1:2" x14ac:dyDescent="0.25">
      <c r="A1665" s="54" t="s">
        <v>9073</v>
      </c>
      <c r="B1665" s="54" t="s">
        <v>12315</v>
      </c>
    </row>
    <row r="1666" spans="1:2" x14ac:dyDescent="0.25">
      <c r="A1666" s="53" t="s">
        <v>9074</v>
      </c>
      <c r="B1666" s="53" t="s">
        <v>12316</v>
      </c>
    </row>
    <row r="1667" spans="1:2" x14ac:dyDescent="0.25">
      <c r="A1667" s="54" t="s">
        <v>9075</v>
      </c>
      <c r="B1667" s="54" t="s">
        <v>12317</v>
      </c>
    </row>
    <row r="1668" spans="1:2" x14ac:dyDescent="0.25">
      <c r="A1668" s="53" t="s">
        <v>9076</v>
      </c>
      <c r="B1668" s="53" t="s">
        <v>12318</v>
      </c>
    </row>
    <row r="1669" spans="1:2" x14ac:dyDescent="0.25">
      <c r="A1669" s="54" t="s">
        <v>9077</v>
      </c>
      <c r="B1669" s="54" t="s">
        <v>12319</v>
      </c>
    </row>
    <row r="1670" spans="1:2" x14ac:dyDescent="0.25">
      <c r="A1670" s="53" t="s">
        <v>9078</v>
      </c>
      <c r="B1670" s="53" t="s">
        <v>12320</v>
      </c>
    </row>
    <row r="1671" spans="1:2" x14ac:dyDescent="0.25">
      <c r="A1671" s="54" t="s">
        <v>9079</v>
      </c>
      <c r="B1671" s="54" t="s">
        <v>12321</v>
      </c>
    </row>
    <row r="1672" spans="1:2" x14ac:dyDescent="0.25">
      <c r="A1672" s="53" t="s">
        <v>9080</v>
      </c>
      <c r="B1672" s="53" t="s">
        <v>12322</v>
      </c>
    </row>
    <row r="1673" spans="1:2" x14ac:dyDescent="0.25">
      <c r="A1673" s="54" t="s">
        <v>9081</v>
      </c>
      <c r="B1673" s="54" t="s">
        <v>12323</v>
      </c>
    </row>
    <row r="1674" spans="1:2" x14ac:dyDescent="0.25">
      <c r="A1674" s="53" t="s">
        <v>9082</v>
      </c>
      <c r="B1674" s="53" t="s">
        <v>12324</v>
      </c>
    </row>
    <row r="1675" spans="1:2" x14ac:dyDescent="0.25">
      <c r="A1675" s="54" t="s">
        <v>9083</v>
      </c>
      <c r="B1675" s="54" t="s">
        <v>11654</v>
      </c>
    </row>
    <row r="1676" spans="1:2" x14ac:dyDescent="0.25">
      <c r="A1676" s="53" t="s">
        <v>9084</v>
      </c>
      <c r="B1676" s="53" t="s">
        <v>12325</v>
      </c>
    </row>
    <row r="1677" spans="1:2" x14ac:dyDescent="0.25">
      <c r="A1677" s="54" t="s">
        <v>9085</v>
      </c>
      <c r="B1677" s="54" t="s">
        <v>12326</v>
      </c>
    </row>
    <row r="1678" spans="1:2" x14ac:dyDescent="0.25">
      <c r="A1678" s="53" t="s">
        <v>9086</v>
      </c>
      <c r="B1678" s="53" t="s">
        <v>11034</v>
      </c>
    </row>
    <row r="1679" spans="1:2" x14ac:dyDescent="0.25">
      <c r="A1679" s="54" t="s">
        <v>9087</v>
      </c>
      <c r="B1679" s="54" t="s">
        <v>12327</v>
      </c>
    </row>
    <row r="1680" spans="1:2" x14ac:dyDescent="0.25">
      <c r="A1680" s="53" t="s">
        <v>9088</v>
      </c>
      <c r="B1680" s="53" t="s">
        <v>11800</v>
      </c>
    </row>
    <row r="1681" spans="1:2" x14ac:dyDescent="0.25">
      <c r="A1681" s="54" t="s">
        <v>9089</v>
      </c>
      <c r="B1681" s="54" t="s">
        <v>12328</v>
      </c>
    </row>
    <row r="1682" spans="1:2" x14ac:dyDescent="0.25">
      <c r="A1682" s="53" t="s">
        <v>9090</v>
      </c>
      <c r="B1682" s="53" t="s">
        <v>12329</v>
      </c>
    </row>
    <row r="1683" spans="1:2" x14ac:dyDescent="0.25">
      <c r="A1683" s="54" t="s">
        <v>9091</v>
      </c>
      <c r="B1683" s="54" t="s">
        <v>12330</v>
      </c>
    </row>
    <row r="1684" spans="1:2" x14ac:dyDescent="0.25">
      <c r="A1684" s="53" t="s">
        <v>9092</v>
      </c>
      <c r="B1684" s="53" t="s">
        <v>10920</v>
      </c>
    </row>
    <row r="1685" spans="1:2" x14ac:dyDescent="0.25">
      <c r="A1685" s="54" t="s">
        <v>9093</v>
      </c>
      <c r="B1685" s="54" t="s">
        <v>12331</v>
      </c>
    </row>
    <row r="1686" spans="1:2" x14ac:dyDescent="0.25">
      <c r="A1686" s="53" t="s">
        <v>9094</v>
      </c>
      <c r="B1686" s="53" t="s">
        <v>12332</v>
      </c>
    </row>
    <row r="1687" spans="1:2" x14ac:dyDescent="0.25">
      <c r="A1687" s="54" t="s">
        <v>9095</v>
      </c>
      <c r="B1687" s="54" t="s">
        <v>12276</v>
      </c>
    </row>
    <row r="1688" spans="1:2" x14ac:dyDescent="0.25">
      <c r="A1688" s="53" t="s">
        <v>9096</v>
      </c>
      <c r="B1688" s="53" t="s">
        <v>11440</v>
      </c>
    </row>
    <row r="1689" spans="1:2" x14ac:dyDescent="0.25">
      <c r="A1689" s="54" t="s">
        <v>9097</v>
      </c>
      <c r="B1689" s="54" t="s">
        <v>12333</v>
      </c>
    </row>
    <row r="1690" spans="1:2" x14ac:dyDescent="0.25">
      <c r="A1690" s="53" t="s">
        <v>9098</v>
      </c>
      <c r="B1690" s="53" t="s">
        <v>11424</v>
      </c>
    </row>
    <row r="1691" spans="1:2" x14ac:dyDescent="0.25">
      <c r="A1691" s="54" t="s">
        <v>9099</v>
      </c>
      <c r="B1691" s="54" t="s">
        <v>12334</v>
      </c>
    </row>
    <row r="1692" spans="1:2" x14ac:dyDescent="0.25">
      <c r="A1692" s="53" t="s">
        <v>9100</v>
      </c>
      <c r="B1692" s="53" t="s">
        <v>12335</v>
      </c>
    </row>
    <row r="1693" spans="1:2" x14ac:dyDescent="0.25">
      <c r="A1693" s="54" t="s">
        <v>9101</v>
      </c>
      <c r="B1693" s="54" t="s">
        <v>12336</v>
      </c>
    </row>
    <row r="1694" spans="1:2" x14ac:dyDescent="0.25">
      <c r="A1694" s="53" t="s">
        <v>9102</v>
      </c>
      <c r="B1694" s="53" t="s">
        <v>12337</v>
      </c>
    </row>
    <row r="1695" spans="1:2" x14ac:dyDescent="0.25">
      <c r="A1695" s="54" t="s">
        <v>9103</v>
      </c>
      <c r="B1695" s="54" t="s">
        <v>12338</v>
      </c>
    </row>
    <row r="1696" spans="1:2" x14ac:dyDescent="0.25">
      <c r="A1696" s="53" t="s">
        <v>9104</v>
      </c>
      <c r="B1696" s="53" t="s">
        <v>12339</v>
      </c>
    </row>
    <row r="1697" spans="1:2" x14ac:dyDescent="0.25">
      <c r="A1697" s="54" t="s">
        <v>9105</v>
      </c>
      <c r="B1697" s="54" t="s">
        <v>12340</v>
      </c>
    </row>
    <row r="1698" spans="1:2" x14ac:dyDescent="0.25">
      <c r="A1698" s="53" t="s">
        <v>9106</v>
      </c>
      <c r="B1698" s="53" t="s">
        <v>12341</v>
      </c>
    </row>
    <row r="1699" spans="1:2" x14ac:dyDescent="0.25">
      <c r="A1699" s="54" t="s">
        <v>9107</v>
      </c>
      <c r="B1699" s="54" t="s">
        <v>12342</v>
      </c>
    </row>
    <row r="1700" spans="1:2" x14ac:dyDescent="0.25">
      <c r="A1700" s="53" t="s">
        <v>9108</v>
      </c>
      <c r="B1700" s="53" t="s">
        <v>12343</v>
      </c>
    </row>
    <row r="1701" spans="1:2" x14ac:dyDescent="0.25">
      <c r="A1701" s="54" t="s">
        <v>9109</v>
      </c>
      <c r="B1701" s="54" t="s">
        <v>12344</v>
      </c>
    </row>
    <row r="1702" spans="1:2" x14ac:dyDescent="0.25">
      <c r="A1702" s="53" t="s">
        <v>9110</v>
      </c>
      <c r="B1702" s="53" t="s">
        <v>12345</v>
      </c>
    </row>
    <row r="1703" spans="1:2" x14ac:dyDescent="0.25">
      <c r="A1703" s="54" t="s">
        <v>9111</v>
      </c>
      <c r="B1703" s="54" t="s">
        <v>12346</v>
      </c>
    </row>
    <row r="1704" spans="1:2" x14ac:dyDescent="0.25">
      <c r="A1704" s="53" t="s">
        <v>9112</v>
      </c>
      <c r="B1704" s="53" t="s">
        <v>12347</v>
      </c>
    </row>
    <row r="1705" spans="1:2" x14ac:dyDescent="0.25">
      <c r="A1705" s="54" t="s">
        <v>9113</v>
      </c>
      <c r="B1705" s="54" t="s">
        <v>10888</v>
      </c>
    </row>
    <row r="1706" spans="1:2" x14ac:dyDescent="0.25">
      <c r="A1706" s="53" t="s">
        <v>9114</v>
      </c>
      <c r="B1706" s="53" t="s">
        <v>12348</v>
      </c>
    </row>
    <row r="1707" spans="1:2" x14ac:dyDescent="0.25">
      <c r="A1707" s="54" t="s">
        <v>9115</v>
      </c>
      <c r="B1707" s="54" t="s">
        <v>12349</v>
      </c>
    </row>
    <row r="1708" spans="1:2" x14ac:dyDescent="0.25">
      <c r="A1708" s="53" t="s">
        <v>9116</v>
      </c>
      <c r="B1708" s="53" t="s">
        <v>12350</v>
      </c>
    </row>
    <row r="1709" spans="1:2" x14ac:dyDescent="0.25">
      <c r="A1709" s="54" t="s">
        <v>9117</v>
      </c>
      <c r="B1709" s="54" t="s">
        <v>12351</v>
      </c>
    </row>
    <row r="1710" spans="1:2" x14ac:dyDescent="0.25">
      <c r="A1710" s="53" t="s">
        <v>9118</v>
      </c>
      <c r="B1710" s="53" t="s">
        <v>12352</v>
      </c>
    </row>
    <row r="1711" spans="1:2" x14ac:dyDescent="0.25">
      <c r="A1711" s="54" t="s">
        <v>9119</v>
      </c>
      <c r="B1711" s="54" t="s">
        <v>12353</v>
      </c>
    </row>
    <row r="1712" spans="1:2" x14ac:dyDescent="0.25">
      <c r="A1712" s="53" t="s">
        <v>9120</v>
      </c>
      <c r="B1712" s="53" t="s">
        <v>12354</v>
      </c>
    </row>
    <row r="1713" spans="1:2" x14ac:dyDescent="0.25">
      <c r="A1713" s="54" t="s">
        <v>9121</v>
      </c>
      <c r="B1713" s="54" t="s">
        <v>12355</v>
      </c>
    </row>
    <row r="1714" spans="1:2" x14ac:dyDescent="0.25">
      <c r="A1714" s="53" t="s">
        <v>9122</v>
      </c>
      <c r="B1714" s="53" t="s">
        <v>12356</v>
      </c>
    </row>
    <row r="1715" spans="1:2" x14ac:dyDescent="0.25">
      <c r="A1715" s="54" t="s">
        <v>9123</v>
      </c>
      <c r="B1715" s="54" t="s">
        <v>12357</v>
      </c>
    </row>
    <row r="1716" spans="1:2" x14ac:dyDescent="0.25">
      <c r="A1716" s="53" t="s">
        <v>9124</v>
      </c>
      <c r="B1716" s="53" t="s">
        <v>12358</v>
      </c>
    </row>
    <row r="1717" spans="1:2" x14ac:dyDescent="0.25">
      <c r="A1717" s="54" t="s">
        <v>9125</v>
      </c>
      <c r="B1717" s="54" t="s">
        <v>12359</v>
      </c>
    </row>
    <row r="1718" spans="1:2" x14ac:dyDescent="0.25">
      <c r="A1718" s="53" t="s">
        <v>9126</v>
      </c>
      <c r="B1718" s="53" t="s">
        <v>12360</v>
      </c>
    </row>
    <row r="1719" spans="1:2" x14ac:dyDescent="0.25">
      <c r="A1719" s="54" t="s">
        <v>9127</v>
      </c>
      <c r="B1719" s="54" t="s">
        <v>12361</v>
      </c>
    </row>
    <row r="1720" spans="1:2" x14ac:dyDescent="0.25">
      <c r="A1720" s="53" t="s">
        <v>9128</v>
      </c>
      <c r="B1720" s="53" t="s">
        <v>12362</v>
      </c>
    </row>
    <row r="1721" spans="1:2" x14ac:dyDescent="0.25">
      <c r="A1721" s="54" t="s">
        <v>9129</v>
      </c>
      <c r="B1721" s="54" t="s">
        <v>12363</v>
      </c>
    </row>
    <row r="1722" spans="1:2" x14ac:dyDescent="0.25">
      <c r="A1722" s="53" t="s">
        <v>9130</v>
      </c>
      <c r="B1722" s="53" t="s">
        <v>12364</v>
      </c>
    </row>
    <row r="1723" spans="1:2" x14ac:dyDescent="0.25">
      <c r="A1723" s="54" t="s">
        <v>9131</v>
      </c>
      <c r="B1723" s="54" t="s">
        <v>12365</v>
      </c>
    </row>
    <row r="1724" spans="1:2" x14ac:dyDescent="0.25">
      <c r="A1724" s="53" t="s">
        <v>9132</v>
      </c>
      <c r="B1724" s="53" t="s">
        <v>12366</v>
      </c>
    </row>
    <row r="1725" spans="1:2" x14ac:dyDescent="0.25">
      <c r="A1725" s="54" t="s">
        <v>9133</v>
      </c>
      <c r="B1725" s="54" t="s">
        <v>12367</v>
      </c>
    </row>
    <row r="1726" spans="1:2" x14ac:dyDescent="0.25">
      <c r="A1726" s="53" t="s">
        <v>9134</v>
      </c>
      <c r="B1726" s="53" t="s">
        <v>12368</v>
      </c>
    </row>
    <row r="1727" spans="1:2" x14ac:dyDescent="0.25">
      <c r="A1727" s="54" t="s">
        <v>9135</v>
      </c>
      <c r="B1727" s="54" t="s">
        <v>12369</v>
      </c>
    </row>
    <row r="1728" spans="1:2" x14ac:dyDescent="0.25">
      <c r="A1728" s="53" t="s">
        <v>9136</v>
      </c>
      <c r="B1728" s="53" t="s">
        <v>12370</v>
      </c>
    </row>
    <row r="1729" spans="1:2" x14ac:dyDescent="0.25">
      <c r="A1729" s="54" t="s">
        <v>9137</v>
      </c>
      <c r="B1729" s="54" t="s">
        <v>12371</v>
      </c>
    </row>
    <row r="1730" spans="1:2" x14ac:dyDescent="0.25">
      <c r="A1730" s="53" t="s">
        <v>9138</v>
      </c>
      <c r="B1730" s="53" t="s">
        <v>12372</v>
      </c>
    </row>
    <row r="1731" spans="1:2" x14ac:dyDescent="0.25">
      <c r="A1731" s="54" t="s">
        <v>9139</v>
      </c>
      <c r="B1731" s="54" t="s">
        <v>12373</v>
      </c>
    </row>
    <row r="1732" spans="1:2" x14ac:dyDescent="0.25">
      <c r="A1732" s="53" t="s">
        <v>9140</v>
      </c>
      <c r="B1732" s="53" t="s">
        <v>12374</v>
      </c>
    </row>
    <row r="1733" spans="1:2" x14ac:dyDescent="0.25">
      <c r="A1733" s="54" t="s">
        <v>9141</v>
      </c>
      <c r="B1733" s="54" t="s">
        <v>12375</v>
      </c>
    </row>
    <row r="1734" spans="1:2" x14ac:dyDescent="0.25">
      <c r="A1734" s="53" t="s">
        <v>9142</v>
      </c>
      <c r="B1734" s="53" t="s">
        <v>12376</v>
      </c>
    </row>
    <row r="1735" spans="1:2" x14ac:dyDescent="0.25">
      <c r="A1735" s="54" t="s">
        <v>9143</v>
      </c>
      <c r="B1735" s="54" t="s">
        <v>12377</v>
      </c>
    </row>
    <row r="1736" spans="1:2" x14ac:dyDescent="0.25">
      <c r="A1736" s="53" t="s">
        <v>9144</v>
      </c>
      <c r="B1736" s="53" t="s">
        <v>12378</v>
      </c>
    </row>
    <row r="1737" spans="1:2" x14ac:dyDescent="0.25">
      <c r="A1737" s="54" t="s">
        <v>9145</v>
      </c>
      <c r="B1737" s="54" t="s">
        <v>12379</v>
      </c>
    </row>
    <row r="1738" spans="1:2" x14ac:dyDescent="0.25">
      <c r="A1738" s="53" t="s">
        <v>9146</v>
      </c>
      <c r="B1738" s="53" t="s">
        <v>12166</v>
      </c>
    </row>
    <row r="1739" spans="1:2" x14ac:dyDescent="0.25">
      <c r="A1739" s="54" t="s">
        <v>9147</v>
      </c>
      <c r="B1739" s="54" t="s">
        <v>12380</v>
      </c>
    </row>
    <row r="1740" spans="1:2" x14ac:dyDescent="0.25">
      <c r="A1740" s="53" t="s">
        <v>9148</v>
      </c>
      <c r="B1740" s="53" t="s">
        <v>12381</v>
      </c>
    </row>
    <row r="1741" spans="1:2" x14ac:dyDescent="0.25">
      <c r="A1741" s="54" t="s">
        <v>9149</v>
      </c>
      <c r="B1741" s="54" t="s">
        <v>12382</v>
      </c>
    </row>
    <row r="1742" spans="1:2" x14ac:dyDescent="0.25">
      <c r="A1742" s="53" t="s">
        <v>9150</v>
      </c>
      <c r="B1742" s="53" t="s">
        <v>12383</v>
      </c>
    </row>
    <row r="1743" spans="1:2" x14ac:dyDescent="0.25">
      <c r="A1743" s="54" t="s">
        <v>9151</v>
      </c>
      <c r="B1743" s="54" t="s">
        <v>12384</v>
      </c>
    </row>
    <row r="1744" spans="1:2" x14ac:dyDescent="0.25">
      <c r="A1744" s="53" t="s">
        <v>9152</v>
      </c>
      <c r="B1744" s="53" t="s">
        <v>12385</v>
      </c>
    </row>
    <row r="1745" spans="1:2" x14ac:dyDescent="0.25">
      <c r="A1745" s="54" t="s">
        <v>9153</v>
      </c>
      <c r="B1745" s="54" t="s">
        <v>12386</v>
      </c>
    </row>
    <row r="1746" spans="1:2" x14ac:dyDescent="0.25">
      <c r="A1746" s="53" t="s">
        <v>9154</v>
      </c>
      <c r="B1746" s="53" t="s">
        <v>12387</v>
      </c>
    </row>
    <row r="1747" spans="1:2" x14ac:dyDescent="0.25">
      <c r="A1747" s="54" t="s">
        <v>9155</v>
      </c>
      <c r="B1747" s="54" t="s">
        <v>12388</v>
      </c>
    </row>
    <row r="1748" spans="1:2" x14ac:dyDescent="0.25">
      <c r="A1748" s="53" t="s">
        <v>9156</v>
      </c>
      <c r="B1748" s="53" t="s">
        <v>12389</v>
      </c>
    </row>
    <row r="1749" spans="1:2" x14ac:dyDescent="0.25">
      <c r="A1749" s="54" t="s">
        <v>9157</v>
      </c>
      <c r="B1749" s="54" t="s">
        <v>12390</v>
      </c>
    </row>
    <row r="1750" spans="1:2" x14ac:dyDescent="0.25">
      <c r="A1750" s="53" t="s">
        <v>9158</v>
      </c>
      <c r="B1750" s="53" t="s">
        <v>10808</v>
      </c>
    </row>
    <row r="1751" spans="1:2" x14ac:dyDescent="0.25">
      <c r="A1751" s="54" t="s">
        <v>9159</v>
      </c>
      <c r="B1751" s="54" t="s">
        <v>12391</v>
      </c>
    </row>
    <row r="1752" spans="1:2" x14ac:dyDescent="0.25">
      <c r="A1752" s="53" t="s">
        <v>9160</v>
      </c>
      <c r="B1752" s="53" t="s">
        <v>12392</v>
      </c>
    </row>
    <row r="1753" spans="1:2" x14ac:dyDescent="0.25">
      <c r="A1753" s="54" t="s">
        <v>9161</v>
      </c>
      <c r="B1753" s="54" t="s">
        <v>12393</v>
      </c>
    </row>
    <row r="1754" spans="1:2" x14ac:dyDescent="0.25">
      <c r="A1754" s="53" t="s">
        <v>9162</v>
      </c>
      <c r="B1754" s="53" t="s">
        <v>12394</v>
      </c>
    </row>
    <row r="1755" spans="1:2" x14ac:dyDescent="0.25">
      <c r="A1755" s="54" t="s">
        <v>9163</v>
      </c>
      <c r="B1755" s="54" t="s">
        <v>11744</v>
      </c>
    </row>
    <row r="1756" spans="1:2" x14ac:dyDescent="0.25">
      <c r="A1756" s="53" t="s">
        <v>9164</v>
      </c>
      <c r="B1756" s="53" t="s">
        <v>12395</v>
      </c>
    </row>
    <row r="1757" spans="1:2" x14ac:dyDescent="0.25">
      <c r="A1757" s="54" t="s">
        <v>9165</v>
      </c>
      <c r="B1757" s="54" t="s">
        <v>11625</v>
      </c>
    </row>
    <row r="1758" spans="1:2" x14ac:dyDescent="0.25">
      <c r="A1758" s="53" t="s">
        <v>9166</v>
      </c>
      <c r="B1758" s="53" t="s">
        <v>12396</v>
      </c>
    </row>
    <row r="1759" spans="1:2" x14ac:dyDescent="0.25">
      <c r="A1759" s="54" t="s">
        <v>9167</v>
      </c>
      <c r="B1759" s="54" t="s">
        <v>12397</v>
      </c>
    </row>
    <row r="1760" spans="1:2" x14ac:dyDescent="0.25">
      <c r="A1760" s="53" t="s">
        <v>9168</v>
      </c>
      <c r="B1760" s="53" t="s">
        <v>12398</v>
      </c>
    </row>
    <row r="1761" spans="1:2" x14ac:dyDescent="0.25">
      <c r="A1761" s="54" t="s">
        <v>9169</v>
      </c>
      <c r="B1761" s="54" t="s">
        <v>11955</v>
      </c>
    </row>
    <row r="1762" spans="1:2" x14ac:dyDescent="0.25">
      <c r="A1762" s="53" t="s">
        <v>9170</v>
      </c>
      <c r="B1762" s="53" t="s">
        <v>12399</v>
      </c>
    </row>
    <row r="1763" spans="1:2" x14ac:dyDescent="0.25">
      <c r="A1763" s="54" t="s">
        <v>9171</v>
      </c>
      <c r="B1763" s="54" t="s">
        <v>12400</v>
      </c>
    </row>
    <row r="1764" spans="1:2" x14ac:dyDescent="0.25">
      <c r="A1764" s="53" t="s">
        <v>9172</v>
      </c>
      <c r="B1764" s="53" t="s">
        <v>12401</v>
      </c>
    </row>
    <row r="1765" spans="1:2" x14ac:dyDescent="0.25">
      <c r="A1765" s="54" t="s">
        <v>9173</v>
      </c>
      <c r="B1765" s="54" t="s">
        <v>12402</v>
      </c>
    </row>
    <row r="1766" spans="1:2" x14ac:dyDescent="0.25">
      <c r="A1766" s="53" t="s">
        <v>9174</v>
      </c>
      <c r="B1766" s="53" t="s">
        <v>12403</v>
      </c>
    </row>
    <row r="1767" spans="1:2" x14ac:dyDescent="0.25">
      <c r="A1767" s="54" t="s">
        <v>9175</v>
      </c>
      <c r="B1767" s="54" t="s">
        <v>12404</v>
      </c>
    </row>
    <row r="1768" spans="1:2" x14ac:dyDescent="0.25">
      <c r="A1768" s="53" t="s">
        <v>9176</v>
      </c>
      <c r="B1768" s="53" t="s">
        <v>12405</v>
      </c>
    </row>
    <row r="1769" spans="1:2" x14ac:dyDescent="0.25">
      <c r="A1769" s="54" t="s">
        <v>9177</v>
      </c>
      <c r="B1769" s="54" t="s">
        <v>12406</v>
      </c>
    </row>
    <row r="1770" spans="1:2" x14ac:dyDescent="0.25">
      <c r="A1770" s="53" t="s">
        <v>9178</v>
      </c>
      <c r="B1770" s="53" t="s">
        <v>11023</v>
      </c>
    </row>
    <row r="1771" spans="1:2" x14ac:dyDescent="0.25">
      <c r="A1771" s="54" t="s">
        <v>9179</v>
      </c>
      <c r="B1771" s="54" t="s">
        <v>12407</v>
      </c>
    </row>
    <row r="1772" spans="1:2" x14ac:dyDescent="0.25">
      <c r="A1772" s="53" t="s">
        <v>9180</v>
      </c>
      <c r="B1772" s="53" t="s">
        <v>12408</v>
      </c>
    </row>
    <row r="1773" spans="1:2" x14ac:dyDescent="0.25">
      <c r="A1773" s="54" t="s">
        <v>9181</v>
      </c>
      <c r="B1773" s="54" t="s">
        <v>12409</v>
      </c>
    </row>
    <row r="1774" spans="1:2" x14ac:dyDescent="0.25">
      <c r="A1774" s="53" t="s">
        <v>9182</v>
      </c>
      <c r="B1774" s="53" t="s">
        <v>11404</v>
      </c>
    </row>
    <row r="1775" spans="1:2" x14ac:dyDescent="0.25">
      <c r="A1775" s="54" t="s">
        <v>9183</v>
      </c>
      <c r="B1775" s="54" t="s">
        <v>12410</v>
      </c>
    </row>
    <row r="1776" spans="1:2" x14ac:dyDescent="0.25">
      <c r="A1776" s="53" t="s">
        <v>9184</v>
      </c>
      <c r="B1776" s="53" t="s">
        <v>12411</v>
      </c>
    </row>
    <row r="1777" spans="1:2" x14ac:dyDescent="0.25">
      <c r="A1777" s="54" t="s">
        <v>9185</v>
      </c>
      <c r="B1777" s="54" t="s">
        <v>12412</v>
      </c>
    </row>
    <row r="1778" spans="1:2" x14ac:dyDescent="0.25">
      <c r="A1778" s="53" t="s">
        <v>9186</v>
      </c>
      <c r="B1778" s="53" t="s">
        <v>12413</v>
      </c>
    </row>
    <row r="1779" spans="1:2" x14ac:dyDescent="0.25">
      <c r="A1779" s="54" t="s">
        <v>9187</v>
      </c>
      <c r="B1779" s="54" t="s">
        <v>10917</v>
      </c>
    </row>
    <row r="1780" spans="1:2" x14ac:dyDescent="0.25">
      <c r="A1780" s="53" t="s">
        <v>9188</v>
      </c>
      <c r="B1780" s="53" t="s">
        <v>12414</v>
      </c>
    </row>
    <row r="1781" spans="1:2" x14ac:dyDescent="0.25">
      <c r="A1781" s="54" t="s">
        <v>9189</v>
      </c>
      <c r="B1781" s="54" t="s">
        <v>12415</v>
      </c>
    </row>
    <row r="1782" spans="1:2" x14ac:dyDescent="0.25">
      <c r="A1782" s="53" t="s">
        <v>9190</v>
      </c>
      <c r="B1782" s="53" t="s">
        <v>12416</v>
      </c>
    </row>
    <row r="1783" spans="1:2" x14ac:dyDescent="0.25">
      <c r="A1783" s="54" t="s">
        <v>9191</v>
      </c>
      <c r="B1783" s="54" t="s">
        <v>12417</v>
      </c>
    </row>
    <row r="1784" spans="1:2" x14ac:dyDescent="0.25">
      <c r="A1784" s="53" t="s">
        <v>9192</v>
      </c>
      <c r="B1784" s="53" t="s">
        <v>12418</v>
      </c>
    </row>
    <row r="1785" spans="1:2" x14ac:dyDescent="0.25">
      <c r="A1785" s="54" t="s">
        <v>9193</v>
      </c>
      <c r="B1785" s="54" t="s">
        <v>12419</v>
      </c>
    </row>
    <row r="1786" spans="1:2" x14ac:dyDescent="0.25">
      <c r="A1786" s="53" t="s">
        <v>9194</v>
      </c>
      <c r="B1786" s="53" t="s">
        <v>12420</v>
      </c>
    </row>
    <row r="1787" spans="1:2" x14ac:dyDescent="0.25">
      <c r="A1787" s="54" t="s">
        <v>9195</v>
      </c>
      <c r="B1787" s="54" t="s">
        <v>12421</v>
      </c>
    </row>
    <row r="1788" spans="1:2" x14ac:dyDescent="0.25">
      <c r="A1788" s="53" t="s">
        <v>9196</v>
      </c>
      <c r="B1788" s="53" t="s">
        <v>12422</v>
      </c>
    </row>
    <row r="1789" spans="1:2" x14ac:dyDescent="0.25">
      <c r="A1789" s="54" t="s">
        <v>9197</v>
      </c>
      <c r="B1789" s="54" t="s">
        <v>12423</v>
      </c>
    </row>
    <row r="1790" spans="1:2" x14ac:dyDescent="0.25">
      <c r="A1790" s="53" t="s">
        <v>9198</v>
      </c>
      <c r="B1790" s="53" t="s">
        <v>12424</v>
      </c>
    </row>
    <row r="1791" spans="1:2" x14ac:dyDescent="0.25">
      <c r="A1791" s="54" t="s">
        <v>9199</v>
      </c>
      <c r="B1791" s="54" t="s">
        <v>12425</v>
      </c>
    </row>
    <row r="1792" spans="1:2" x14ac:dyDescent="0.25">
      <c r="A1792" s="53" t="s">
        <v>9200</v>
      </c>
      <c r="B1792" s="53" t="s">
        <v>12426</v>
      </c>
    </row>
    <row r="1793" spans="1:2" x14ac:dyDescent="0.25">
      <c r="A1793" s="54" t="s">
        <v>9201</v>
      </c>
      <c r="B1793" s="54" t="s">
        <v>12427</v>
      </c>
    </row>
    <row r="1794" spans="1:2" x14ac:dyDescent="0.25">
      <c r="A1794" s="53" t="s">
        <v>9202</v>
      </c>
      <c r="B1794" s="53" t="s">
        <v>12428</v>
      </c>
    </row>
    <row r="1795" spans="1:2" x14ac:dyDescent="0.25">
      <c r="A1795" s="54" t="s">
        <v>9203</v>
      </c>
      <c r="B1795" s="54" t="s">
        <v>12429</v>
      </c>
    </row>
    <row r="1796" spans="1:2" x14ac:dyDescent="0.25">
      <c r="A1796" s="53" t="s">
        <v>9204</v>
      </c>
      <c r="B1796" s="53" t="s">
        <v>12430</v>
      </c>
    </row>
    <row r="1797" spans="1:2" x14ac:dyDescent="0.25">
      <c r="A1797" s="54" t="s">
        <v>9205</v>
      </c>
      <c r="B1797" s="54" t="s">
        <v>12431</v>
      </c>
    </row>
    <row r="1798" spans="1:2" x14ac:dyDescent="0.25">
      <c r="A1798" s="53" t="s">
        <v>9206</v>
      </c>
      <c r="B1798" s="53" t="s">
        <v>12432</v>
      </c>
    </row>
    <row r="1799" spans="1:2" x14ac:dyDescent="0.25">
      <c r="A1799" s="54" t="s">
        <v>9207</v>
      </c>
      <c r="B1799" s="54" t="s">
        <v>11767</v>
      </c>
    </row>
    <row r="1800" spans="1:2" x14ac:dyDescent="0.25">
      <c r="A1800" s="53" t="s">
        <v>9208</v>
      </c>
      <c r="B1800" s="53" t="s">
        <v>12433</v>
      </c>
    </row>
    <row r="1801" spans="1:2" x14ac:dyDescent="0.25">
      <c r="A1801" s="54" t="s">
        <v>9209</v>
      </c>
      <c r="B1801" s="54" t="s">
        <v>12434</v>
      </c>
    </row>
    <row r="1802" spans="1:2" x14ac:dyDescent="0.25">
      <c r="A1802" s="53" t="s">
        <v>9210</v>
      </c>
      <c r="B1802" s="53" t="s">
        <v>12435</v>
      </c>
    </row>
    <row r="1803" spans="1:2" x14ac:dyDescent="0.25">
      <c r="A1803" s="54" t="s">
        <v>9211</v>
      </c>
      <c r="B1803" s="54" t="s">
        <v>12436</v>
      </c>
    </row>
    <row r="1804" spans="1:2" x14ac:dyDescent="0.25">
      <c r="A1804" s="53" t="s">
        <v>9212</v>
      </c>
      <c r="B1804" s="53" t="s">
        <v>12437</v>
      </c>
    </row>
    <row r="1805" spans="1:2" x14ac:dyDescent="0.25">
      <c r="A1805" s="54" t="s">
        <v>9213</v>
      </c>
      <c r="B1805" s="54" t="s">
        <v>12438</v>
      </c>
    </row>
    <row r="1806" spans="1:2" x14ac:dyDescent="0.25">
      <c r="A1806" s="53" t="s">
        <v>9214</v>
      </c>
      <c r="B1806" s="53" t="s">
        <v>12439</v>
      </c>
    </row>
    <row r="1807" spans="1:2" x14ac:dyDescent="0.25">
      <c r="A1807" s="54" t="s">
        <v>9215</v>
      </c>
      <c r="B1807" s="54" t="s">
        <v>12440</v>
      </c>
    </row>
    <row r="1808" spans="1:2" x14ac:dyDescent="0.25">
      <c r="A1808" s="53" t="s">
        <v>9216</v>
      </c>
      <c r="B1808" s="53" t="s">
        <v>12441</v>
      </c>
    </row>
    <row r="1809" spans="1:2" x14ac:dyDescent="0.25">
      <c r="A1809" s="54" t="s">
        <v>9217</v>
      </c>
      <c r="B1809" s="54" t="s">
        <v>12442</v>
      </c>
    </row>
    <row r="1810" spans="1:2" x14ac:dyDescent="0.25">
      <c r="A1810" s="53" t="s">
        <v>9218</v>
      </c>
      <c r="B1810" s="53" t="s">
        <v>12443</v>
      </c>
    </row>
    <row r="1811" spans="1:2" x14ac:dyDescent="0.25">
      <c r="A1811" s="54" t="s">
        <v>9219</v>
      </c>
      <c r="B1811" s="54" t="s">
        <v>12444</v>
      </c>
    </row>
    <row r="1812" spans="1:2" x14ac:dyDescent="0.25">
      <c r="A1812" s="53" t="s">
        <v>9220</v>
      </c>
      <c r="B1812" s="53" t="s">
        <v>12445</v>
      </c>
    </row>
    <row r="1813" spans="1:2" x14ac:dyDescent="0.25">
      <c r="A1813" s="54" t="s">
        <v>9221</v>
      </c>
      <c r="B1813" s="54" t="s">
        <v>12446</v>
      </c>
    </row>
    <row r="1814" spans="1:2" x14ac:dyDescent="0.25">
      <c r="A1814" s="53" t="s">
        <v>9222</v>
      </c>
      <c r="B1814" s="53" t="s">
        <v>12447</v>
      </c>
    </row>
    <row r="1815" spans="1:2" x14ac:dyDescent="0.25">
      <c r="A1815" s="54" t="s">
        <v>9223</v>
      </c>
      <c r="B1815" s="54" t="s">
        <v>12448</v>
      </c>
    </row>
    <row r="1816" spans="1:2" x14ac:dyDescent="0.25">
      <c r="A1816" s="53" t="s">
        <v>9224</v>
      </c>
      <c r="B1816" s="53" t="s">
        <v>12449</v>
      </c>
    </row>
    <row r="1817" spans="1:2" x14ac:dyDescent="0.25">
      <c r="A1817" s="54" t="s">
        <v>9225</v>
      </c>
      <c r="B1817" s="54" t="s">
        <v>12450</v>
      </c>
    </row>
    <row r="1818" spans="1:2" x14ac:dyDescent="0.25">
      <c r="A1818" s="53" t="s">
        <v>9226</v>
      </c>
      <c r="B1818" s="53" t="s">
        <v>12451</v>
      </c>
    </row>
    <row r="1819" spans="1:2" x14ac:dyDescent="0.25">
      <c r="A1819" s="54" t="s">
        <v>9227</v>
      </c>
      <c r="B1819" s="54" t="s">
        <v>12452</v>
      </c>
    </row>
    <row r="1820" spans="1:2" x14ac:dyDescent="0.25">
      <c r="A1820" s="53" t="s">
        <v>9228</v>
      </c>
      <c r="B1820" s="53" t="s">
        <v>12453</v>
      </c>
    </row>
    <row r="1821" spans="1:2" x14ac:dyDescent="0.25">
      <c r="A1821" s="54" t="s">
        <v>9229</v>
      </c>
      <c r="B1821" s="54" t="s">
        <v>12454</v>
      </c>
    </row>
    <row r="1822" spans="1:2" x14ac:dyDescent="0.25">
      <c r="A1822" s="53" t="s">
        <v>9230</v>
      </c>
      <c r="B1822" s="53" t="s">
        <v>12455</v>
      </c>
    </row>
    <row r="1823" spans="1:2" x14ac:dyDescent="0.25">
      <c r="A1823" s="54" t="s">
        <v>9231</v>
      </c>
      <c r="B1823" s="54" t="s">
        <v>12456</v>
      </c>
    </row>
    <row r="1824" spans="1:2" x14ac:dyDescent="0.25">
      <c r="A1824" s="53" t="s">
        <v>9232</v>
      </c>
      <c r="B1824" s="53" t="s">
        <v>12457</v>
      </c>
    </row>
    <row r="1825" spans="1:2" x14ac:dyDescent="0.25">
      <c r="A1825" s="54" t="s">
        <v>9233</v>
      </c>
      <c r="B1825" s="54" t="s">
        <v>12458</v>
      </c>
    </row>
    <row r="1826" spans="1:2" x14ac:dyDescent="0.25">
      <c r="A1826" s="53" t="s">
        <v>9234</v>
      </c>
      <c r="B1826" s="53" t="s">
        <v>12459</v>
      </c>
    </row>
    <row r="1827" spans="1:2" x14ac:dyDescent="0.25">
      <c r="A1827" s="54" t="s">
        <v>9235</v>
      </c>
      <c r="B1827" s="54" t="s">
        <v>12460</v>
      </c>
    </row>
    <row r="1828" spans="1:2" x14ac:dyDescent="0.25">
      <c r="A1828" s="53" t="s">
        <v>9236</v>
      </c>
      <c r="B1828" s="53" t="s">
        <v>12461</v>
      </c>
    </row>
    <row r="1829" spans="1:2" x14ac:dyDescent="0.25">
      <c r="A1829" s="54" t="s">
        <v>9237</v>
      </c>
      <c r="B1829" s="54" t="s">
        <v>12462</v>
      </c>
    </row>
    <row r="1830" spans="1:2" x14ac:dyDescent="0.25">
      <c r="A1830" s="53" t="s">
        <v>9238</v>
      </c>
      <c r="B1830" s="53" t="s">
        <v>11654</v>
      </c>
    </row>
    <row r="1831" spans="1:2" x14ac:dyDescent="0.25">
      <c r="A1831" s="54" t="s">
        <v>9239</v>
      </c>
      <c r="B1831" s="54" t="s">
        <v>12463</v>
      </c>
    </row>
    <row r="1832" spans="1:2" x14ac:dyDescent="0.25">
      <c r="A1832" s="53" t="s">
        <v>9240</v>
      </c>
      <c r="B1832" s="53" t="s">
        <v>12464</v>
      </c>
    </row>
    <row r="1833" spans="1:2" x14ac:dyDescent="0.25">
      <c r="A1833" s="54" t="s">
        <v>9241</v>
      </c>
      <c r="B1833" s="54" t="s">
        <v>12465</v>
      </c>
    </row>
    <row r="1834" spans="1:2" x14ac:dyDescent="0.25">
      <c r="A1834" s="53" t="s">
        <v>9242</v>
      </c>
      <c r="B1834" s="53" t="s">
        <v>12466</v>
      </c>
    </row>
    <row r="1835" spans="1:2" x14ac:dyDescent="0.25">
      <c r="A1835" s="54" t="s">
        <v>9243</v>
      </c>
      <c r="B1835" s="54" t="s">
        <v>12467</v>
      </c>
    </row>
    <row r="1836" spans="1:2" x14ac:dyDescent="0.25">
      <c r="A1836" s="53" t="s">
        <v>9244</v>
      </c>
      <c r="B1836" s="53" t="s">
        <v>12468</v>
      </c>
    </row>
    <row r="1837" spans="1:2" x14ac:dyDescent="0.25">
      <c r="A1837" s="54" t="s">
        <v>9245</v>
      </c>
      <c r="B1837" s="54" t="s">
        <v>12469</v>
      </c>
    </row>
    <row r="1838" spans="1:2" x14ac:dyDescent="0.25">
      <c r="A1838" s="53" t="s">
        <v>9246</v>
      </c>
      <c r="B1838" s="53" t="s">
        <v>12470</v>
      </c>
    </row>
    <row r="1839" spans="1:2" x14ac:dyDescent="0.25">
      <c r="A1839" s="54" t="s">
        <v>9247</v>
      </c>
      <c r="B1839" s="54" t="s">
        <v>12471</v>
      </c>
    </row>
    <row r="1840" spans="1:2" x14ac:dyDescent="0.25">
      <c r="A1840" s="53" t="s">
        <v>9248</v>
      </c>
      <c r="B1840" s="53" t="s">
        <v>12472</v>
      </c>
    </row>
    <row r="1841" spans="1:2" x14ac:dyDescent="0.25">
      <c r="A1841" s="54" t="s">
        <v>9249</v>
      </c>
      <c r="B1841" s="54" t="s">
        <v>10846</v>
      </c>
    </row>
    <row r="1842" spans="1:2" x14ac:dyDescent="0.25">
      <c r="A1842" s="53" t="s">
        <v>9250</v>
      </c>
      <c r="B1842" s="53" t="s">
        <v>10930</v>
      </c>
    </row>
    <row r="1843" spans="1:2" x14ac:dyDescent="0.25">
      <c r="A1843" s="54" t="s">
        <v>9251</v>
      </c>
      <c r="B1843" s="54" t="s">
        <v>12401</v>
      </c>
    </row>
    <row r="1844" spans="1:2" x14ac:dyDescent="0.25">
      <c r="A1844" s="53" t="s">
        <v>9252</v>
      </c>
      <c r="B1844" s="53" t="s">
        <v>12473</v>
      </c>
    </row>
    <row r="1845" spans="1:2" x14ac:dyDescent="0.25">
      <c r="A1845" s="54" t="s">
        <v>9253</v>
      </c>
      <c r="B1845" s="54" t="s">
        <v>12474</v>
      </c>
    </row>
    <row r="1846" spans="1:2" x14ac:dyDescent="0.25">
      <c r="A1846" s="53" t="s">
        <v>9254</v>
      </c>
      <c r="B1846" s="53" t="s">
        <v>12475</v>
      </c>
    </row>
    <row r="1847" spans="1:2" x14ac:dyDescent="0.25">
      <c r="A1847" s="54" t="s">
        <v>9255</v>
      </c>
      <c r="B1847" s="54" t="s">
        <v>12476</v>
      </c>
    </row>
    <row r="1848" spans="1:2" x14ac:dyDescent="0.25">
      <c r="A1848" s="53" t="s">
        <v>9256</v>
      </c>
      <c r="B1848" s="53" t="s">
        <v>12477</v>
      </c>
    </row>
    <row r="1849" spans="1:2" x14ac:dyDescent="0.25">
      <c r="A1849" s="54" t="s">
        <v>9257</v>
      </c>
      <c r="B1849" s="54" t="s">
        <v>12478</v>
      </c>
    </row>
    <row r="1850" spans="1:2" x14ac:dyDescent="0.25">
      <c r="A1850" s="53" t="s">
        <v>9258</v>
      </c>
      <c r="B1850" s="53" t="s">
        <v>12397</v>
      </c>
    </row>
    <row r="1851" spans="1:2" x14ac:dyDescent="0.25">
      <c r="A1851" s="54" t="s">
        <v>9259</v>
      </c>
      <c r="B1851" s="54" t="s">
        <v>12479</v>
      </c>
    </row>
    <row r="1852" spans="1:2" x14ac:dyDescent="0.25">
      <c r="A1852" s="53" t="s">
        <v>9260</v>
      </c>
      <c r="B1852" s="53" t="s">
        <v>11205</v>
      </c>
    </row>
    <row r="1853" spans="1:2" x14ac:dyDescent="0.25">
      <c r="A1853" s="54" t="s">
        <v>9261</v>
      </c>
      <c r="B1853" s="54" t="s">
        <v>12480</v>
      </c>
    </row>
    <row r="1854" spans="1:2" x14ac:dyDescent="0.25">
      <c r="A1854" s="53" t="s">
        <v>9262</v>
      </c>
      <c r="B1854" s="53" t="s">
        <v>12481</v>
      </c>
    </row>
    <row r="1855" spans="1:2" x14ac:dyDescent="0.25">
      <c r="A1855" s="54" t="s">
        <v>9263</v>
      </c>
      <c r="B1855" s="54" t="s">
        <v>12482</v>
      </c>
    </row>
    <row r="1856" spans="1:2" x14ac:dyDescent="0.25">
      <c r="A1856" s="53" t="s">
        <v>9264</v>
      </c>
      <c r="B1856" s="53" t="s">
        <v>12483</v>
      </c>
    </row>
    <row r="1857" spans="1:2" x14ac:dyDescent="0.25">
      <c r="A1857" s="54" t="s">
        <v>9265</v>
      </c>
      <c r="B1857" s="54" t="s">
        <v>12484</v>
      </c>
    </row>
    <row r="1858" spans="1:2" x14ac:dyDescent="0.25">
      <c r="A1858" s="53" t="s">
        <v>9266</v>
      </c>
      <c r="B1858" s="53" t="s">
        <v>12485</v>
      </c>
    </row>
    <row r="1859" spans="1:2" x14ac:dyDescent="0.25">
      <c r="A1859" s="54" t="s">
        <v>9267</v>
      </c>
      <c r="B1859" s="54" t="s">
        <v>12486</v>
      </c>
    </row>
    <row r="1860" spans="1:2" x14ac:dyDescent="0.25">
      <c r="A1860" s="54" t="s">
        <v>9268</v>
      </c>
      <c r="B1860" s="54" t="s">
        <v>12487</v>
      </c>
    </row>
    <row r="1861" spans="1:2" x14ac:dyDescent="0.25">
      <c r="A1861" s="53" t="s">
        <v>9269</v>
      </c>
      <c r="B1861" s="53" t="s">
        <v>12488</v>
      </c>
    </row>
    <row r="1862" spans="1:2" x14ac:dyDescent="0.25">
      <c r="A1862" s="54" t="s">
        <v>9270</v>
      </c>
      <c r="B1862" s="54" t="s">
        <v>12489</v>
      </c>
    </row>
    <row r="1863" spans="1:2" x14ac:dyDescent="0.25">
      <c r="A1863" s="53" t="s">
        <v>9271</v>
      </c>
      <c r="B1863" s="53" t="s">
        <v>12490</v>
      </c>
    </row>
    <row r="1864" spans="1:2" x14ac:dyDescent="0.25">
      <c r="A1864" s="54" t="s">
        <v>9272</v>
      </c>
      <c r="B1864" s="54" t="s">
        <v>12491</v>
      </c>
    </row>
    <row r="1865" spans="1:2" x14ac:dyDescent="0.25">
      <c r="A1865" s="53" t="s">
        <v>9273</v>
      </c>
      <c r="B1865" s="53" t="s">
        <v>12492</v>
      </c>
    </row>
    <row r="1866" spans="1:2" x14ac:dyDescent="0.25">
      <c r="A1866" s="54" t="s">
        <v>9274</v>
      </c>
      <c r="B1866" s="54" t="s">
        <v>12493</v>
      </c>
    </row>
    <row r="1867" spans="1:2" x14ac:dyDescent="0.25">
      <c r="A1867" s="53" t="s">
        <v>9275</v>
      </c>
      <c r="B1867" s="53" t="s">
        <v>12494</v>
      </c>
    </row>
    <row r="1868" spans="1:2" x14ac:dyDescent="0.25">
      <c r="A1868" s="54" t="s">
        <v>9276</v>
      </c>
      <c r="B1868" s="54" t="s">
        <v>12495</v>
      </c>
    </row>
    <row r="1869" spans="1:2" x14ac:dyDescent="0.25">
      <c r="A1869" s="53" t="s">
        <v>9277</v>
      </c>
      <c r="B1869" s="53" t="s">
        <v>11226</v>
      </c>
    </row>
    <row r="1870" spans="1:2" x14ac:dyDescent="0.25">
      <c r="A1870" s="54" t="s">
        <v>9278</v>
      </c>
      <c r="B1870" s="54" t="s">
        <v>12496</v>
      </c>
    </row>
    <row r="1871" spans="1:2" x14ac:dyDescent="0.25">
      <c r="A1871" s="53" t="s">
        <v>9279</v>
      </c>
      <c r="B1871" s="53" t="s">
        <v>12497</v>
      </c>
    </row>
    <row r="1872" spans="1:2" x14ac:dyDescent="0.25">
      <c r="A1872" s="54" t="s">
        <v>9280</v>
      </c>
      <c r="B1872" s="54" t="s">
        <v>12498</v>
      </c>
    </row>
    <row r="1873" spans="1:2" x14ac:dyDescent="0.25">
      <c r="A1873" s="53" t="s">
        <v>9281</v>
      </c>
      <c r="B1873" s="53" t="s">
        <v>12499</v>
      </c>
    </row>
    <row r="1874" spans="1:2" x14ac:dyDescent="0.25">
      <c r="A1874" s="54" t="s">
        <v>9282</v>
      </c>
      <c r="B1874" s="54" t="s">
        <v>12500</v>
      </c>
    </row>
    <row r="1875" spans="1:2" x14ac:dyDescent="0.25">
      <c r="A1875" s="53" t="s">
        <v>9283</v>
      </c>
      <c r="B1875" s="53" t="s">
        <v>12501</v>
      </c>
    </row>
    <row r="1876" spans="1:2" x14ac:dyDescent="0.25">
      <c r="A1876" s="54" t="s">
        <v>9284</v>
      </c>
      <c r="B1876" s="54" t="s">
        <v>12502</v>
      </c>
    </row>
    <row r="1877" spans="1:2" x14ac:dyDescent="0.25">
      <c r="A1877" s="53" t="s">
        <v>9285</v>
      </c>
      <c r="B1877" s="53" t="s">
        <v>12503</v>
      </c>
    </row>
    <row r="1878" spans="1:2" x14ac:dyDescent="0.25">
      <c r="A1878" s="54" t="s">
        <v>9286</v>
      </c>
      <c r="B1878" s="54" t="s">
        <v>12504</v>
      </c>
    </row>
    <row r="1879" spans="1:2" x14ac:dyDescent="0.25">
      <c r="A1879" s="53" t="s">
        <v>9287</v>
      </c>
      <c r="B1879" s="53" t="s">
        <v>12505</v>
      </c>
    </row>
    <row r="1880" spans="1:2" x14ac:dyDescent="0.25">
      <c r="A1880" s="54" t="s">
        <v>9288</v>
      </c>
      <c r="B1880" s="54" t="s">
        <v>12506</v>
      </c>
    </row>
    <row r="1881" spans="1:2" x14ac:dyDescent="0.25">
      <c r="A1881" s="53" t="s">
        <v>9289</v>
      </c>
      <c r="B1881" s="53" t="s">
        <v>12507</v>
      </c>
    </row>
    <row r="1882" spans="1:2" x14ac:dyDescent="0.25">
      <c r="A1882" s="54" t="s">
        <v>9290</v>
      </c>
      <c r="B1882" s="54" t="s">
        <v>12508</v>
      </c>
    </row>
    <row r="1883" spans="1:2" x14ac:dyDescent="0.25">
      <c r="A1883" s="53" t="s">
        <v>9291</v>
      </c>
      <c r="B1883" s="53" t="s">
        <v>12509</v>
      </c>
    </row>
    <row r="1884" spans="1:2" x14ac:dyDescent="0.25">
      <c r="A1884" s="54" t="s">
        <v>9292</v>
      </c>
      <c r="B1884" s="54" t="s">
        <v>12510</v>
      </c>
    </row>
    <row r="1885" spans="1:2" x14ac:dyDescent="0.25">
      <c r="A1885" s="53" t="s">
        <v>9293</v>
      </c>
      <c r="B1885" s="53" t="s">
        <v>12511</v>
      </c>
    </row>
    <row r="1886" spans="1:2" x14ac:dyDescent="0.25">
      <c r="A1886" s="54" t="s">
        <v>9294</v>
      </c>
      <c r="B1886" s="54" t="s">
        <v>12512</v>
      </c>
    </row>
    <row r="1887" spans="1:2" x14ac:dyDescent="0.25">
      <c r="A1887" s="53" t="s">
        <v>9295</v>
      </c>
      <c r="B1887" s="53" t="s">
        <v>12098</v>
      </c>
    </row>
    <row r="1888" spans="1:2" x14ac:dyDescent="0.25">
      <c r="A1888" s="54" t="s">
        <v>9296</v>
      </c>
      <c r="B1888" s="54" t="s">
        <v>12513</v>
      </c>
    </row>
    <row r="1889" spans="1:2" x14ac:dyDescent="0.25">
      <c r="A1889" s="53" t="s">
        <v>9297</v>
      </c>
      <c r="B1889" s="53" t="s">
        <v>12514</v>
      </c>
    </row>
    <row r="1890" spans="1:2" x14ac:dyDescent="0.25">
      <c r="A1890" s="54" t="s">
        <v>9298</v>
      </c>
      <c r="B1890" s="54" t="s">
        <v>12515</v>
      </c>
    </row>
    <row r="1891" spans="1:2" x14ac:dyDescent="0.25">
      <c r="A1891" s="53" t="s">
        <v>9299</v>
      </c>
      <c r="B1891" s="53" t="s">
        <v>11604</v>
      </c>
    </row>
    <row r="1892" spans="1:2" x14ac:dyDescent="0.25">
      <c r="A1892" s="54" t="s">
        <v>9300</v>
      </c>
      <c r="B1892" s="54" t="s">
        <v>11282</v>
      </c>
    </row>
    <row r="1893" spans="1:2" x14ac:dyDescent="0.25">
      <c r="A1893" s="53" t="s">
        <v>9301</v>
      </c>
      <c r="B1893" s="53" t="s">
        <v>12516</v>
      </c>
    </row>
    <row r="1894" spans="1:2" x14ac:dyDescent="0.25">
      <c r="A1894" s="54" t="s">
        <v>9302</v>
      </c>
      <c r="B1894" s="54" t="s">
        <v>11302</v>
      </c>
    </row>
    <row r="1895" spans="1:2" x14ac:dyDescent="0.25">
      <c r="A1895" s="53" t="s">
        <v>9303</v>
      </c>
      <c r="B1895" s="53" t="s">
        <v>12326</v>
      </c>
    </row>
    <row r="1896" spans="1:2" x14ac:dyDescent="0.25">
      <c r="A1896" s="54" t="s">
        <v>9304</v>
      </c>
      <c r="B1896" s="54" t="s">
        <v>11396</v>
      </c>
    </row>
    <row r="1897" spans="1:2" x14ac:dyDescent="0.25">
      <c r="A1897" s="53" t="s">
        <v>9305</v>
      </c>
      <c r="B1897" s="53" t="s">
        <v>12517</v>
      </c>
    </row>
    <row r="1898" spans="1:2" x14ac:dyDescent="0.25">
      <c r="A1898" s="54" t="s">
        <v>9306</v>
      </c>
      <c r="B1898" s="54" t="s">
        <v>11887</v>
      </c>
    </row>
    <row r="1899" spans="1:2" x14ac:dyDescent="0.25">
      <c r="A1899" s="53" t="s">
        <v>9307</v>
      </c>
      <c r="B1899" s="53" t="s">
        <v>11031</v>
      </c>
    </row>
    <row r="1900" spans="1:2" x14ac:dyDescent="0.25">
      <c r="A1900" s="54" t="s">
        <v>9308</v>
      </c>
      <c r="B1900" s="54" t="s">
        <v>12518</v>
      </c>
    </row>
    <row r="1901" spans="1:2" x14ac:dyDescent="0.25">
      <c r="A1901" s="53" t="s">
        <v>9309</v>
      </c>
      <c r="B1901" s="53" t="s">
        <v>12519</v>
      </c>
    </row>
    <row r="1902" spans="1:2" x14ac:dyDescent="0.25">
      <c r="A1902" s="54" t="s">
        <v>9310</v>
      </c>
      <c r="B1902" s="54" t="s">
        <v>12460</v>
      </c>
    </row>
    <row r="1903" spans="1:2" x14ac:dyDescent="0.25">
      <c r="A1903" s="53" t="s">
        <v>9311</v>
      </c>
      <c r="B1903" s="53" t="s">
        <v>12520</v>
      </c>
    </row>
    <row r="1904" spans="1:2" x14ac:dyDescent="0.25">
      <c r="A1904" s="54" t="s">
        <v>9312</v>
      </c>
      <c r="B1904" s="54" t="s">
        <v>12521</v>
      </c>
    </row>
    <row r="1905" spans="1:2" x14ac:dyDescent="0.25">
      <c r="A1905" s="53" t="s">
        <v>9313</v>
      </c>
      <c r="B1905" s="53" t="s">
        <v>12522</v>
      </c>
    </row>
    <row r="1906" spans="1:2" x14ac:dyDescent="0.25">
      <c r="A1906" s="54" t="s">
        <v>9314</v>
      </c>
      <c r="B1906" s="54" t="s">
        <v>12523</v>
      </c>
    </row>
    <row r="1907" spans="1:2" x14ac:dyDescent="0.25">
      <c r="A1907" s="53" t="s">
        <v>9315</v>
      </c>
      <c r="B1907" s="53" t="s">
        <v>12524</v>
      </c>
    </row>
    <row r="1908" spans="1:2" x14ac:dyDescent="0.25">
      <c r="A1908" s="54" t="s">
        <v>9316</v>
      </c>
      <c r="B1908" s="54" t="s">
        <v>12525</v>
      </c>
    </row>
    <row r="1909" spans="1:2" x14ac:dyDescent="0.25">
      <c r="A1909" s="53" t="s">
        <v>9317</v>
      </c>
      <c r="B1909" s="53" t="s">
        <v>12526</v>
      </c>
    </row>
    <row r="1910" spans="1:2" x14ac:dyDescent="0.25">
      <c r="A1910" s="54" t="s">
        <v>9318</v>
      </c>
      <c r="B1910" s="54" t="s">
        <v>11087</v>
      </c>
    </row>
    <row r="1911" spans="1:2" x14ac:dyDescent="0.25">
      <c r="A1911" s="53" t="s">
        <v>9319</v>
      </c>
      <c r="B1911" s="53" t="s">
        <v>12527</v>
      </c>
    </row>
    <row r="1912" spans="1:2" x14ac:dyDescent="0.25">
      <c r="A1912" s="54" t="s">
        <v>9320</v>
      </c>
      <c r="B1912" s="54" t="s">
        <v>12528</v>
      </c>
    </row>
    <row r="1913" spans="1:2" x14ac:dyDescent="0.25">
      <c r="A1913" s="53" t="s">
        <v>9321</v>
      </c>
      <c r="B1913" s="53" t="s">
        <v>12196</v>
      </c>
    </row>
    <row r="1914" spans="1:2" x14ac:dyDescent="0.25">
      <c r="A1914" s="54" t="s">
        <v>9322</v>
      </c>
      <c r="B1914" s="54" t="s">
        <v>12529</v>
      </c>
    </row>
    <row r="1915" spans="1:2" x14ac:dyDescent="0.25">
      <c r="A1915" s="53" t="s">
        <v>9323</v>
      </c>
      <c r="B1915" s="53" t="s">
        <v>12530</v>
      </c>
    </row>
    <row r="1916" spans="1:2" x14ac:dyDescent="0.25">
      <c r="A1916" s="54" t="s">
        <v>9324</v>
      </c>
      <c r="B1916" s="54" t="s">
        <v>12531</v>
      </c>
    </row>
    <row r="1917" spans="1:2" x14ac:dyDescent="0.25">
      <c r="A1917" s="53" t="s">
        <v>9325</v>
      </c>
      <c r="B1917" s="53" t="s">
        <v>12532</v>
      </c>
    </row>
    <row r="1918" spans="1:2" x14ac:dyDescent="0.25">
      <c r="A1918" s="54" t="s">
        <v>9326</v>
      </c>
      <c r="B1918" s="54" t="s">
        <v>12533</v>
      </c>
    </row>
    <row r="1919" spans="1:2" x14ac:dyDescent="0.25">
      <c r="A1919" s="53" t="s">
        <v>9327</v>
      </c>
      <c r="B1919" s="53" t="s">
        <v>12534</v>
      </c>
    </row>
    <row r="1920" spans="1:2" x14ac:dyDescent="0.25">
      <c r="A1920" s="54" t="s">
        <v>9328</v>
      </c>
      <c r="B1920" s="54" t="s">
        <v>12535</v>
      </c>
    </row>
    <row r="1921" spans="1:2" x14ac:dyDescent="0.25">
      <c r="A1921" s="53" t="s">
        <v>9329</v>
      </c>
      <c r="B1921" s="53" t="s">
        <v>12536</v>
      </c>
    </row>
    <row r="1922" spans="1:2" x14ac:dyDescent="0.25">
      <c r="A1922" s="54" t="s">
        <v>9330</v>
      </c>
      <c r="B1922" s="54" t="s">
        <v>12537</v>
      </c>
    </row>
    <row r="1923" spans="1:2" x14ac:dyDescent="0.25">
      <c r="A1923" s="53" t="s">
        <v>9331</v>
      </c>
      <c r="B1923" s="53" t="s">
        <v>12538</v>
      </c>
    </row>
    <row r="1924" spans="1:2" x14ac:dyDescent="0.25">
      <c r="A1924" s="54" t="s">
        <v>9332</v>
      </c>
      <c r="B1924" s="54" t="s">
        <v>12539</v>
      </c>
    </row>
    <row r="1925" spans="1:2" x14ac:dyDescent="0.25">
      <c r="A1925" s="53" t="s">
        <v>9333</v>
      </c>
      <c r="B1925" s="53" t="s">
        <v>12540</v>
      </c>
    </row>
    <row r="1926" spans="1:2" x14ac:dyDescent="0.25">
      <c r="A1926" s="54" t="s">
        <v>9334</v>
      </c>
      <c r="B1926" s="54" t="s">
        <v>12541</v>
      </c>
    </row>
    <row r="1927" spans="1:2" x14ac:dyDescent="0.25">
      <c r="A1927" s="53" t="s">
        <v>9335</v>
      </c>
      <c r="B1927" s="53" t="s">
        <v>12542</v>
      </c>
    </row>
    <row r="1928" spans="1:2" x14ac:dyDescent="0.25">
      <c r="A1928" s="54" t="s">
        <v>9336</v>
      </c>
      <c r="B1928" s="54" t="s">
        <v>12543</v>
      </c>
    </row>
    <row r="1929" spans="1:2" x14ac:dyDescent="0.25">
      <c r="A1929" s="53" t="s">
        <v>9337</v>
      </c>
      <c r="B1929" s="53" t="s">
        <v>12544</v>
      </c>
    </row>
    <row r="1930" spans="1:2" x14ac:dyDescent="0.25">
      <c r="A1930" s="54" t="s">
        <v>9338</v>
      </c>
      <c r="B1930" s="54" t="s">
        <v>12545</v>
      </c>
    </row>
    <row r="1931" spans="1:2" x14ac:dyDescent="0.25">
      <c r="A1931" s="53" t="s">
        <v>9339</v>
      </c>
      <c r="B1931" s="53" t="s">
        <v>12546</v>
      </c>
    </row>
    <row r="1932" spans="1:2" x14ac:dyDescent="0.25">
      <c r="A1932" s="54" t="s">
        <v>9340</v>
      </c>
      <c r="B1932" s="54" t="s">
        <v>12547</v>
      </c>
    </row>
    <row r="1933" spans="1:2" x14ac:dyDescent="0.25">
      <c r="A1933" s="53" t="s">
        <v>9341</v>
      </c>
      <c r="B1933" s="53" t="s">
        <v>12548</v>
      </c>
    </row>
    <row r="1934" spans="1:2" x14ac:dyDescent="0.25">
      <c r="A1934" s="54" t="s">
        <v>9342</v>
      </c>
      <c r="B1934" s="54" t="s">
        <v>12549</v>
      </c>
    </row>
    <row r="1935" spans="1:2" x14ac:dyDescent="0.25">
      <c r="A1935" s="53" t="s">
        <v>9343</v>
      </c>
      <c r="B1935" s="53" t="s">
        <v>12550</v>
      </c>
    </row>
    <row r="1936" spans="1:2" x14ac:dyDescent="0.25">
      <c r="A1936" s="54" t="s">
        <v>9344</v>
      </c>
      <c r="B1936" s="54" t="s">
        <v>12551</v>
      </c>
    </row>
    <row r="1937" spans="1:2" x14ac:dyDescent="0.25">
      <c r="A1937" s="53" t="s">
        <v>9345</v>
      </c>
      <c r="B1937" s="53" t="s">
        <v>11404</v>
      </c>
    </row>
    <row r="1938" spans="1:2" x14ac:dyDescent="0.25">
      <c r="A1938" s="54" t="s">
        <v>9346</v>
      </c>
      <c r="B1938" s="54" t="s">
        <v>12552</v>
      </c>
    </row>
    <row r="1939" spans="1:2" x14ac:dyDescent="0.25">
      <c r="A1939" s="53" t="s">
        <v>9347</v>
      </c>
      <c r="B1939" s="53" t="s">
        <v>12553</v>
      </c>
    </row>
    <row r="1940" spans="1:2" x14ac:dyDescent="0.25">
      <c r="A1940" s="54" t="s">
        <v>9348</v>
      </c>
      <c r="B1940" s="54" t="s">
        <v>12554</v>
      </c>
    </row>
    <row r="1941" spans="1:2" x14ac:dyDescent="0.25">
      <c r="A1941" s="53" t="s">
        <v>9349</v>
      </c>
      <c r="B1941" s="53" t="s">
        <v>12555</v>
      </c>
    </row>
    <row r="1942" spans="1:2" x14ac:dyDescent="0.25">
      <c r="A1942" s="54" t="s">
        <v>9350</v>
      </c>
      <c r="B1942" s="54" t="s">
        <v>12556</v>
      </c>
    </row>
    <row r="1943" spans="1:2" x14ac:dyDescent="0.25">
      <c r="A1943" s="53" t="s">
        <v>9351</v>
      </c>
      <c r="B1943" s="53" t="s">
        <v>12557</v>
      </c>
    </row>
    <row r="1944" spans="1:2" x14ac:dyDescent="0.25">
      <c r="A1944" s="54" t="s">
        <v>9352</v>
      </c>
      <c r="B1944" s="54" t="s">
        <v>12558</v>
      </c>
    </row>
    <row r="1945" spans="1:2" x14ac:dyDescent="0.25">
      <c r="A1945" s="53" t="s">
        <v>9353</v>
      </c>
      <c r="B1945" s="53" t="s">
        <v>12559</v>
      </c>
    </row>
    <row r="1946" spans="1:2" x14ac:dyDescent="0.25">
      <c r="A1946" s="54" t="s">
        <v>9354</v>
      </c>
      <c r="B1946" s="54" t="s">
        <v>12383</v>
      </c>
    </row>
    <row r="1947" spans="1:2" x14ac:dyDescent="0.25">
      <c r="A1947" s="53" t="s">
        <v>9355</v>
      </c>
      <c r="B1947" s="53" t="s">
        <v>12560</v>
      </c>
    </row>
    <row r="1948" spans="1:2" x14ac:dyDescent="0.25">
      <c r="A1948" s="54" t="s">
        <v>9356</v>
      </c>
      <c r="B1948" s="54" t="s">
        <v>12561</v>
      </c>
    </row>
    <row r="1949" spans="1:2" x14ac:dyDescent="0.25">
      <c r="A1949" s="53" t="s">
        <v>9357</v>
      </c>
      <c r="B1949" s="53" t="s">
        <v>12562</v>
      </c>
    </row>
    <row r="1950" spans="1:2" x14ac:dyDescent="0.25">
      <c r="A1950" s="54" t="s">
        <v>9358</v>
      </c>
      <c r="B1950" s="54" t="s">
        <v>12563</v>
      </c>
    </row>
    <row r="1951" spans="1:2" x14ac:dyDescent="0.25">
      <c r="A1951" s="53" t="s">
        <v>9359</v>
      </c>
      <c r="B1951" s="53" t="s">
        <v>12564</v>
      </c>
    </row>
    <row r="1952" spans="1:2" x14ac:dyDescent="0.25">
      <c r="A1952" s="54" t="s">
        <v>9360</v>
      </c>
      <c r="B1952" s="54" t="s">
        <v>12565</v>
      </c>
    </row>
    <row r="1953" spans="1:2" x14ac:dyDescent="0.25">
      <c r="A1953" s="53" t="s">
        <v>9361</v>
      </c>
      <c r="B1953" s="53" t="s">
        <v>12566</v>
      </c>
    </row>
    <row r="1954" spans="1:2" x14ac:dyDescent="0.25">
      <c r="A1954" s="54" t="s">
        <v>9362</v>
      </c>
      <c r="B1954" s="54" t="s">
        <v>12567</v>
      </c>
    </row>
    <row r="1955" spans="1:2" x14ac:dyDescent="0.25">
      <c r="A1955" s="53" t="s">
        <v>9363</v>
      </c>
      <c r="B1955" s="53" t="s">
        <v>12568</v>
      </c>
    </row>
    <row r="1956" spans="1:2" x14ac:dyDescent="0.25">
      <c r="A1956" s="54" t="s">
        <v>9364</v>
      </c>
      <c r="B1956" s="54" t="s">
        <v>12569</v>
      </c>
    </row>
    <row r="1957" spans="1:2" x14ac:dyDescent="0.25">
      <c r="A1957" s="53" t="s">
        <v>9365</v>
      </c>
      <c r="B1957" s="53" t="s">
        <v>12570</v>
      </c>
    </row>
    <row r="1958" spans="1:2" x14ac:dyDescent="0.25">
      <c r="A1958" s="54" t="s">
        <v>9366</v>
      </c>
      <c r="B1958" s="54" t="s">
        <v>12571</v>
      </c>
    </row>
    <row r="1959" spans="1:2" x14ac:dyDescent="0.25">
      <c r="A1959" s="53" t="s">
        <v>9367</v>
      </c>
      <c r="B1959" s="53" t="s">
        <v>12572</v>
      </c>
    </row>
    <row r="1960" spans="1:2" x14ac:dyDescent="0.25">
      <c r="A1960" s="54" t="s">
        <v>9368</v>
      </c>
      <c r="B1960" s="54" t="s">
        <v>12573</v>
      </c>
    </row>
    <row r="1961" spans="1:2" x14ac:dyDescent="0.25">
      <c r="A1961" s="53" t="s">
        <v>9369</v>
      </c>
      <c r="B1961" s="53" t="s">
        <v>12574</v>
      </c>
    </row>
    <row r="1962" spans="1:2" x14ac:dyDescent="0.25">
      <c r="A1962" s="54" t="s">
        <v>9370</v>
      </c>
      <c r="B1962" s="54" t="s">
        <v>12575</v>
      </c>
    </row>
    <row r="1963" spans="1:2" x14ac:dyDescent="0.25">
      <c r="A1963" s="53" t="s">
        <v>9371</v>
      </c>
      <c r="B1963" s="53" t="s">
        <v>12576</v>
      </c>
    </row>
    <row r="1964" spans="1:2" x14ac:dyDescent="0.25">
      <c r="A1964" s="54" t="s">
        <v>9372</v>
      </c>
      <c r="B1964" s="54" t="s">
        <v>12577</v>
      </c>
    </row>
    <row r="1965" spans="1:2" x14ac:dyDescent="0.25">
      <c r="A1965" s="54" t="s">
        <v>9373</v>
      </c>
      <c r="B1965" s="54" t="s">
        <v>12578</v>
      </c>
    </row>
    <row r="1966" spans="1:2" x14ac:dyDescent="0.25">
      <c r="A1966" s="53" t="s">
        <v>9374</v>
      </c>
      <c r="B1966" s="53" t="s">
        <v>12579</v>
      </c>
    </row>
    <row r="1967" spans="1:2" x14ac:dyDescent="0.25">
      <c r="A1967" s="54" t="s">
        <v>9375</v>
      </c>
      <c r="B1967" s="54" t="s">
        <v>11053</v>
      </c>
    </row>
    <row r="1968" spans="1:2" x14ac:dyDescent="0.25">
      <c r="A1968" s="53" t="s">
        <v>9376</v>
      </c>
      <c r="B1968" s="53" t="s">
        <v>11064</v>
      </c>
    </row>
    <row r="1969" spans="1:2" x14ac:dyDescent="0.25">
      <c r="A1969" s="54" t="s">
        <v>9377</v>
      </c>
      <c r="B1969" s="54" t="s">
        <v>11867</v>
      </c>
    </row>
    <row r="1970" spans="1:2" x14ac:dyDescent="0.25">
      <c r="A1970" s="53" t="s">
        <v>9378</v>
      </c>
      <c r="B1970" s="53" t="s">
        <v>12580</v>
      </c>
    </row>
    <row r="1971" spans="1:2" x14ac:dyDescent="0.25">
      <c r="A1971" s="54" t="s">
        <v>9379</v>
      </c>
      <c r="B1971" s="54" t="s">
        <v>12581</v>
      </c>
    </row>
    <row r="1972" spans="1:2" x14ac:dyDescent="0.25">
      <c r="A1972" s="53" t="s">
        <v>9380</v>
      </c>
      <c r="B1972" s="53" t="s">
        <v>12582</v>
      </c>
    </row>
    <row r="1973" spans="1:2" x14ac:dyDescent="0.25">
      <c r="A1973" s="54" t="s">
        <v>9381</v>
      </c>
      <c r="B1973" s="54" t="s">
        <v>12583</v>
      </c>
    </row>
    <row r="1974" spans="1:2" x14ac:dyDescent="0.25">
      <c r="A1974" s="53" t="s">
        <v>9382</v>
      </c>
      <c r="B1974" s="53" t="s">
        <v>12584</v>
      </c>
    </row>
    <row r="1975" spans="1:2" x14ac:dyDescent="0.25">
      <c r="A1975" s="54" t="s">
        <v>9383</v>
      </c>
      <c r="B1975" s="54" t="s">
        <v>11686</v>
      </c>
    </row>
    <row r="1976" spans="1:2" x14ac:dyDescent="0.25">
      <c r="A1976" s="53" t="s">
        <v>9384</v>
      </c>
      <c r="B1976" s="53" t="s">
        <v>12585</v>
      </c>
    </row>
    <row r="1977" spans="1:2" x14ac:dyDescent="0.25">
      <c r="A1977" s="54" t="s">
        <v>9385</v>
      </c>
      <c r="B1977" s="54" t="s">
        <v>10876</v>
      </c>
    </row>
    <row r="1978" spans="1:2" x14ac:dyDescent="0.25">
      <c r="A1978" s="53" t="s">
        <v>9386</v>
      </c>
      <c r="B1978" s="53" t="s">
        <v>12586</v>
      </c>
    </row>
    <row r="1979" spans="1:2" x14ac:dyDescent="0.25">
      <c r="A1979" s="54" t="s">
        <v>9387</v>
      </c>
      <c r="B1979" s="54" t="s">
        <v>11680</v>
      </c>
    </row>
    <row r="1980" spans="1:2" x14ac:dyDescent="0.25">
      <c r="A1980" s="53" t="s">
        <v>9388</v>
      </c>
      <c r="B1980" s="53" t="s">
        <v>11344</v>
      </c>
    </row>
    <row r="1981" spans="1:2" x14ac:dyDescent="0.25">
      <c r="A1981" s="54" t="s">
        <v>9389</v>
      </c>
      <c r="B1981" s="54" t="s">
        <v>12587</v>
      </c>
    </row>
    <row r="1982" spans="1:2" x14ac:dyDescent="0.25">
      <c r="A1982" s="53" t="s">
        <v>9390</v>
      </c>
      <c r="B1982" s="53" t="s">
        <v>12588</v>
      </c>
    </row>
    <row r="1983" spans="1:2" x14ac:dyDescent="0.25">
      <c r="A1983" s="54" t="s">
        <v>9391</v>
      </c>
      <c r="B1983" s="54" t="s">
        <v>12589</v>
      </c>
    </row>
    <row r="1984" spans="1:2" x14ac:dyDescent="0.25">
      <c r="A1984" s="53" t="s">
        <v>9392</v>
      </c>
      <c r="B1984" s="53" t="s">
        <v>12590</v>
      </c>
    </row>
    <row r="1985" spans="1:2" x14ac:dyDescent="0.25">
      <c r="A1985" s="54" t="s">
        <v>9393</v>
      </c>
      <c r="B1985" s="54" t="s">
        <v>12591</v>
      </c>
    </row>
    <row r="1986" spans="1:2" x14ac:dyDescent="0.25">
      <c r="A1986" s="53" t="s">
        <v>9394</v>
      </c>
      <c r="B1986" s="53" t="s">
        <v>12592</v>
      </c>
    </row>
    <row r="1987" spans="1:2" x14ac:dyDescent="0.25">
      <c r="A1987" s="54" t="s">
        <v>9395</v>
      </c>
      <c r="B1987" s="54" t="s">
        <v>12593</v>
      </c>
    </row>
    <row r="1988" spans="1:2" x14ac:dyDescent="0.25">
      <c r="A1988" s="53" t="s">
        <v>9396</v>
      </c>
      <c r="B1988" s="53" t="s">
        <v>11865</v>
      </c>
    </row>
    <row r="1989" spans="1:2" x14ac:dyDescent="0.25">
      <c r="A1989" s="54" t="s">
        <v>9397</v>
      </c>
      <c r="B1989" s="54" t="s">
        <v>12594</v>
      </c>
    </row>
    <row r="1990" spans="1:2" x14ac:dyDescent="0.25">
      <c r="A1990" s="53" t="s">
        <v>9398</v>
      </c>
      <c r="B1990" s="53" t="s">
        <v>12595</v>
      </c>
    </row>
    <row r="1991" spans="1:2" x14ac:dyDescent="0.25">
      <c r="A1991" s="54" t="s">
        <v>9399</v>
      </c>
      <c r="B1991" s="54" t="s">
        <v>12596</v>
      </c>
    </row>
    <row r="1992" spans="1:2" x14ac:dyDescent="0.25">
      <c r="A1992" s="53" t="s">
        <v>9400</v>
      </c>
      <c r="B1992" s="53" t="s">
        <v>12597</v>
      </c>
    </row>
    <row r="1993" spans="1:2" x14ac:dyDescent="0.25">
      <c r="A1993" s="54" t="s">
        <v>9401</v>
      </c>
      <c r="B1993" s="54" t="s">
        <v>12598</v>
      </c>
    </row>
    <row r="1994" spans="1:2" x14ac:dyDescent="0.25">
      <c r="A1994" s="53" t="s">
        <v>9402</v>
      </c>
      <c r="B1994" s="53" t="s">
        <v>12599</v>
      </c>
    </row>
    <row r="1995" spans="1:2" x14ac:dyDescent="0.25">
      <c r="A1995" s="54" t="s">
        <v>9403</v>
      </c>
      <c r="B1995" s="54" t="s">
        <v>12600</v>
      </c>
    </row>
    <row r="1996" spans="1:2" x14ac:dyDescent="0.25">
      <c r="A1996" s="53" t="s">
        <v>9404</v>
      </c>
      <c r="B1996" s="53" t="s">
        <v>12601</v>
      </c>
    </row>
    <row r="1997" spans="1:2" x14ac:dyDescent="0.25">
      <c r="A1997" s="54" t="s">
        <v>9405</v>
      </c>
      <c r="B1997" s="54" t="s">
        <v>12602</v>
      </c>
    </row>
    <row r="1998" spans="1:2" x14ac:dyDescent="0.25">
      <c r="A1998" s="53" t="s">
        <v>9406</v>
      </c>
      <c r="B1998" s="53" t="s">
        <v>12603</v>
      </c>
    </row>
    <row r="1999" spans="1:2" x14ac:dyDescent="0.25">
      <c r="A1999" s="54" t="s">
        <v>9407</v>
      </c>
      <c r="B1999" s="54" t="s">
        <v>12604</v>
      </c>
    </row>
    <row r="2000" spans="1:2" x14ac:dyDescent="0.25">
      <c r="A2000" s="53" t="s">
        <v>9408</v>
      </c>
      <c r="B2000" s="53" t="s">
        <v>12605</v>
      </c>
    </row>
    <row r="2001" spans="1:2" x14ac:dyDescent="0.25">
      <c r="A2001" s="54" t="s">
        <v>9409</v>
      </c>
      <c r="B2001" s="54" t="s">
        <v>12606</v>
      </c>
    </row>
    <row r="2002" spans="1:2" x14ac:dyDescent="0.25">
      <c r="A2002" s="53" t="s">
        <v>9410</v>
      </c>
      <c r="B2002" s="53" t="s">
        <v>12607</v>
      </c>
    </row>
    <row r="2003" spans="1:2" x14ac:dyDescent="0.25">
      <c r="A2003" s="54" t="s">
        <v>9411</v>
      </c>
      <c r="B2003" s="54" t="s">
        <v>12608</v>
      </c>
    </row>
    <row r="2004" spans="1:2" x14ac:dyDescent="0.25">
      <c r="A2004" s="53" t="s">
        <v>9412</v>
      </c>
      <c r="B2004" s="53" t="s">
        <v>12609</v>
      </c>
    </row>
    <row r="2005" spans="1:2" x14ac:dyDescent="0.25">
      <c r="A2005" s="54" t="s">
        <v>9413</v>
      </c>
      <c r="B2005" s="54" t="s">
        <v>12610</v>
      </c>
    </row>
    <row r="2006" spans="1:2" x14ac:dyDescent="0.25">
      <c r="A2006" s="53" t="s">
        <v>9414</v>
      </c>
      <c r="B2006" s="53" t="s">
        <v>12611</v>
      </c>
    </row>
    <row r="2007" spans="1:2" x14ac:dyDescent="0.25">
      <c r="A2007" s="54" t="s">
        <v>9415</v>
      </c>
      <c r="B2007" s="54" t="s">
        <v>11474</v>
      </c>
    </row>
    <row r="2008" spans="1:2" x14ac:dyDescent="0.25">
      <c r="A2008" s="53" t="s">
        <v>9416</v>
      </c>
      <c r="B2008" s="53" t="s">
        <v>12612</v>
      </c>
    </row>
    <row r="2009" spans="1:2" x14ac:dyDescent="0.25">
      <c r="A2009" s="54" t="s">
        <v>9417</v>
      </c>
      <c r="B2009" s="54" t="s">
        <v>12613</v>
      </c>
    </row>
    <row r="2010" spans="1:2" x14ac:dyDescent="0.25">
      <c r="A2010" s="53" t="s">
        <v>9418</v>
      </c>
      <c r="B2010" s="53" t="s">
        <v>12614</v>
      </c>
    </row>
    <row r="2011" spans="1:2" x14ac:dyDescent="0.25">
      <c r="A2011" s="54" t="s">
        <v>9419</v>
      </c>
      <c r="B2011" s="54" t="s">
        <v>12615</v>
      </c>
    </row>
    <row r="2012" spans="1:2" x14ac:dyDescent="0.25">
      <c r="A2012" s="53" t="s">
        <v>9420</v>
      </c>
      <c r="B2012" s="53" t="s">
        <v>12100</v>
      </c>
    </row>
    <row r="2013" spans="1:2" x14ac:dyDescent="0.25">
      <c r="A2013" s="54" t="s">
        <v>9421</v>
      </c>
      <c r="B2013" s="54" t="s">
        <v>12616</v>
      </c>
    </row>
    <row r="2014" spans="1:2" x14ac:dyDescent="0.25">
      <c r="A2014" s="53" t="s">
        <v>9422</v>
      </c>
      <c r="B2014" s="53" t="s">
        <v>12617</v>
      </c>
    </row>
    <row r="2015" spans="1:2" x14ac:dyDescent="0.25">
      <c r="A2015" s="54" t="s">
        <v>9423</v>
      </c>
      <c r="B2015" s="54" t="s">
        <v>12618</v>
      </c>
    </row>
    <row r="2016" spans="1:2" x14ac:dyDescent="0.25">
      <c r="A2016" s="53" t="s">
        <v>9424</v>
      </c>
      <c r="B2016" s="53" t="s">
        <v>12619</v>
      </c>
    </row>
    <row r="2017" spans="1:2" x14ac:dyDescent="0.25">
      <c r="A2017" s="54" t="s">
        <v>9425</v>
      </c>
      <c r="B2017" s="54" t="s">
        <v>12620</v>
      </c>
    </row>
    <row r="2018" spans="1:2" x14ac:dyDescent="0.25">
      <c r="A2018" s="53" t="s">
        <v>9426</v>
      </c>
      <c r="B2018" s="53" t="s">
        <v>11587</v>
      </c>
    </row>
    <row r="2019" spans="1:2" x14ac:dyDescent="0.25">
      <c r="A2019" s="54" t="s">
        <v>9427</v>
      </c>
      <c r="B2019" s="54" t="s">
        <v>12621</v>
      </c>
    </row>
    <row r="2020" spans="1:2" x14ac:dyDescent="0.25">
      <c r="A2020" s="53" t="s">
        <v>9428</v>
      </c>
      <c r="B2020" s="53" t="s">
        <v>12622</v>
      </c>
    </row>
    <row r="2021" spans="1:2" x14ac:dyDescent="0.25">
      <c r="A2021" s="54" t="s">
        <v>9429</v>
      </c>
      <c r="B2021" s="54" t="s">
        <v>12623</v>
      </c>
    </row>
    <row r="2022" spans="1:2" x14ac:dyDescent="0.25">
      <c r="A2022" s="53" t="s">
        <v>9430</v>
      </c>
      <c r="B2022" s="53" t="s">
        <v>12624</v>
      </c>
    </row>
    <row r="2023" spans="1:2" x14ac:dyDescent="0.25">
      <c r="A2023" s="54" t="s">
        <v>9431</v>
      </c>
      <c r="B2023" s="54" t="s">
        <v>12625</v>
      </c>
    </row>
    <row r="2024" spans="1:2" x14ac:dyDescent="0.25">
      <c r="A2024" s="53" t="s">
        <v>9432</v>
      </c>
      <c r="B2024" s="53" t="s">
        <v>12625</v>
      </c>
    </row>
    <row r="2025" spans="1:2" x14ac:dyDescent="0.25">
      <c r="A2025" s="54" t="s">
        <v>9433</v>
      </c>
      <c r="B2025" s="54" t="s">
        <v>12626</v>
      </c>
    </row>
    <row r="2026" spans="1:2" x14ac:dyDescent="0.25">
      <c r="A2026" s="53" t="s">
        <v>9434</v>
      </c>
      <c r="B2026" s="53" t="s">
        <v>12627</v>
      </c>
    </row>
    <row r="2027" spans="1:2" x14ac:dyDescent="0.25">
      <c r="A2027" s="54" t="s">
        <v>9435</v>
      </c>
      <c r="B2027" s="54" t="s">
        <v>12627</v>
      </c>
    </row>
    <row r="2028" spans="1:2" x14ac:dyDescent="0.25">
      <c r="A2028" s="53" t="s">
        <v>9436</v>
      </c>
      <c r="B2028" s="53" t="s">
        <v>12628</v>
      </c>
    </row>
    <row r="2029" spans="1:2" x14ac:dyDescent="0.25">
      <c r="A2029" s="54" t="s">
        <v>9437</v>
      </c>
      <c r="B2029" s="54" t="s">
        <v>12628</v>
      </c>
    </row>
    <row r="2030" spans="1:2" x14ac:dyDescent="0.25">
      <c r="A2030" s="53" t="s">
        <v>9438</v>
      </c>
      <c r="B2030" s="53" t="s">
        <v>12629</v>
      </c>
    </row>
    <row r="2031" spans="1:2" x14ac:dyDescent="0.25">
      <c r="A2031" s="54" t="s">
        <v>9439</v>
      </c>
      <c r="B2031" s="54" t="s">
        <v>12630</v>
      </c>
    </row>
    <row r="2032" spans="1:2" x14ac:dyDescent="0.25">
      <c r="A2032" s="53" t="s">
        <v>9440</v>
      </c>
      <c r="B2032" s="53" t="s">
        <v>12630</v>
      </c>
    </row>
    <row r="2033" spans="1:2" x14ac:dyDescent="0.25">
      <c r="A2033" s="54" t="s">
        <v>9441</v>
      </c>
      <c r="B2033" s="54" t="s">
        <v>12631</v>
      </c>
    </row>
    <row r="2034" spans="1:2" x14ac:dyDescent="0.25">
      <c r="A2034" s="53" t="s">
        <v>9442</v>
      </c>
      <c r="B2034" s="53" t="s">
        <v>12631</v>
      </c>
    </row>
    <row r="2035" spans="1:2" x14ac:dyDescent="0.25">
      <c r="A2035" s="54" t="s">
        <v>9443</v>
      </c>
      <c r="B2035" s="54" t="s">
        <v>12632</v>
      </c>
    </row>
    <row r="2036" spans="1:2" x14ac:dyDescent="0.25">
      <c r="A2036" s="53" t="s">
        <v>9444</v>
      </c>
      <c r="B2036" s="53" t="s">
        <v>12633</v>
      </c>
    </row>
    <row r="2037" spans="1:2" x14ac:dyDescent="0.25">
      <c r="A2037" s="54" t="s">
        <v>9445</v>
      </c>
      <c r="B2037" s="54" t="s">
        <v>12634</v>
      </c>
    </row>
    <row r="2038" spans="1:2" x14ac:dyDescent="0.25">
      <c r="A2038" s="53" t="s">
        <v>9446</v>
      </c>
      <c r="B2038" s="53" t="s">
        <v>12635</v>
      </c>
    </row>
    <row r="2039" spans="1:2" x14ac:dyDescent="0.25">
      <c r="A2039" s="54" t="s">
        <v>9447</v>
      </c>
      <c r="B2039" s="54" t="s">
        <v>12636</v>
      </c>
    </row>
    <row r="2040" spans="1:2" x14ac:dyDescent="0.25">
      <c r="A2040" s="53" t="s">
        <v>9448</v>
      </c>
      <c r="B2040" s="53" t="s">
        <v>12637</v>
      </c>
    </row>
    <row r="2041" spans="1:2" x14ac:dyDescent="0.25">
      <c r="A2041" s="54" t="s">
        <v>9449</v>
      </c>
      <c r="B2041" s="54" t="s">
        <v>12638</v>
      </c>
    </row>
    <row r="2042" spans="1:2" x14ac:dyDescent="0.25">
      <c r="A2042" s="53" t="s">
        <v>9450</v>
      </c>
      <c r="B2042" s="53" t="s">
        <v>12639</v>
      </c>
    </row>
    <row r="2043" spans="1:2" x14ac:dyDescent="0.25">
      <c r="A2043" s="54" t="s">
        <v>9451</v>
      </c>
      <c r="B2043" s="54" t="s">
        <v>12640</v>
      </c>
    </row>
    <row r="2044" spans="1:2" x14ac:dyDescent="0.25">
      <c r="A2044" s="53" t="s">
        <v>9452</v>
      </c>
      <c r="B2044" s="53" t="s">
        <v>12641</v>
      </c>
    </row>
    <row r="2045" spans="1:2" x14ac:dyDescent="0.25">
      <c r="A2045" s="54" t="s">
        <v>9453</v>
      </c>
      <c r="B2045" s="54" t="s">
        <v>12103</v>
      </c>
    </row>
    <row r="2046" spans="1:2" x14ac:dyDescent="0.25">
      <c r="A2046" s="53" t="s">
        <v>9454</v>
      </c>
      <c r="B2046" s="53" t="s">
        <v>12642</v>
      </c>
    </row>
    <row r="2047" spans="1:2" x14ac:dyDescent="0.25">
      <c r="A2047" s="54" t="s">
        <v>9455</v>
      </c>
      <c r="B2047" s="54" t="s">
        <v>12643</v>
      </c>
    </row>
    <row r="2048" spans="1:2" x14ac:dyDescent="0.25">
      <c r="A2048" s="53" t="s">
        <v>9456</v>
      </c>
      <c r="B2048" s="53" t="s">
        <v>12644</v>
      </c>
    </row>
    <row r="2049" spans="1:2" x14ac:dyDescent="0.25">
      <c r="A2049" s="54" t="s">
        <v>9457</v>
      </c>
      <c r="B2049" s="54" t="s">
        <v>12645</v>
      </c>
    </row>
    <row r="2050" spans="1:2" x14ac:dyDescent="0.25">
      <c r="A2050" s="53" t="s">
        <v>9458</v>
      </c>
      <c r="B2050" s="53" t="s">
        <v>12646</v>
      </c>
    </row>
    <row r="2051" spans="1:2" x14ac:dyDescent="0.25">
      <c r="A2051" s="54" t="s">
        <v>9459</v>
      </c>
      <c r="B2051" s="54" t="s">
        <v>11629</v>
      </c>
    </row>
    <row r="2052" spans="1:2" x14ac:dyDescent="0.25">
      <c r="A2052" s="53" t="s">
        <v>9460</v>
      </c>
      <c r="B2052" s="53" t="s">
        <v>12647</v>
      </c>
    </row>
    <row r="2053" spans="1:2" x14ac:dyDescent="0.25">
      <c r="A2053" s="54" t="s">
        <v>9461</v>
      </c>
      <c r="B2053" s="54" t="s">
        <v>12648</v>
      </c>
    </row>
    <row r="2054" spans="1:2" x14ac:dyDescent="0.25">
      <c r="A2054" s="53" t="s">
        <v>9462</v>
      </c>
      <c r="B2054" s="53" t="s">
        <v>12649</v>
      </c>
    </row>
    <row r="2055" spans="1:2" x14ac:dyDescent="0.25">
      <c r="A2055" s="54" t="s">
        <v>9463</v>
      </c>
      <c r="B2055" s="54" t="s">
        <v>12650</v>
      </c>
    </row>
    <row r="2056" spans="1:2" x14ac:dyDescent="0.25">
      <c r="A2056" s="53" t="s">
        <v>9464</v>
      </c>
      <c r="B2056" s="53" t="s">
        <v>12210</v>
      </c>
    </row>
    <row r="2057" spans="1:2" x14ac:dyDescent="0.25">
      <c r="A2057" s="54" t="s">
        <v>9465</v>
      </c>
      <c r="B2057" s="54" t="s">
        <v>12651</v>
      </c>
    </row>
    <row r="2058" spans="1:2" x14ac:dyDescent="0.25">
      <c r="A2058" s="53" t="s">
        <v>9466</v>
      </c>
      <c r="B2058" s="53" t="s">
        <v>12652</v>
      </c>
    </row>
    <row r="2059" spans="1:2" x14ac:dyDescent="0.25">
      <c r="A2059" s="54" t="s">
        <v>9467</v>
      </c>
      <c r="B2059" s="54" t="s">
        <v>12653</v>
      </c>
    </row>
    <row r="2060" spans="1:2" x14ac:dyDescent="0.25">
      <c r="A2060" s="53" t="s">
        <v>9468</v>
      </c>
      <c r="B2060" s="53" t="s">
        <v>12654</v>
      </c>
    </row>
    <row r="2061" spans="1:2" x14ac:dyDescent="0.25">
      <c r="A2061" s="54" t="s">
        <v>9469</v>
      </c>
      <c r="B2061" s="54" t="s">
        <v>12655</v>
      </c>
    </row>
    <row r="2062" spans="1:2" x14ac:dyDescent="0.25">
      <c r="A2062" s="53" t="s">
        <v>9470</v>
      </c>
      <c r="B2062" s="53" t="s">
        <v>12656</v>
      </c>
    </row>
    <row r="2063" spans="1:2" x14ac:dyDescent="0.25">
      <c r="A2063" s="54" t="s">
        <v>9471</v>
      </c>
      <c r="B2063" s="54" t="s">
        <v>12657</v>
      </c>
    </row>
    <row r="2064" spans="1:2" x14ac:dyDescent="0.25">
      <c r="A2064" s="53" t="s">
        <v>9472</v>
      </c>
      <c r="B2064" s="53" t="s">
        <v>12658</v>
      </c>
    </row>
    <row r="2065" spans="1:2" x14ac:dyDescent="0.25">
      <c r="A2065" s="54" t="s">
        <v>9473</v>
      </c>
      <c r="B2065" s="54" t="s">
        <v>12659</v>
      </c>
    </row>
    <row r="2066" spans="1:2" x14ac:dyDescent="0.25">
      <c r="A2066" s="53" t="s">
        <v>9474</v>
      </c>
      <c r="B2066" s="53" t="s">
        <v>12660</v>
      </c>
    </row>
    <row r="2067" spans="1:2" x14ac:dyDescent="0.25">
      <c r="A2067" s="54" t="s">
        <v>9475</v>
      </c>
      <c r="B2067" s="54" t="s">
        <v>12661</v>
      </c>
    </row>
    <row r="2068" spans="1:2" x14ac:dyDescent="0.25">
      <c r="A2068" s="53" t="s">
        <v>9476</v>
      </c>
      <c r="B2068" s="53" t="s">
        <v>12662</v>
      </c>
    </row>
    <row r="2069" spans="1:2" x14ac:dyDescent="0.25">
      <c r="A2069" s="54" t="s">
        <v>9477</v>
      </c>
      <c r="B2069" s="54" t="s">
        <v>12663</v>
      </c>
    </row>
    <row r="2070" spans="1:2" x14ac:dyDescent="0.25">
      <c r="A2070" s="53" t="s">
        <v>9478</v>
      </c>
      <c r="B2070" s="53" t="s">
        <v>12664</v>
      </c>
    </row>
    <row r="2071" spans="1:2" x14ac:dyDescent="0.25">
      <c r="A2071" s="54" t="s">
        <v>9479</v>
      </c>
      <c r="B2071" s="54" t="s">
        <v>12665</v>
      </c>
    </row>
    <row r="2072" spans="1:2" x14ac:dyDescent="0.25">
      <c r="A2072" s="53" t="s">
        <v>9480</v>
      </c>
      <c r="B2072" s="53" t="s">
        <v>12666</v>
      </c>
    </row>
    <row r="2073" spans="1:2" x14ac:dyDescent="0.25">
      <c r="A2073" s="54" t="s">
        <v>9481</v>
      </c>
      <c r="B2073" s="54" t="s">
        <v>12667</v>
      </c>
    </row>
    <row r="2074" spans="1:2" x14ac:dyDescent="0.25">
      <c r="A2074" s="53" t="s">
        <v>9482</v>
      </c>
      <c r="B2074" s="53" t="s">
        <v>12668</v>
      </c>
    </row>
    <row r="2075" spans="1:2" x14ac:dyDescent="0.25">
      <c r="A2075" s="54" t="s">
        <v>9483</v>
      </c>
      <c r="B2075" s="54" t="s">
        <v>12669</v>
      </c>
    </row>
    <row r="2076" spans="1:2" x14ac:dyDescent="0.25">
      <c r="A2076" s="53" t="s">
        <v>9484</v>
      </c>
      <c r="B2076" s="53" t="s">
        <v>12670</v>
      </c>
    </row>
    <row r="2077" spans="1:2" x14ac:dyDescent="0.25">
      <c r="A2077" s="54" t="s">
        <v>9485</v>
      </c>
      <c r="B2077" s="54" t="s">
        <v>12671</v>
      </c>
    </row>
    <row r="2078" spans="1:2" x14ac:dyDescent="0.25">
      <c r="A2078" s="53" t="s">
        <v>9486</v>
      </c>
      <c r="B2078" s="53" t="s">
        <v>12672</v>
      </c>
    </row>
    <row r="2079" spans="1:2" x14ac:dyDescent="0.25">
      <c r="A2079" s="54" t="s">
        <v>9487</v>
      </c>
      <c r="B2079" s="54" t="s">
        <v>10826</v>
      </c>
    </row>
    <row r="2080" spans="1:2" x14ac:dyDescent="0.25">
      <c r="A2080" s="53" t="s">
        <v>9488</v>
      </c>
      <c r="B2080" s="53" t="s">
        <v>12673</v>
      </c>
    </row>
    <row r="2081" spans="1:2" x14ac:dyDescent="0.25">
      <c r="A2081" s="54" t="s">
        <v>9489</v>
      </c>
      <c r="B2081" s="54" t="s">
        <v>12674</v>
      </c>
    </row>
    <row r="2082" spans="1:2" x14ac:dyDescent="0.25">
      <c r="A2082" s="53" t="s">
        <v>9490</v>
      </c>
      <c r="B2082" s="53" t="s">
        <v>12675</v>
      </c>
    </row>
    <row r="2083" spans="1:2" x14ac:dyDescent="0.25">
      <c r="A2083" s="54" t="s">
        <v>9491</v>
      </c>
      <c r="B2083" s="54" t="s">
        <v>12676</v>
      </c>
    </row>
    <row r="2084" spans="1:2" x14ac:dyDescent="0.25">
      <c r="A2084" s="53" t="s">
        <v>9492</v>
      </c>
      <c r="B2084" s="53" t="s">
        <v>12677</v>
      </c>
    </row>
    <row r="2085" spans="1:2" x14ac:dyDescent="0.25">
      <c r="A2085" s="54" t="s">
        <v>9493</v>
      </c>
      <c r="B2085" s="54" t="s">
        <v>12678</v>
      </c>
    </row>
    <row r="2086" spans="1:2" x14ac:dyDescent="0.25">
      <c r="A2086" s="53" t="s">
        <v>9494</v>
      </c>
      <c r="B2086" s="53" t="s">
        <v>12679</v>
      </c>
    </row>
    <row r="2087" spans="1:2" x14ac:dyDescent="0.25">
      <c r="A2087" s="54" t="s">
        <v>9495</v>
      </c>
      <c r="B2087" s="54" t="s">
        <v>12680</v>
      </c>
    </row>
    <row r="2088" spans="1:2" x14ac:dyDescent="0.25">
      <c r="A2088" s="53" t="s">
        <v>9496</v>
      </c>
      <c r="B2088" s="53" t="s">
        <v>12681</v>
      </c>
    </row>
    <row r="2089" spans="1:2" x14ac:dyDescent="0.25">
      <c r="A2089" s="54" t="s">
        <v>9497</v>
      </c>
      <c r="B2089" s="54" t="s">
        <v>12682</v>
      </c>
    </row>
    <row r="2090" spans="1:2" x14ac:dyDescent="0.25">
      <c r="A2090" s="53" t="s">
        <v>9498</v>
      </c>
      <c r="B2090" s="53" t="s">
        <v>12683</v>
      </c>
    </row>
    <row r="2091" spans="1:2" x14ac:dyDescent="0.25">
      <c r="A2091" s="54" t="s">
        <v>9499</v>
      </c>
      <c r="B2091" s="54" t="s">
        <v>12684</v>
      </c>
    </row>
    <row r="2092" spans="1:2" x14ac:dyDescent="0.25">
      <c r="A2092" s="53" t="s">
        <v>9500</v>
      </c>
      <c r="B2092" s="53" t="s">
        <v>12685</v>
      </c>
    </row>
    <row r="2093" spans="1:2" x14ac:dyDescent="0.25">
      <c r="A2093" s="54" t="s">
        <v>9501</v>
      </c>
      <c r="B2093" s="54" t="s">
        <v>12686</v>
      </c>
    </row>
    <row r="2094" spans="1:2" x14ac:dyDescent="0.25">
      <c r="A2094" s="53" t="s">
        <v>9502</v>
      </c>
      <c r="B2094" s="53" t="s">
        <v>12687</v>
      </c>
    </row>
    <row r="2095" spans="1:2" x14ac:dyDescent="0.25">
      <c r="A2095" s="54" t="s">
        <v>9503</v>
      </c>
      <c r="B2095" s="54" t="s">
        <v>12688</v>
      </c>
    </row>
    <row r="2096" spans="1:2" x14ac:dyDescent="0.25">
      <c r="A2096" s="53" t="s">
        <v>9504</v>
      </c>
      <c r="B2096" s="53" t="s">
        <v>12689</v>
      </c>
    </row>
    <row r="2097" spans="1:2" x14ac:dyDescent="0.25">
      <c r="A2097" s="54" t="s">
        <v>9505</v>
      </c>
      <c r="B2097" s="54" t="s">
        <v>10848</v>
      </c>
    </row>
    <row r="2098" spans="1:2" x14ac:dyDescent="0.25">
      <c r="A2098" s="53" t="s">
        <v>9506</v>
      </c>
      <c r="B2098" s="53" t="s">
        <v>12690</v>
      </c>
    </row>
    <row r="2099" spans="1:2" x14ac:dyDescent="0.25">
      <c r="A2099" s="54" t="s">
        <v>9507</v>
      </c>
      <c r="B2099" s="54" t="s">
        <v>12691</v>
      </c>
    </row>
    <row r="2100" spans="1:2" x14ac:dyDescent="0.25">
      <c r="A2100" s="53" t="s">
        <v>9508</v>
      </c>
      <c r="B2100" s="53" t="s">
        <v>12692</v>
      </c>
    </row>
    <row r="2101" spans="1:2" x14ac:dyDescent="0.25">
      <c r="A2101" s="54" t="s">
        <v>9509</v>
      </c>
      <c r="B2101" s="54" t="s">
        <v>12693</v>
      </c>
    </row>
    <row r="2102" spans="1:2" x14ac:dyDescent="0.25">
      <c r="A2102" s="53" t="s">
        <v>9510</v>
      </c>
      <c r="B2102" s="53" t="s">
        <v>10874</v>
      </c>
    </row>
    <row r="2103" spans="1:2" x14ac:dyDescent="0.25">
      <c r="A2103" s="54" t="s">
        <v>9511</v>
      </c>
      <c r="B2103" s="54" t="s">
        <v>12694</v>
      </c>
    </row>
    <row r="2104" spans="1:2" x14ac:dyDescent="0.25">
      <c r="A2104" s="53" t="s">
        <v>9512</v>
      </c>
      <c r="B2104" s="53" t="s">
        <v>12695</v>
      </c>
    </row>
    <row r="2105" spans="1:2" x14ac:dyDescent="0.25">
      <c r="A2105" s="54" t="s">
        <v>9513</v>
      </c>
      <c r="B2105" s="54" t="s">
        <v>12696</v>
      </c>
    </row>
    <row r="2106" spans="1:2" x14ac:dyDescent="0.25">
      <c r="A2106" s="53" t="s">
        <v>9514</v>
      </c>
      <c r="B2106" s="53" t="s">
        <v>12697</v>
      </c>
    </row>
    <row r="2107" spans="1:2" x14ac:dyDescent="0.25">
      <c r="A2107" s="54" t="s">
        <v>9515</v>
      </c>
      <c r="B2107" s="54" t="s">
        <v>12698</v>
      </c>
    </row>
    <row r="2108" spans="1:2" x14ac:dyDescent="0.25">
      <c r="A2108" s="53" t="s">
        <v>9516</v>
      </c>
      <c r="B2108" s="53" t="s">
        <v>12699</v>
      </c>
    </row>
    <row r="2109" spans="1:2" x14ac:dyDescent="0.25">
      <c r="A2109" s="54" t="s">
        <v>9517</v>
      </c>
      <c r="B2109" s="54" t="s">
        <v>12700</v>
      </c>
    </row>
    <row r="2110" spans="1:2" x14ac:dyDescent="0.25">
      <c r="A2110" s="53" t="s">
        <v>9518</v>
      </c>
      <c r="B2110" s="53" t="s">
        <v>12701</v>
      </c>
    </row>
    <row r="2111" spans="1:2" x14ac:dyDescent="0.25">
      <c r="A2111" s="54" t="s">
        <v>9519</v>
      </c>
      <c r="B2111" s="54" t="s">
        <v>12702</v>
      </c>
    </row>
    <row r="2112" spans="1:2" x14ac:dyDescent="0.25">
      <c r="A2112" s="53" t="s">
        <v>9520</v>
      </c>
      <c r="B2112" s="53" t="s">
        <v>12703</v>
      </c>
    </row>
    <row r="2113" spans="1:2" x14ac:dyDescent="0.25">
      <c r="A2113" s="54" t="s">
        <v>9521</v>
      </c>
      <c r="B2113" s="54" t="s">
        <v>12704</v>
      </c>
    </row>
    <row r="2114" spans="1:2" x14ac:dyDescent="0.25">
      <c r="A2114" s="53" t="s">
        <v>9522</v>
      </c>
      <c r="B2114" s="53" t="s">
        <v>12705</v>
      </c>
    </row>
    <row r="2115" spans="1:2" x14ac:dyDescent="0.25">
      <c r="A2115" s="54" t="s">
        <v>9523</v>
      </c>
      <c r="B2115" s="54" t="s">
        <v>12706</v>
      </c>
    </row>
    <row r="2116" spans="1:2" x14ac:dyDescent="0.25">
      <c r="A2116" s="53" t="s">
        <v>9524</v>
      </c>
      <c r="B2116" s="53" t="s">
        <v>12707</v>
      </c>
    </row>
    <row r="2117" spans="1:2" x14ac:dyDescent="0.25">
      <c r="A2117" s="54" t="s">
        <v>9525</v>
      </c>
      <c r="B2117" s="54" t="s">
        <v>12708</v>
      </c>
    </row>
    <row r="2118" spans="1:2" x14ac:dyDescent="0.25">
      <c r="A2118" s="53" t="s">
        <v>9526</v>
      </c>
      <c r="B2118" s="53" t="s">
        <v>12709</v>
      </c>
    </row>
    <row r="2119" spans="1:2" x14ac:dyDescent="0.25">
      <c r="A2119" s="54" t="s">
        <v>9527</v>
      </c>
      <c r="B2119" s="54" t="s">
        <v>10888</v>
      </c>
    </row>
    <row r="2120" spans="1:2" x14ac:dyDescent="0.25">
      <c r="A2120" s="53" t="s">
        <v>9528</v>
      </c>
      <c r="B2120" s="53" t="s">
        <v>12710</v>
      </c>
    </row>
    <row r="2121" spans="1:2" x14ac:dyDescent="0.25">
      <c r="A2121" s="54" t="s">
        <v>9529</v>
      </c>
      <c r="B2121" s="54" t="s">
        <v>12711</v>
      </c>
    </row>
    <row r="2122" spans="1:2" x14ac:dyDescent="0.25">
      <c r="A2122" s="53" t="s">
        <v>9530</v>
      </c>
      <c r="B2122" s="53" t="s">
        <v>12712</v>
      </c>
    </row>
    <row r="2123" spans="1:2" x14ac:dyDescent="0.25">
      <c r="A2123" s="54" t="s">
        <v>9531</v>
      </c>
      <c r="B2123" s="54" t="s">
        <v>12713</v>
      </c>
    </row>
    <row r="2124" spans="1:2" x14ac:dyDescent="0.25">
      <c r="A2124" s="53" t="s">
        <v>9532</v>
      </c>
      <c r="B2124" s="53" t="s">
        <v>12714</v>
      </c>
    </row>
    <row r="2125" spans="1:2" x14ac:dyDescent="0.25">
      <c r="A2125" s="54" t="s">
        <v>9533</v>
      </c>
      <c r="B2125" s="54" t="s">
        <v>12715</v>
      </c>
    </row>
    <row r="2126" spans="1:2" x14ac:dyDescent="0.25">
      <c r="A2126" s="53" t="s">
        <v>9534</v>
      </c>
      <c r="B2126" s="53" t="s">
        <v>12716</v>
      </c>
    </row>
    <row r="2127" spans="1:2" x14ac:dyDescent="0.25">
      <c r="A2127" s="54" t="s">
        <v>9535</v>
      </c>
      <c r="B2127" s="54" t="s">
        <v>11530</v>
      </c>
    </row>
    <row r="2128" spans="1:2" x14ac:dyDescent="0.25">
      <c r="A2128" s="53" t="s">
        <v>9536</v>
      </c>
      <c r="B2128" s="53" t="s">
        <v>11508</v>
      </c>
    </row>
    <row r="2129" spans="1:2" x14ac:dyDescent="0.25">
      <c r="A2129" s="54" t="s">
        <v>9537</v>
      </c>
      <c r="B2129" s="54" t="s">
        <v>12717</v>
      </c>
    </row>
    <row r="2130" spans="1:2" x14ac:dyDescent="0.25">
      <c r="A2130" s="53" t="s">
        <v>9538</v>
      </c>
      <c r="B2130" s="53" t="s">
        <v>12717</v>
      </c>
    </row>
    <row r="2131" spans="1:2" x14ac:dyDescent="0.25">
      <c r="A2131" s="54" t="s">
        <v>9539</v>
      </c>
      <c r="B2131" s="54" t="s">
        <v>12718</v>
      </c>
    </row>
    <row r="2132" spans="1:2" x14ac:dyDescent="0.25">
      <c r="A2132" s="53" t="s">
        <v>9540</v>
      </c>
      <c r="B2132" s="53" t="s">
        <v>12719</v>
      </c>
    </row>
    <row r="2133" spans="1:2" x14ac:dyDescent="0.25">
      <c r="A2133" s="54" t="s">
        <v>9541</v>
      </c>
      <c r="B2133" s="54" t="s">
        <v>12719</v>
      </c>
    </row>
    <row r="2134" spans="1:2" x14ac:dyDescent="0.25">
      <c r="A2134" s="53" t="s">
        <v>9542</v>
      </c>
      <c r="B2134" s="53" t="s">
        <v>12719</v>
      </c>
    </row>
    <row r="2135" spans="1:2" x14ac:dyDescent="0.25">
      <c r="A2135" s="54" t="s">
        <v>9543</v>
      </c>
      <c r="B2135" s="54" t="s">
        <v>12720</v>
      </c>
    </row>
    <row r="2136" spans="1:2" x14ac:dyDescent="0.25">
      <c r="A2136" s="53" t="s">
        <v>9544</v>
      </c>
      <c r="B2136" s="53" t="s">
        <v>12721</v>
      </c>
    </row>
    <row r="2137" spans="1:2" x14ac:dyDescent="0.25">
      <c r="A2137" s="54" t="s">
        <v>9545</v>
      </c>
      <c r="B2137" s="54" t="s">
        <v>12722</v>
      </c>
    </row>
    <row r="2138" spans="1:2" x14ac:dyDescent="0.25">
      <c r="A2138" s="53" t="s">
        <v>9546</v>
      </c>
      <c r="B2138" s="53" t="s">
        <v>12723</v>
      </c>
    </row>
    <row r="2139" spans="1:2" x14ac:dyDescent="0.25">
      <c r="A2139" s="54" t="s">
        <v>9547</v>
      </c>
      <c r="B2139" s="54" t="s">
        <v>12724</v>
      </c>
    </row>
    <row r="2140" spans="1:2" x14ac:dyDescent="0.25">
      <c r="A2140" s="53" t="s">
        <v>9548</v>
      </c>
      <c r="B2140" s="53" t="s">
        <v>10965</v>
      </c>
    </row>
    <row r="2141" spans="1:2" x14ac:dyDescent="0.25">
      <c r="A2141" s="54" t="s">
        <v>9549</v>
      </c>
      <c r="B2141" s="54" t="s">
        <v>12725</v>
      </c>
    </row>
    <row r="2142" spans="1:2" x14ac:dyDescent="0.25">
      <c r="A2142" s="53" t="s">
        <v>9550</v>
      </c>
      <c r="B2142" s="53" t="s">
        <v>12726</v>
      </c>
    </row>
    <row r="2143" spans="1:2" x14ac:dyDescent="0.25">
      <c r="A2143" s="54" t="s">
        <v>9551</v>
      </c>
      <c r="B2143" s="54" t="s">
        <v>12727</v>
      </c>
    </row>
    <row r="2144" spans="1:2" x14ac:dyDescent="0.25">
      <c r="A2144" s="53" t="s">
        <v>9552</v>
      </c>
      <c r="B2144" s="53" t="s">
        <v>12728</v>
      </c>
    </row>
    <row r="2145" spans="1:2" x14ac:dyDescent="0.25">
      <c r="A2145" s="54" t="s">
        <v>9553</v>
      </c>
      <c r="B2145" s="54" t="s">
        <v>12618</v>
      </c>
    </row>
    <row r="2146" spans="1:2" x14ac:dyDescent="0.25">
      <c r="A2146" s="53" t="s">
        <v>9554</v>
      </c>
      <c r="B2146" s="53" t="s">
        <v>12729</v>
      </c>
    </row>
    <row r="2147" spans="1:2" x14ac:dyDescent="0.25">
      <c r="A2147" s="54" t="s">
        <v>9555</v>
      </c>
      <c r="B2147" s="54" t="s">
        <v>12730</v>
      </c>
    </row>
    <row r="2148" spans="1:2" x14ac:dyDescent="0.25">
      <c r="A2148" s="53" t="s">
        <v>9556</v>
      </c>
      <c r="B2148" s="53" t="s">
        <v>12731</v>
      </c>
    </row>
    <row r="2149" spans="1:2" x14ac:dyDescent="0.25">
      <c r="A2149" s="54" t="s">
        <v>9557</v>
      </c>
      <c r="B2149" s="54" t="s">
        <v>12732</v>
      </c>
    </row>
    <row r="2150" spans="1:2" x14ac:dyDescent="0.25">
      <c r="A2150" s="53" t="s">
        <v>9558</v>
      </c>
      <c r="B2150" s="53" t="s">
        <v>12733</v>
      </c>
    </row>
    <row r="2151" spans="1:2" x14ac:dyDescent="0.25">
      <c r="A2151" s="54" t="s">
        <v>9559</v>
      </c>
      <c r="B2151" s="54" t="s">
        <v>12734</v>
      </c>
    </row>
    <row r="2152" spans="1:2" x14ac:dyDescent="0.25">
      <c r="A2152" s="53" t="s">
        <v>9560</v>
      </c>
      <c r="B2152" s="53" t="s">
        <v>12735</v>
      </c>
    </row>
    <row r="2153" spans="1:2" x14ac:dyDescent="0.25">
      <c r="A2153" s="54" t="s">
        <v>9561</v>
      </c>
      <c r="B2153" s="54" t="s">
        <v>12736</v>
      </c>
    </row>
    <row r="2154" spans="1:2" x14ac:dyDescent="0.25">
      <c r="A2154" s="53" t="s">
        <v>9562</v>
      </c>
      <c r="B2154" s="53" t="s">
        <v>12737</v>
      </c>
    </row>
    <row r="2155" spans="1:2" x14ac:dyDescent="0.25">
      <c r="A2155" s="54" t="s">
        <v>9563</v>
      </c>
      <c r="B2155" s="54" t="s">
        <v>12738</v>
      </c>
    </row>
    <row r="2156" spans="1:2" x14ac:dyDescent="0.25">
      <c r="A2156" s="53" t="s">
        <v>9564</v>
      </c>
      <c r="B2156" s="53" t="s">
        <v>12739</v>
      </c>
    </row>
    <row r="2157" spans="1:2" x14ac:dyDescent="0.25">
      <c r="A2157" s="54" t="s">
        <v>9565</v>
      </c>
      <c r="B2157" s="54" t="s">
        <v>12740</v>
      </c>
    </row>
    <row r="2158" spans="1:2" x14ac:dyDescent="0.25">
      <c r="A2158" s="53" t="s">
        <v>9566</v>
      </c>
      <c r="B2158" s="53" t="s">
        <v>11276</v>
      </c>
    </row>
    <row r="2159" spans="1:2" x14ac:dyDescent="0.25">
      <c r="A2159" s="54" t="s">
        <v>9567</v>
      </c>
      <c r="B2159" s="54" t="s">
        <v>12741</v>
      </c>
    </row>
    <row r="2160" spans="1:2" x14ac:dyDescent="0.25">
      <c r="A2160" s="53" t="s">
        <v>9568</v>
      </c>
      <c r="B2160" s="53" t="s">
        <v>12742</v>
      </c>
    </row>
    <row r="2161" spans="1:2" x14ac:dyDescent="0.25">
      <c r="A2161" s="54" t="s">
        <v>9569</v>
      </c>
      <c r="B2161" s="54" t="s">
        <v>12743</v>
      </c>
    </row>
    <row r="2162" spans="1:2" x14ac:dyDescent="0.25">
      <c r="A2162" s="53" t="s">
        <v>9570</v>
      </c>
      <c r="B2162" s="53" t="s">
        <v>12744</v>
      </c>
    </row>
    <row r="2163" spans="1:2" x14ac:dyDescent="0.25">
      <c r="A2163" s="54" t="s">
        <v>9571</v>
      </c>
      <c r="B2163" s="54" t="s">
        <v>12745</v>
      </c>
    </row>
    <row r="2164" spans="1:2" x14ac:dyDescent="0.25">
      <c r="A2164" s="53" t="s">
        <v>9572</v>
      </c>
      <c r="B2164" s="53" t="s">
        <v>11687</v>
      </c>
    </row>
    <row r="2165" spans="1:2" x14ac:dyDescent="0.25">
      <c r="A2165" s="54" t="s">
        <v>9573</v>
      </c>
      <c r="B2165" s="54" t="s">
        <v>12746</v>
      </c>
    </row>
    <row r="2166" spans="1:2" x14ac:dyDescent="0.25">
      <c r="A2166" s="53" t="s">
        <v>9574</v>
      </c>
      <c r="B2166" s="53" t="s">
        <v>12747</v>
      </c>
    </row>
    <row r="2167" spans="1:2" x14ac:dyDescent="0.25">
      <c r="A2167" s="54" t="s">
        <v>9575</v>
      </c>
      <c r="B2167" s="54" t="s">
        <v>12748</v>
      </c>
    </row>
    <row r="2168" spans="1:2" x14ac:dyDescent="0.25">
      <c r="A2168" s="53" t="s">
        <v>9576</v>
      </c>
      <c r="B2168" s="53" t="s">
        <v>12749</v>
      </c>
    </row>
    <row r="2169" spans="1:2" x14ac:dyDescent="0.25">
      <c r="A2169" s="54" t="s">
        <v>9577</v>
      </c>
      <c r="B2169" s="54" t="s">
        <v>12750</v>
      </c>
    </row>
    <row r="2170" spans="1:2" x14ac:dyDescent="0.25">
      <c r="A2170" s="53" t="s">
        <v>9578</v>
      </c>
      <c r="B2170" s="53" t="s">
        <v>12751</v>
      </c>
    </row>
    <row r="2171" spans="1:2" x14ac:dyDescent="0.25">
      <c r="A2171" s="54" t="s">
        <v>9579</v>
      </c>
      <c r="B2171" s="54" t="s">
        <v>12752</v>
      </c>
    </row>
    <row r="2172" spans="1:2" x14ac:dyDescent="0.25">
      <c r="A2172" s="53" t="s">
        <v>9580</v>
      </c>
      <c r="B2172" s="53" t="s">
        <v>12753</v>
      </c>
    </row>
    <row r="2173" spans="1:2" x14ac:dyDescent="0.25">
      <c r="A2173" s="54" t="s">
        <v>9581</v>
      </c>
      <c r="B2173" s="54" t="s">
        <v>12754</v>
      </c>
    </row>
    <row r="2174" spans="1:2" x14ac:dyDescent="0.25">
      <c r="A2174" s="53" t="s">
        <v>9582</v>
      </c>
      <c r="B2174" s="53" t="s">
        <v>12755</v>
      </c>
    </row>
    <row r="2175" spans="1:2" x14ac:dyDescent="0.25">
      <c r="A2175" s="54" t="s">
        <v>9583</v>
      </c>
      <c r="B2175" s="54" t="s">
        <v>12756</v>
      </c>
    </row>
    <row r="2176" spans="1:2" x14ac:dyDescent="0.25">
      <c r="A2176" s="53" t="s">
        <v>9584</v>
      </c>
      <c r="B2176" s="53" t="s">
        <v>12510</v>
      </c>
    </row>
    <row r="2177" spans="1:2" x14ac:dyDescent="0.25">
      <c r="A2177" s="54" t="s">
        <v>9585</v>
      </c>
      <c r="B2177" s="54" t="s">
        <v>12757</v>
      </c>
    </row>
    <row r="2178" spans="1:2" x14ac:dyDescent="0.25">
      <c r="A2178" s="53" t="s">
        <v>9586</v>
      </c>
      <c r="B2178" s="53" t="s">
        <v>12758</v>
      </c>
    </row>
    <row r="2179" spans="1:2" x14ac:dyDescent="0.25">
      <c r="A2179" s="54" t="s">
        <v>9587</v>
      </c>
      <c r="B2179" s="54" t="s">
        <v>12759</v>
      </c>
    </row>
    <row r="2180" spans="1:2" x14ac:dyDescent="0.25">
      <c r="A2180" s="53" t="s">
        <v>9588</v>
      </c>
      <c r="B2180" s="53" t="s">
        <v>12760</v>
      </c>
    </row>
    <row r="2181" spans="1:2" x14ac:dyDescent="0.25">
      <c r="A2181" s="54" t="s">
        <v>9589</v>
      </c>
      <c r="B2181" s="54" t="s">
        <v>12761</v>
      </c>
    </row>
    <row r="2182" spans="1:2" x14ac:dyDescent="0.25">
      <c r="A2182" s="53" t="s">
        <v>9590</v>
      </c>
      <c r="B2182" s="53" t="s">
        <v>12762</v>
      </c>
    </row>
    <row r="2183" spans="1:2" x14ac:dyDescent="0.25">
      <c r="A2183" s="54" t="s">
        <v>9591</v>
      </c>
      <c r="B2183" s="54" t="s">
        <v>12763</v>
      </c>
    </row>
    <row r="2184" spans="1:2" x14ac:dyDescent="0.25">
      <c r="A2184" s="53" t="s">
        <v>9592</v>
      </c>
      <c r="B2184" s="53" t="s">
        <v>12764</v>
      </c>
    </row>
    <row r="2185" spans="1:2" x14ac:dyDescent="0.25">
      <c r="A2185" s="54" t="s">
        <v>9593</v>
      </c>
      <c r="B2185" s="54" t="s">
        <v>12765</v>
      </c>
    </row>
    <row r="2186" spans="1:2" x14ac:dyDescent="0.25">
      <c r="A2186" s="53" t="s">
        <v>9594</v>
      </c>
      <c r="B2186" s="53" t="s">
        <v>12766</v>
      </c>
    </row>
    <row r="2187" spans="1:2" x14ac:dyDescent="0.25">
      <c r="A2187" s="54" t="s">
        <v>9595</v>
      </c>
      <c r="B2187" s="54" t="s">
        <v>12767</v>
      </c>
    </row>
    <row r="2188" spans="1:2" x14ac:dyDescent="0.25">
      <c r="A2188" s="53" t="s">
        <v>9596</v>
      </c>
      <c r="B2188" s="53" t="s">
        <v>12454</v>
      </c>
    </row>
    <row r="2189" spans="1:2" x14ac:dyDescent="0.25">
      <c r="A2189" s="54" t="s">
        <v>9597</v>
      </c>
      <c r="B2189" s="54" t="s">
        <v>12768</v>
      </c>
    </row>
    <row r="2190" spans="1:2" x14ac:dyDescent="0.25">
      <c r="A2190" s="53" t="s">
        <v>9598</v>
      </c>
      <c r="B2190" s="53" t="s">
        <v>12769</v>
      </c>
    </row>
    <row r="2191" spans="1:2" x14ac:dyDescent="0.25">
      <c r="A2191" s="54" t="s">
        <v>9599</v>
      </c>
      <c r="B2191" s="54" t="s">
        <v>12770</v>
      </c>
    </row>
    <row r="2192" spans="1:2" x14ac:dyDescent="0.25">
      <c r="A2192" s="53" t="s">
        <v>9600</v>
      </c>
      <c r="B2192" s="53" t="s">
        <v>12771</v>
      </c>
    </row>
    <row r="2193" spans="1:2" x14ac:dyDescent="0.25">
      <c r="A2193" s="54" t="s">
        <v>9601</v>
      </c>
      <c r="B2193" s="54" t="s">
        <v>12772</v>
      </c>
    </row>
    <row r="2194" spans="1:2" x14ac:dyDescent="0.25">
      <c r="A2194" s="53" t="s">
        <v>9602</v>
      </c>
      <c r="B2194" s="53" t="s">
        <v>12773</v>
      </c>
    </row>
    <row r="2195" spans="1:2" x14ac:dyDescent="0.25">
      <c r="A2195" s="54" t="s">
        <v>9603</v>
      </c>
      <c r="B2195" s="54" t="s">
        <v>12774</v>
      </c>
    </row>
    <row r="2196" spans="1:2" x14ac:dyDescent="0.25">
      <c r="A2196" s="53" t="s">
        <v>9604</v>
      </c>
      <c r="B2196" s="53" t="s">
        <v>10865</v>
      </c>
    </row>
    <row r="2197" spans="1:2" x14ac:dyDescent="0.25">
      <c r="A2197" s="54" t="s">
        <v>9605</v>
      </c>
      <c r="B2197" s="54" t="s">
        <v>12775</v>
      </c>
    </row>
    <row r="2198" spans="1:2" x14ac:dyDescent="0.25">
      <c r="A2198" s="53" t="s">
        <v>9606</v>
      </c>
      <c r="B2198" s="53" t="s">
        <v>12776</v>
      </c>
    </row>
    <row r="2199" spans="1:2" x14ac:dyDescent="0.25">
      <c r="A2199" s="54" t="s">
        <v>9607</v>
      </c>
      <c r="B2199" s="54" t="s">
        <v>12777</v>
      </c>
    </row>
    <row r="2200" spans="1:2" x14ac:dyDescent="0.25">
      <c r="A2200" s="53" t="s">
        <v>9608</v>
      </c>
      <c r="B2200" s="53" t="s">
        <v>12778</v>
      </c>
    </row>
    <row r="2201" spans="1:2" x14ac:dyDescent="0.25">
      <c r="A2201" s="54" t="s">
        <v>9609</v>
      </c>
      <c r="B2201" s="54" t="s">
        <v>12779</v>
      </c>
    </row>
    <row r="2202" spans="1:2" x14ac:dyDescent="0.25">
      <c r="A2202" s="53" t="s">
        <v>9610</v>
      </c>
      <c r="B2202" s="53" t="s">
        <v>12780</v>
      </c>
    </row>
    <row r="2203" spans="1:2" x14ac:dyDescent="0.25">
      <c r="A2203" s="54" t="s">
        <v>9611</v>
      </c>
      <c r="B2203" s="54" t="s">
        <v>12781</v>
      </c>
    </row>
    <row r="2204" spans="1:2" x14ac:dyDescent="0.25">
      <c r="A2204" s="53" t="s">
        <v>9612</v>
      </c>
      <c r="B2204" s="53" t="s">
        <v>12782</v>
      </c>
    </row>
    <row r="2205" spans="1:2" x14ac:dyDescent="0.25">
      <c r="A2205" s="54" t="s">
        <v>9613</v>
      </c>
      <c r="B2205" s="54" t="s">
        <v>12783</v>
      </c>
    </row>
    <row r="2206" spans="1:2" x14ac:dyDescent="0.25">
      <c r="A2206" s="53" t="s">
        <v>9614</v>
      </c>
      <c r="B2206" s="53" t="s">
        <v>12784</v>
      </c>
    </row>
    <row r="2207" spans="1:2" x14ac:dyDescent="0.25">
      <c r="A2207" s="54" t="s">
        <v>9615</v>
      </c>
      <c r="B2207" s="54" t="s">
        <v>12785</v>
      </c>
    </row>
    <row r="2208" spans="1:2" x14ac:dyDescent="0.25">
      <c r="A2208" s="53" t="s">
        <v>9616</v>
      </c>
      <c r="B2208" s="53" t="s">
        <v>12786</v>
      </c>
    </row>
    <row r="2209" spans="1:2" x14ac:dyDescent="0.25">
      <c r="A2209" s="54" t="s">
        <v>9617</v>
      </c>
      <c r="B2209" s="54" t="s">
        <v>12787</v>
      </c>
    </row>
    <row r="2210" spans="1:2" x14ac:dyDescent="0.25">
      <c r="A2210" s="53" t="s">
        <v>9618</v>
      </c>
      <c r="B2210" s="53" t="s">
        <v>12788</v>
      </c>
    </row>
    <row r="2211" spans="1:2" x14ac:dyDescent="0.25">
      <c r="A2211" s="54" t="s">
        <v>9619</v>
      </c>
      <c r="B2211" s="54" t="s">
        <v>12789</v>
      </c>
    </row>
    <row r="2212" spans="1:2" x14ac:dyDescent="0.25">
      <c r="A2212" s="53" t="s">
        <v>9620</v>
      </c>
      <c r="B2212" s="53" t="s">
        <v>12790</v>
      </c>
    </row>
    <row r="2213" spans="1:2" x14ac:dyDescent="0.25">
      <c r="A2213" s="54" t="s">
        <v>9621</v>
      </c>
      <c r="B2213" s="54" t="s">
        <v>12791</v>
      </c>
    </row>
    <row r="2214" spans="1:2" x14ac:dyDescent="0.25">
      <c r="A2214" s="53" t="s">
        <v>9622</v>
      </c>
      <c r="B2214" s="53" t="s">
        <v>12792</v>
      </c>
    </row>
    <row r="2215" spans="1:2" x14ac:dyDescent="0.25">
      <c r="A2215" s="54" t="s">
        <v>9623</v>
      </c>
      <c r="B2215" s="54" t="s">
        <v>12793</v>
      </c>
    </row>
    <row r="2216" spans="1:2" x14ac:dyDescent="0.25">
      <c r="A2216" s="53" t="s">
        <v>9624</v>
      </c>
      <c r="B2216" s="53" t="s">
        <v>12793</v>
      </c>
    </row>
    <row r="2217" spans="1:2" x14ac:dyDescent="0.25">
      <c r="A2217" s="54" t="s">
        <v>9625</v>
      </c>
      <c r="B2217" s="54" t="s">
        <v>12794</v>
      </c>
    </row>
    <row r="2218" spans="1:2" x14ac:dyDescent="0.25">
      <c r="A2218" s="53" t="s">
        <v>9626</v>
      </c>
      <c r="B2218" s="53" t="s">
        <v>12795</v>
      </c>
    </row>
    <row r="2219" spans="1:2" x14ac:dyDescent="0.25">
      <c r="A2219" s="54" t="s">
        <v>9627</v>
      </c>
      <c r="B2219" s="54" t="s">
        <v>12796</v>
      </c>
    </row>
    <row r="2220" spans="1:2" x14ac:dyDescent="0.25">
      <c r="A2220" s="53" t="s">
        <v>9628</v>
      </c>
      <c r="B2220" s="53" t="s">
        <v>12797</v>
      </c>
    </row>
    <row r="2221" spans="1:2" x14ac:dyDescent="0.25">
      <c r="A2221" s="54" t="s">
        <v>9629</v>
      </c>
      <c r="B2221" s="54" t="s">
        <v>12798</v>
      </c>
    </row>
    <row r="2222" spans="1:2" x14ac:dyDescent="0.25">
      <c r="A2222" s="53" t="s">
        <v>9630</v>
      </c>
      <c r="B2222" s="53" t="s">
        <v>12799</v>
      </c>
    </row>
    <row r="2223" spans="1:2" x14ac:dyDescent="0.25">
      <c r="A2223" s="54" t="s">
        <v>9631</v>
      </c>
      <c r="B2223" s="54" t="s">
        <v>11477</v>
      </c>
    </row>
    <row r="2224" spans="1:2" x14ac:dyDescent="0.25">
      <c r="A2224" s="53" t="s">
        <v>9632</v>
      </c>
      <c r="B2224" s="53" t="s">
        <v>12800</v>
      </c>
    </row>
    <row r="2225" spans="1:2" x14ac:dyDescent="0.25">
      <c r="A2225" s="54" t="s">
        <v>9633</v>
      </c>
      <c r="B2225" s="54" t="s">
        <v>12801</v>
      </c>
    </row>
    <row r="2226" spans="1:2" x14ac:dyDescent="0.25">
      <c r="A2226" s="53" t="s">
        <v>9634</v>
      </c>
      <c r="B2226" s="53" t="s">
        <v>779</v>
      </c>
    </row>
    <row r="2227" spans="1:2" x14ac:dyDescent="0.25">
      <c r="A2227" s="54" t="s">
        <v>9635</v>
      </c>
      <c r="B2227" s="54" t="s">
        <v>12802</v>
      </c>
    </row>
    <row r="2228" spans="1:2" x14ac:dyDescent="0.25">
      <c r="A2228" s="53" t="s">
        <v>9636</v>
      </c>
      <c r="B2228" s="53" t="s">
        <v>12803</v>
      </c>
    </row>
    <row r="2229" spans="1:2" x14ac:dyDescent="0.25">
      <c r="A2229" s="54" t="s">
        <v>9637</v>
      </c>
      <c r="B2229" s="54" t="s">
        <v>12804</v>
      </c>
    </row>
    <row r="2230" spans="1:2" x14ac:dyDescent="0.25">
      <c r="A2230" s="53" t="s">
        <v>9638</v>
      </c>
      <c r="B2230" s="53" t="s">
        <v>12805</v>
      </c>
    </row>
    <row r="2231" spans="1:2" x14ac:dyDescent="0.25">
      <c r="A2231" s="54" t="s">
        <v>9639</v>
      </c>
      <c r="B2231" s="54" t="s">
        <v>12806</v>
      </c>
    </row>
    <row r="2232" spans="1:2" x14ac:dyDescent="0.25">
      <c r="A2232" s="53" t="s">
        <v>9640</v>
      </c>
      <c r="B2232" s="53" t="s">
        <v>12807</v>
      </c>
    </row>
    <row r="2233" spans="1:2" x14ac:dyDescent="0.25">
      <c r="A2233" s="54" t="s">
        <v>9641</v>
      </c>
      <c r="B2233" s="54" t="s">
        <v>12808</v>
      </c>
    </row>
    <row r="2234" spans="1:2" x14ac:dyDescent="0.25">
      <c r="A2234" s="53" t="s">
        <v>9642</v>
      </c>
      <c r="B2234" s="53" t="s">
        <v>12809</v>
      </c>
    </row>
    <row r="2235" spans="1:2" x14ac:dyDescent="0.25">
      <c r="A2235" s="54" t="s">
        <v>9643</v>
      </c>
      <c r="B2235" s="54" t="s">
        <v>12810</v>
      </c>
    </row>
    <row r="2236" spans="1:2" x14ac:dyDescent="0.25">
      <c r="A2236" s="53" t="s">
        <v>9644</v>
      </c>
      <c r="B2236" s="53" t="s">
        <v>12811</v>
      </c>
    </row>
    <row r="2237" spans="1:2" x14ac:dyDescent="0.25">
      <c r="A2237" s="54" t="s">
        <v>9645</v>
      </c>
      <c r="B2237" s="54" t="s">
        <v>11124</v>
      </c>
    </row>
    <row r="2238" spans="1:2" x14ac:dyDescent="0.25">
      <c r="A2238" s="53" t="s">
        <v>9646</v>
      </c>
      <c r="B2238" s="53" t="s">
        <v>12812</v>
      </c>
    </row>
    <row r="2239" spans="1:2" x14ac:dyDescent="0.25">
      <c r="A2239" s="54" t="s">
        <v>9647</v>
      </c>
      <c r="B2239" s="54" t="s">
        <v>12813</v>
      </c>
    </row>
    <row r="2240" spans="1:2" x14ac:dyDescent="0.25">
      <c r="A2240" s="53" t="s">
        <v>9648</v>
      </c>
      <c r="B2240" s="53" t="s">
        <v>12814</v>
      </c>
    </row>
    <row r="2241" spans="1:2" x14ac:dyDescent="0.25">
      <c r="A2241" s="54" t="s">
        <v>9649</v>
      </c>
      <c r="B2241" s="54" t="s">
        <v>12815</v>
      </c>
    </row>
    <row r="2242" spans="1:2" x14ac:dyDescent="0.25">
      <c r="A2242" s="53" t="s">
        <v>9650</v>
      </c>
      <c r="B2242" s="53" t="s">
        <v>12816</v>
      </c>
    </row>
    <row r="2243" spans="1:2" x14ac:dyDescent="0.25">
      <c r="A2243" s="54" t="s">
        <v>9651</v>
      </c>
      <c r="B2243" s="54" t="s">
        <v>12817</v>
      </c>
    </row>
    <row r="2244" spans="1:2" x14ac:dyDescent="0.25">
      <c r="A2244" s="53" t="s">
        <v>9652</v>
      </c>
      <c r="B2244" s="53" t="s">
        <v>12818</v>
      </c>
    </row>
    <row r="2245" spans="1:2" x14ac:dyDescent="0.25">
      <c r="A2245" s="54" t="s">
        <v>9653</v>
      </c>
      <c r="B2245" s="54" t="s">
        <v>11087</v>
      </c>
    </row>
    <row r="2246" spans="1:2" x14ac:dyDescent="0.25">
      <c r="A2246" s="53" t="s">
        <v>9654</v>
      </c>
      <c r="B2246" s="53" t="s">
        <v>12819</v>
      </c>
    </row>
    <row r="2247" spans="1:2" x14ac:dyDescent="0.25">
      <c r="A2247" s="54" t="s">
        <v>9655</v>
      </c>
      <c r="B2247" s="54" t="s">
        <v>11704</v>
      </c>
    </row>
    <row r="2248" spans="1:2" x14ac:dyDescent="0.25">
      <c r="A2248" s="53" t="s">
        <v>9656</v>
      </c>
      <c r="B2248" s="53" t="s">
        <v>11898</v>
      </c>
    </row>
    <row r="2249" spans="1:2" x14ac:dyDescent="0.25">
      <c r="A2249" s="54" t="s">
        <v>9657</v>
      </c>
      <c r="B2249" s="54" t="s">
        <v>12820</v>
      </c>
    </row>
    <row r="2250" spans="1:2" x14ac:dyDescent="0.25">
      <c r="A2250" s="53" t="s">
        <v>9658</v>
      </c>
      <c r="B2250" s="53" t="s">
        <v>12821</v>
      </c>
    </row>
    <row r="2251" spans="1:2" x14ac:dyDescent="0.25">
      <c r="A2251" s="54" t="s">
        <v>9659</v>
      </c>
      <c r="B2251" s="54" t="s">
        <v>12822</v>
      </c>
    </row>
    <row r="2252" spans="1:2" x14ac:dyDescent="0.25">
      <c r="A2252" s="53" t="s">
        <v>9660</v>
      </c>
      <c r="B2252" s="53" t="s">
        <v>12823</v>
      </c>
    </row>
    <row r="2253" spans="1:2" x14ac:dyDescent="0.25">
      <c r="A2253" s="54" t="s">
        <v>9661</v>
      </c>
      <c r="B2253" s="54" t="s">
        <v>12824</v>
      </c>
    </row>
    <row r="2254" spans="1:2" x14ac:dyDescent="0.25">
      <c r="A2254" s="53" t="s">
        <v>9662</v>
      </c>
      <c r="B2254" s="53" t="s">
        <v>12393</v>
      </c>
    </row>
    <row r="2255" spans="1:2" x14ac:dyDescent="0.25">
      <c r="A2255" s="54" t="s">
        <v>9663</v>
      </c>
      <c r="B2255" s="54" t="s">
        <v>12825</v>
      </c>
    </row>
    <row r="2256" spans="1:2" x14ac:dyDescent="0.25">
      <c r="A2256" s="53" t="s">
        <v>9664</v>
      </c>
      <c r="B2256" s="53" t="s">
        <v>12826</v>
      </c>
    </row>
    <row r="2257" spans="1:2" x14ac:dyDescent="0.25">
      <c r="A2257" s="54" t="s">
        <v>9665</v>
      </c>
      <c r="B2257" s="54" t="s">
        <v>12827</v>
      </c>
    </row>
    <row r="2258" spans="1:2" x14ac:dyDescent="0.25">
      <c r="A2258" s="53" t="s">
        <v>9666</v>
      </c>
      <c r="B2258" s="53" t="s">
        <v>12828</v>
      </c>
    </row>
    <row r="2259" spans="1:2" x14ac:dyDescent="0.25">
      <c r="A2259" s="54" t="s">
        <v>9667</v>
      </c>
      <c r="B2259" s="54" t="s">
        <v>12829</v>
      </c>
    </row>
    <row r="2260" spans="1:2" x14ac:dyDescent="0.25">
      <c r="A2260" s="53" t="s">
        <v>9668</v>
      </c>
      <c r="B2260" s="53" t="s">
        <v>12830</v>
      </c>
    </row>
    <row r="2261" spans="1:2" x14ac:dyDescent="0.25">
      <c r="A2261" s="54" t="s">
        <v>9669</v>
      </c>
      <c r="B2261" s="54" t="s">
        <v>12831</v>
      </c>
    </row>
    <row r="2262" spans="1:2" x14ac:dyDescent="0.25">
      <c r="A2262" s="53" t="s">
        <v>9670</v>
      </c>
      <c r="B2262" s="53" t="s">
        <v>12832</v>
      </c>
    </row>
    <row r="2263" spans="1:2" x14ac:dyDescent="0.25">
      <c r="A2263" s="54" t="s">
        <v>9671</v>
      </c>
      <c r="B2263" s="54" t="s">
        <v>11767</v>
      </c>
    </row>
    <row r="2264" spans="1:2" x14ac:dyDescent="0.25">
      <c r="A2264" s="53" t="s">
        <v>9672</v>
      </c>
      <c r="B2264" s="53" t="s">
        <v>11050</v>
      </c>
    </row>
    <row r="2265" spans="1:2" x14ac:dyDescent="0.25">
      <c r="A2265" s="54" t="s">
        <v>9673</v>
      </c>
      <c r="B2265" s="54" t="s">
        <v>11895</v>
      </c>
    </row>
    <row r="2266" spans="1:2" x14ac:dyDescent="0.25">
      <c r="A2266" s="53" t="s">
        <v>9674</v>
      </c>
      <c r="B2266" s="53" t="s">
        <v>11048</v>
      </c>
    </row>
    <row r="2267" spans="1:2" x14ac:dyDescent="0.25">
      <c r="A2267" s="54" t="s">
        <v>9675</v>
      </c>
      <c r="B2267" s="54" t="s">
        <v>12833</v>
      </c>
    </row>
    <row r="2268" spans="1:2" x14ac:dyDescent="0.25">
      <c r="A2268" s="53" t="s">
        <v>9676</v>
      </c>
      <c r="B2268" s="53" t="s">
        <v>12834</v>
      </c>
    </row>
    <row r="2269" spans="1:2" x14ac:dyDescent="0.25">
      <c r="A2269" s="54" t="s">
        <v>9677</v>
      </c>
      <c r="B2269" s="54" t="s">
        <v>12835</v>
      </c>
    </row>
    <row r="2270" spans="1:2" x14ac:dyDescent="0.25">
      <c r="A2270" s="53" t="s">
        <v>9678</v>
      </c>
      <c r="B2270" s="53" t="s">
        <v>12836</v>
      </c>
    </row>
    <row r="2271" spans="1:2" x14ac:dyDescent="0.25">
      <c r="A2271" s="54" t="s">
        <v>9679</v>
      </c>
      <c r="B2271" s="54" t="s">
        <v>11424</v>
      </c>
    </row>
    <row r="2272" spans="1:2" x14ac:dyDescent="0.25">
      <c r="A2272" s="53" t="s">
        <v>9680</v>
      </c>
      <c r="B2272" s="53" t="s">
        <v>12639</v>
      </c>
    </row>
    <row r="2273" spans="1:2" x14ac:dyDescent="0.25">
      <c r="A2273" s="54" t="s">
        <v>9681</v>
      </c>
      <c r="B2273" s="54" t="s">
        <v>10890</v>
      </c>
    </row>
    <row r="2274" spans="1:2" x14ac:dyDescent="0.25">
      <c r="A2274" s="53" t="s">
        <v>9682</v>
      </c>
      <c r="B2274" s="53" t="s">
        <v>12837</v>
      </c>
    </row>
    <row r="2275" spans="1:2" x14ac:dyDescent="0.25">
      <c r="A2275" s="54" t="s">
        <v>9683</v>
      </c>
      <c r="B2275" s="54" t="s">
        <v>12838</v>
      </c>
    </row>
    <row r="2276" spans="1:2" x14ac:dyDescent="0.25">
      <c r="A2276" s="53" t="s">
        <v>9684</v>
      </c>
      <c r="B2276" s="53" t="s">
        <v>12839</v>
      </c>
    </row>
    <row r="2277" spans="1:2" x14ac:dyDescent="0.25">
      <c r="A2277" s="54" t="s">
        <v>9685</v>
      </c>
      <c r="B2277" s="54" t="s">
        <v>12840</v>
      </c>
    </row>
    <row r="2278" spans="1:2" x14ac:dyDescent="0.25">
      <c r="A2278" s="53" t="s">
        <v>9686</v>
      </c>
      <c r="B2278" s="53" t="s">
        <v>12841</v>
      </c>
    </row>
    <row r="2279" spans="1:2" x14ac:dyDescent="0.25">
      <c r="A2279" s="54" t="s">
        <v>9687</v>
      </c>
      <c r="B2279" s="54" t="s">
        <v>12842</v>
      </c>
    </row>
    <row r="2280" spans="1:2" x14ac:dyDescent="0.25">
      <c r="A2280" s="53" t="s">
        <v>9688</v>
      </c>
      <c r="B2280" s="53" t="s">
        <v>11417</v>
      </c>
    </row>
    <row r="2281" spans="1:2" x14ac:dyDescent="0.25">
      <c r="A2281" s="54" t="s">
        <v>9689</v>
      </c>
      <c r="B2281" s="54" t="s">
        <v>12843</v>
      </c>
    </row>
    <row r="2282" spans="1:2" x14ac:dyDescent="0.25">
      <c r="A2282" s="53" t="s">
        <v>9690</v>
      </c>
      <c r="B2282" s="53" t="s">
        <v>12844</v>
      </c>
    </row>
    <row r="2283" spans="1:2" x14ac:dyDescent="0.25">
      <c r="A2283" s="54" t="s">
        <v>9691</v>
      </c>
      <c r="B2283" s="54" t="s">
        <v>12845</v>
      </c>
    </row>
    <row r="2284" spans="1:2" x14ac:dyDescent="0.25">
      <c r="A2284" s="53" t="s">
        <v>9692</v>
      </c>
      <c r="B2284" s="53" t="s">
        <v>781</v>
      </c>
    </row>
    <row r="2285" spans="1:2" x14ac:dyDescent="0.25">
      <c r="A2285" s="54" t="s">
        <v>9693</v>
      </c>
      <c r="B2285" s="54" t="s">
        <v>12846</v>
      </c>
    </row>
    <row r="2286" spans="1:2" x14ac:dyDescent="0.25">
      <c r="A2286" s="53" t="s">
        <v>9694</v>
      </c>
      <c r="B2286" s="53" t="s">
        <v>12847</v>
      </c>
    </row>
    <row r="2287" spans="1:2" x14ac:dyDescent="0.25">
      <c r="A2287" s="54" t="s">
        <v>9695</v>
      </c>
      <c r="B2287" s="54" t="s">
        <v>12848</v>
      </c>
    </row>
    <row r="2288" spans="1:2" x14ac:dyDescent="0.25">
      <c r="A2288" s="53" t="s">
        <v>9696</v>
      </c>
      <c r="B2288" s="53" t="s">
        <v>12849</v>
      </c>
    </row>
    <row r="2289" spans="1:2" x14ac:dyDescent="0.25">
      <c r="A2289" s="54" t="s">
        <v>9697</v>
      </c>
      <c r="B2289" s="54" t="s">
        <v>12850</v>
      </c>
    </row>
    <row r="2290" spans="1:2" x14ac:dyDescent="0.25">
      <c r="A2290" s="53" t="s">
        <v>9698</v>
      </c>
      <c r="B2290" s="53" t="s">
        <v>12851</v>
      </c>
    </row>
    <row r="2291" spans="1:2" x14ac:dyDescent="0.25">
      <c r="A2291" s="54" t="s">
        <v>9699</v>
      </c>
      <c r="B2291" s="54" t="s">
        <v>12852</v>
      </c>
    </row>
    <row r="2292" spans="1:2" x14ac:dyDescent="0.25">
      <c r="A2292" s="53" t="s">
        <v>9700</v>
      </c>
      <c r="B2292" s="53" t="s">
        <v>10798</v>
      </c>
    </row>
    <row r="2293" spans="1:2" x14ac:dyDescent="0.25">
      <c r="A2293" s="54" t="s">
        <v>9701</v>
      </c>
      <c r="B2293" s="54" t="s">
        <v>11220</v>
      </c>
    </row>
    <row r="2294" spans="1:2" x14ac:dyDescent="0.25">
      <c r="A2294" s="53" t="s">
        <v>9702</v>
      </c>
      <c r="B2294" s="53" t="s">
        <v>12853</v>
      </c>
    </row>
    <row r="2295" spans="1:2" x14ac:dyDescent="0.25">
      <c r="A2295" s="54" t="s">
        <v>9703</v>
      </c>
      <c r="B2295" s="54" t="s">
        <v>12854</v>
      </c>
    </row>
    <row r="2296" spans="1:2" x14ac:dyDescent="0.25">
      <c r="A2296" s="53" t="s">
        <v>9704</v>
      </c>
      <c r="B2296" s="53" t="s">
        <v>12855</v>
      </c>
    </row>
    <row r="2297" spans="1:2" x14ac:dyDescent="0.25">
      <c r="A2297" s="54" t="s">
        <v>9705</v>
      </c>
      <c r="B2297" s="54" t="s">
        <v>12856</v>
      </c>
    </row>
    <row r="2298" spans="1:2" x14ac:dyDescent="0.25">
      <c r="A2298" s="53" t="s">
        <v>9706</v>
      </c>
      <c r="B2298" s="53" t="s">
        <v>12857</v>
      </c>
    </row>
    <row r="2299" spans="1:2" x14ac:dyDescent="0.25">
      <c r="A2299" s="54" t="s">
        <v>9707</v>
      </c>
      <c r="B2299" s="54" t="s">
        <v>12858</v>
      </c>
    </row>
    <row r="2300" spans="1:2" x14ac:dyDescent="0.25">
      <c r="A2300" s="53" t="s">
        <v>9708</v>
      </c>
      <c r="B2300" s="53" t="s">
        <v>10800</v>
      </c>
    </row>
    <row r="2301" spans="1:2" x14ac:dyDescent="0.25">
      <c r="A2301" s="54" t="s">
        <v>9709</v>
      </c>
      <c r="B2301" s="54" t="s">
        <v>12859</v>
      </c>
    </row>
    <row r="2302" spans="1:2" x14ac:dyDescent="0.25">
      <c r="A2302" s="53" t="s">
        <v>9710</v>
      </c>
      <c r="B2302" s="53" t="s">
        <v>12860</v>
      </c>
    </row>
    <row r="2303" spans="1:2" x14ac:dyDescent="0.25">
      <c r="A2303" s="54" t="s">
        <v>9711</v>
      </c>
      <c r="B2303" s="54" t="s">
        <v>12861</v>
      </c>
    </row>
    <row r="2304" spans="1:2" x14ac:dyDescent="0.25">
      <c r="A2304" s="53" t="s">
        <v>9712</v>
      </c>
      <c r="B2304" s="53" t="s">
        <v>12862</v>
      </c>
    </row>
    <row r="2305" spans="1:2" x14ac:dyDescent="0.25">
      <c r="A2305" s="54" t="s">
        <v>9713</v>
      </c>
      <c r="B2305" s="54" t="s">
        <v>12863</v>
      </c>
    </row>
    <row r="2306" spans="1:2" x14ac:dyDescent="0.25">
      <c r="A2306" s="53" t="s">
        <v>9714</v>
      </c>
      <c r="B2306" s="53" t="s">
        <v>12864</v>
      </c>
    </row>
    <row r="2307" spans="1:2" x14ac:dyDescent="0.25">
      <c r="A2307" s="54" t="s">
        <v>9715</v>
      </c>
      <c r="B2307" s="54" t="s">
        <v>12865</v>
      </c>
    </row>
    <row r="2308" spans="1:2" x14ac:dyDescent="0.25">
      <c r="A2308" s="53" t="s">
        <v>9716</v>
      </c>
      <c r="B2308" s="53" t="s">
        <v>12866</v>
      </c>
    </row>
    <row r="2309" spans="1:2" x14ac:dyDescent="0.25">
      <c r="A2309" s="54" t="s">
        <v>9717</v>
      </c>
      <c r="B2309" s="54" t="s">
        <v>12867</v>
      </c>
    </row>
    <row r="2310" spans="1:2" x14ac:dyDescent="0.25">
      <c r="A2310" s="53" t="s">
        <v>9718</v>
      </c>
      <c r="B2310" s="53" t="s">
        <v>12868</v>
      </c>
    </row>
    <row r="2311" spans="1:2" x14ac:dyDescent="0.25">
      <c r="A2311" s="54" t="s">
        <v>9719</v>
      </c>
      <c r="B2311" s="54" t="s">
        <v>12869</v>
      </c>
    </row>
    <row r="2312" spans="1:2" x14ac:dyDescent="0.25">
      <c r="A2312" s="53" t="s">
        <v>9720</v>
      </c>
      <c r="B2312" s="53" t="s">
        <v>12870</v>
      </c>
    </row>
    <row r="2313" spans="1:2" x14ac:dyDescent="0.25">
      <c r="A2313" s="54" t="s">
        <v>9721</v>
      </c>
      <c r="B2313" s="54" t="s">
        <v>11282</v>
      </c>
    </row>
    <row r="2314" spans="1:2" x14ac:dyDescent="0.25">
      <c r="A2314" s="53" t="s">
        <v>9722</v>
      </c>
      <c r="B2314" s="53" t="s">
        <v>12871</v>
      </c>
    </row>
    <row r="2315" spans="1:2" x14ac:dyDescent="0.25">
      <c r="A2315" s="54" t="s">
        <v>9723</v>
      </c>
      <c r="B2315" s="54" t="s">
        <v>12313</v>
      </c>
    </row>
    <row r="2316" spans="1:2" x14ac:dyDescent="0.25">
      <c r="A2316" s="53" t="s">
        <v>9724</v>
      </c>
      <c r="B2316" s="53" t="s">
        <v>12872</v>
      </c>
    </row>
    <row r="2317" spans="1:2" x14ac:dyDescent="0.25">
      <c r="A2317" s="54" t="s">
        <v>9725</v>
      </c>
      <c r="B2317" s="54" t="s">
        <v>12873</v>
      </c>
    </row>
    <row r="2318" spans="1:2" x14ac:dyDescent="0.25">
      <c r="A2318" s="53" t="s">
        <v>9726</v>
      </c>
      <c r="B2318" s="53" t="s">
        <v>12874</v>
      </c>
    </row>
    <row r="2319" spans="1:2" x14ac:dyDescent="0.25">
      <c r="A2319" s="54" t="s">
        <v>9727</v>
      </c>
      <c r="B2319" s="54" t="s">
        <v>12875</v>
      </c>
    </row>
    <row r="2320" spans="1:2" x14ac:dyDescent="0.25">
      <c r="A2320" s="53" t="s">
        <v>9728</v>
      </c>
      <c r="B2320" s="53" t="s">
        <v>11779</v>
      </c>
    </row>
    <row r="2321" spans="1:2" x14ac:dyDescent="0.25">
      <c r="A2321" s="54" t="s">
        <v>9729</v>
      </c>
      <c r="B2321" s="54" t="s">
        <v>12876</v>
      </c>
    </row>
    <row r="2322" spans="1:2" x14ac:dyDescent="0.25">
      <c r="A2322" s="53" t="s">
        <v>9730</v>
      </c>
      <c r="B2322" s="53" t="s">
        <v>12877</v>
      </c>
    </row>
    <row r="2323" spans="1:2" x14ac:dyDescent="0.25">
      <c r="A2323" s="54" t="s">
        <v>9731</v>
      </c>
      <c r="B2323" s="54" t="s">
        <v>12009</v>
      </c>
    </row>
    <row r="2324" spans="1:2" x14ac:dyDescent="0.25">
      <c r="A2324" s="53" t="s">
        <v>9732</v>
      </c>
      <c r="B2324" s="53" t="s">
        <v>12878</v>
      </c>
    </row>
    <row r="2325" spans="1:2" x14ac:dyDescent="0.25">
      <c r="A2325" s="54" t="s">
        <v>9733</v>
      </c>
      <c r="B2325" s="54" t="s">
        <v>12878</v>
      </c>
    </row>
    <row r="2326" spans="1:2" x14ac:dyDescent="0.25">
      <c r="A2326" s="53" t="s">
        <v>9734</v>
      </c>
      <c r="B2326" s="53" t="s">
        <v>12879</v>
      </c>
    </row>
    <row r="2327" spans="1:2" x14ac:dyDescent="0.25">
      <c r="A2327" s="54" t="s">
        <v>9735</v>
      </c>
      <c r="B2327" s="54" t="s">
        <v>12880</v>
      </c>
    </row>
    <row r="2328" spans="1:2" x14ac:dyDescent="0.25">
      <c r="A2328" s="53" t="s">
        <v>9736</v>
      </c>
      <c r="B2328" s="53" t="s">
        <v>12881</v>
      </c>
    </row>
    <row r="2329" spans="1:2" x14ac:dyDescent="0.25">
      <c r="A2329" s="54" t="s">
        <v>9737</v>
      </c>
      <c r="B2329" s="54" t="s">
        <v>12882</v>
      </c>
    </row>
    <row r="2330" spans="1:2" x14ac:dyDescent="0.25">
      <c r="A2330" s="53" t="s">
        <v>9738</v>
      </c>
      <c r="B2330" s="53" t="s">
        <v>11038</v>
      </c>
    </row>
    <row r="2331" spans="1:2" x14ac:dyDescent="0.25">
      <c r="A2331" s="54" t="s">
        <v>9739</v>
      </c>
      <c r="B2331" s="54" t="s">
        <v>12883</v>
      </c>
    </row>
    <row r="2332" spans="1:2" x14ac:dyDescent="0.25">
      <c r="A2332" s="53" t="s">
        <v>9740</v>
      </c>
      <c r="B2332" s="53" t="s">
        <v>12884</v>
      </c>
    </row>
    <row r="2333" spans="1:2" x14ac:dyDescent="0.25">
      <c r="A2333" s="54" t="s">
        <v>9741</v>
      </c>
      <c r="B2333" s="54" t="s">
        <v>12885</v>
      </c>
    </row>
    <row r="2334" spans="1:2" x14ac:dyDescent="0.25">
      <c r="A2334" s="53" t="s">
        <v>9742</v>
      </c>
      <c r="B2334" s="53" t="s">
        <v>12886</v>
      </c>
    </row>
    <row r="2335" spans="1:2" x14ac:dyDescent="0.25">
      <c r="A2335" s="54" t="s">
        <v>9743</v>
      </c>
      <c r="B2335" s="54" t="s">
        <v>12887</v>
      </c>
    </row>
    <row r="2336" spans="1:2" x14ac:dyDescent="0.25">
      <c r="A2336" s="53" t="s">
        <v>9744</v>
      </c>
      <c r="B2336" s="53" t="s">
        <v>12888</v>
      </c>
    </row>
    <row r="2337" spans="1:2" x14ac:dyDescent="0.25">
      <c r="A2337" s="54" t="s">
        <v>9745</v>
      </c>
      <c r="B2337" s="54" t="s">
        <v>12889</v>
      </c>
    </row>
    <row r="2338" spans="1:2" x14ac:dyDescent="0.25">
      <c r="A2338" s="53" t="s">
        <v>9746</v>
      </c>
      <c r="B2338" s="53" t="s">
        <v>12890</v>
      </c>
    </row>
    <row r="2339" spans="1:2" x14ac:dyDescent="0.25">
      <c r="A2339" s="54" t="s">
        <v>9747</v>
      </c>
      <c r="B2339" s="54" t="s">
        <v>12891</v>
      </c>
    </row>
    <row r="2340" spans="1:2" x14ac:dyDescent="0.25">
      <c r="A2340" s="53" t="s">
        <v>9748</v>
      </c>
      <c r="B2340" s="53" t="s">
        <v>12892</v>
      </c>
    </row>
    <row r="2341" spans="1:2" x14ac:dyDescent="0.25">
      <c r="A2341" s="54" t="s">
        <v>9749</v>
      </c>
      <c r="B2341" s="54" t="s">
        <v>12893</v>
      </c>
    </row>
    <row r="2342" spans="1:2" x14ac:dyDescent="0.25">
      <c r="A2342" s="53" t="s">
        <v>9750</v>
      </c>
      <c r="B2342" s="53" t="s">
        <v>12894</v>
      </c>
    </row>
    <row r="2343" spans="1:2" x14ac:dyDescent="0.25">
      <c r="A2343" s="54" t="s">
        <v>9751</v>
      </c>
      <c r="B2343" s="54" t="s">
        <v>12895</v>
      </c>
    </row>
    <row r="2344" spans="1:2" x14ac:dyDescent="0.25">
      <c r="A2344" s="53" t="s">
        <v>9752</v>
      </c>
      <c r="B2344" s="53" t="s">
        <v>12896</v>
      </c>
    </row>
    <row r="2345" spans="1:2" x14ac:dyDescent="0.25">
      <c r="A2345" s="54" t="s">
        <v>9753</v>
      </c>
      <c r="B2345" s="54" t="s">
        <v>12897</v>
      </c>
    </row>
    <row r="2346" spans="1:2" x14ac:dyDescent="0.25">
      <c r="A2346" s="53" t="s">
        <v>9754</v>
      </c>
      <c r="B2346" s="53" t="s">
        <v>12898</v>
      </c>
    </row>
    <row r="2347" spans="1:2" x14ac:dyDescent="0.25">
      <c r="A2347" s="54" t="s">
        <v>9755</v>
      </c>
      <c r="B2347" s="54" t="s">
        <v>12899</v>
      </c>
    </row>
    <row r="2348" spans="1:2" x14ac:dyDescent="0.25">
      <c r="A2348" s="53" t="s">
        <v>9756</v>
      </c>
      <c r="B2348" s="53" t="s">
        <v>12900</v>
      </c>
    </row>
    <row r="2349" spans="1:2" x14ac:dyDescent="0.25">
      <c r="A2349" s="54" t="s">
        <v>9757</v>
      </c>
      <c r="B2349" s="54" t="s">
        <v>12853</v>
      </c>
    </row>
    <row r="2350" spans="1:2" x14ac:dyDescent="0.25">
      <c r="A2350" s="53" t="s">
        <v>9758</v>
      </c>
      <c r="B2350" s="53" t="s">
        <v>12901</v>
      </c>
    </row>
    <row r="2351" spans="1:2" x14ac:dyDescent="0.25">
      <c r="A2351" s="54" t="s">
        <v>9759</v>
      </c>
      <c r="B2351" s="54" t="s">
        <v>12902</v>
      </c>
    </row>
    <row r="2352" spans="1:2" x14ac:dyDescent="0.25">
      <c r="A2352" s="53" t="s">
        <v>9760</v>
      </c>
      <c r="B2352" s="53" t="s">
        <v>12903</v>
      </c>
    </row>
    <row r="2353" spans="1:2" x14ac:dyDescent="0.25">
      <c r="A2353" s="54" t="s">
        <v>9761</v>
      </c>
      <c r="B2353" s="54" t="s">
        <v>12904</v>
      </c>
    </row>
    <row r="2354" spans="1:2" x14ac:dyDescent="0.25">
      <c r="A2354" s="53" t="s">
        <v>9762</v>
      </c>
      <c r="B2354" s="53" t="s">
        <v>12905</v>
      </c>
    </row>
    <row r="2355" spans="1:2" x14ac:dyDescent="0.25">
      <c r="A2355" s="54" t="s">
        <v>9763</v>
      </c>
      <c r="B2355" s="54" t="s">
        <v>12906</v>
      </c>
    </row>
    <row r="2356" spans="1:2" x14ac:dyDescent="0.25">
      <c r="A2356" s="53" t="s">
        <v>9764</v>
      </c>
      <c r="B2356" s="53" t="s">
        <v>12907</v>
      </c>
    </row>
    <row r="2357" spans="1:2" x14ac:dyDescent="0.25">
      <c r="A2357" s="54" t="s">
        <v>9765</v>
      </c>
      <c r="B2357" s="54" t="s">
        <v>10808</v>
      </c>
    </row>
    <row r="2358" spans="1:2" x14ac:dyDescent="0.25">
      <c r="A2358" s="53" t="s">
        <v>9766</v>
      </c>
      <c r="B2358" s="53" t="s">
        <v>12908</v>
      </c>
    </row>
    <row r="2359" spans="1:2" x14ac:dyDescent="0.25">
      <c r="A2359" s="54" t="s">
        <v>9767</v>
      </c>
      <c r="B2359" s="54" t="s">
        <v>12909</v>
      </c>
    </row>
    <row r="2360" spans="1:2" x14ac:dyDescent="0.25">
      <c r="A2360" s="53" t="s">
        <v>9768</v>
      </c>
      <c r="B2360" s="53" t="s">
        <v>12910</v>
      </c>
    </row>
    <row r="2361" spans="1:2" x14ac:dyDescent="0.25">
      <c r="A2361" s="54" t="s">
        <v>9769</v>
      </c>
      <c r="B2361" s="54" t="s">
        <v>12911</v>
      </c>
    </row>
    <row r="2362" spans="1:2" x14ac:dyDescent="0.25">
      <c r="A2362" s="53" t="s">
        <v>9770</v>
      </c>
      <c r="B2362" s="53" t="s">
        <v>12912</v>
      </c>
    </row>
    <row r="2363" spans="1:2" x14ac:dyDescent="0.25">
      <c r="A2363" s="54" t="s">
        <v>9771</v>
      </c>
      <c r="B2363" s="54" t="s">
        <v>12913</v>
      </c>
    </row>
    <row r="2364" spans="1:2" x14ac:dyDescent="0.25">
      <c r="A2364" s="53" t="s">
        <v>9772</v>
      </c>
      <c r="B2364" s="53" t="s">
        <v>12914</v>
      </c>
    </row>
    <row r="2365" spans="1:2" x14ac:dyDescent="0.25">
      <c r="A2365" s="54" t="s">
        <v>9773</v>
      </c>
      <c r="B2365" s="54" t="s">
        <v>12915</v>
      </c>
    </row>
    <row r="2366" spans="1:2" x14ac:dyDescent="0.25">
      <c r="A2366" s="53" t="s">
        <v>9774</v>
      </c>
      <c r="B2366" s="53" t="s">
        <v>12916</v>
      </c>
    </row>
    <row r="2367" spans="1:2" x14ac:dyDescent="0.25">
      <c r="A2367" s="54" t="s">
        <v>9775</v>
      </c>
      <c r="B2367" s="54" t="s">
        <v>12917</v>
      </c>
    </row>
    <row r="2368" spans="1:2" x14ac:dyDescent="0.25">
      <c r="A2368" s="53" t="s">
        <v>9776</v>
      </c>
      <c r="B2368" s="53" t="s">
        <v>12918</v>
      </c>
    </row>
    <row r="2369" spans="1:2" x14ac:dyDescent="0.25">
      <c r="A2369" s="54" t="s">
        <v>9777</v>
      </c>
      <c r="B2369" s="54" t="s">
        <v>12919</v>
      </c>
    </row>
    <row r="2370" spans="1:2" x14ac:dyDescent="0.25">
      <c r="A2370" s="53" t="s">
        <v>9778</v>
      </c>
      <c r="B2370" s="53" t="s">
        <v>12920</v>
      </c>
    </row>
    <row r="2371" spans="1:2" x14ac:dyDescent="0.25">
      <c r="A2371" s="54" t="s">
        <v>9779</v>
      </c>
      <c r="B2371" s="54" t="s">
        <v>12921</v>
      </c>
    </row>
    <row r="2372" spans="1:2" x14ac:dyDescent="0.25">
      <c r="A2372" s="53" t="s">
        <v>9780</v>
      </c>
      <c r="B2372" s="53" t="s">
        <v>12922</v>
      </c>
    </row>
    <row r="2373" spans="1:2" x14ac:dyDescent="0.25">
      <c r="A2373" s="54" t="s">
        <v>9781</v>
      </c>
      <c r="B2373" s="54" t="s">
        <v>12923</v>
      </c>
    </row>
    <row r="2374" spans="1:2" x14ac:dyDescent="0.25">
      <c r="A2374" s="53" t="s">
        <v>9782</v>
      </c>
      <c r="B2374" s="53" t="s">
        <v>12924</v>
      </c>
    </row>
    <row r="2375" spans="1:2" x14ac:dyDescent="0.25">
      <c r="A2375" s="54" t="s">
        <v>9783</v>
      </c>
      <c r="B2375" s="54" t="s">
        <v>12925</v>
      </c>
    </row>
    <row r="2376" spans="1:2" x14ac:dyDescent="0.25">
      <c r="A2376" s="53" t="s">
        <v>9784</v>
      </c>
      <c r="B2376" s="53" t="s">
        <v>12926</v>
      </c>
    </row>
    <row r="2377" spans="1:2" x14ac:dyDescent="0.25">
      <c r="A2377" s="54" t="s">
        <v>9785</v>
      </c>
      <c r="B2377" s="54" t="s">
        <v>12927</v>
      </c>
    </row>
    <row r="2378" spans="1:2" x14ac:dyDescent="0.25">
      <c r="A2378" s="53" t="s">
        <v>9786</v>
      </c>
      <c r="B2378" s="53" t="s">
        <v>11411</v>
      </c>
    </row>
    <row r="2379" spans="1:2" x14ac:dyDescent="0.25">
      <c r="A2379" s="54" t="s">
        <v>9787</v>
      </c>
      <c r="B2379" s="54" t="s">
        <v>12928</v>
      </c>
    </row>
    <row r="2380" spans="1:2" x14ac:dyDescent="0.25">
      <c r="A2380" s="53" t="s">
        <v>9788</v>
      </c>
      <c r="B2380" s="53" t="s">
        <v>12929</v>
      </c>
    </row>
    <row r="2381" spans="1:2" x14ac:dyDescent="0.25">
      <c r="A2381" s="54" t="s">
        <v>9789</v>
      </c>
      <c r="B2381" s="54" t="s">
        <v>11054</v>
      </c>
    </row>
    <row r="2382" spans="1:2" x14ac:dyDescent="0.25">
      <c r="A2382" s="53" t="s">
        <v>9790</v>
      </c>
      <c r="B2382" s="53" t="s">
        <v>12930</v>
      </c>
    </row>
    <row r="2383" spans="1:2" x14ac:dyDescent="0.25">
      <c r="A2383" s="54" t="s">
        <v>9791</v>
      </c>
      <c r="B2383" s="54" t="s">
        <v>12931</v>
      </c>
    </row>
    <row r="2384" spans="1:2" x14ac:dyDescent="0.25">
      <c r="A2384" s="53" t="s">
        <v>9792</v>
      </c>
      <c r="B2384" s="53" t="s">
        <v>12932</v>
      </c>
    </row>
    <row r="2385" spans="1:2" x14ac:dyDescent="0.25">
      <c r="A2385" s="54" t="s">
        <v>9793</v>
      </c>
      <c r="B2385" s="54" t="s">
        <v>12933</v>
      </c>
    </row>
    <row r="2386" spans="1:2" x14ac:dyDescent="0.25">
      <c r="A2386" s="53" t="s">
        <v>9794</v>
      </c>
      <c r="B2386" s="53" t="s">
        <v>12934</v>
      </c>
    </row>
    <row r="2387" spans="1:2" x14ac:dyDescent="0.25">
      <c r="A2387" s="54" t="s">
        <v>9795</v>
      </c>
      <c r="B2387" s="54" t="s">
        <v>12935</v>
      </c>
    </row>
    <row r="2388" spans="1:2" x14ac:dyDescent="0.25">
      <c r="A2388" s="53" t="s">
        <v>9796</v>
      </c>
      <c r="B2388" s="53" t="s">
        <v>12936</v>
      </c>
    </row>
    <row r="2389" spans="1:2" x14ac:dyDescent="0.25">
      <c r="A2389" s="54" t="s">
        <v>9797</v>
      </c>
      <c r="B2389" s="54" t="s">
        <v>12937</v>
      </c>
    </row>
    <row r="2390" spans="1:2" x14ac:dyDescent="0.25">
      <c r="A2390" s="53" t="s">
        <v>9798</v>
      </c>
      <c r="B2390" s="53" t="s">
        <v>12938</v>
      </c>
    </row>
    <row r="2391" spans="1:2" x14ac:dyDescent="0.25">
      <c r="A2391" s="54" t="s">
        <v>9799</v>
      </c>
      <c r="B2391" s="54" t="s">
        <v>12939</v>
      </c>
    </row>
    <row r="2392" spans="1:2" x14ac:dyDescent="0.25">
      <c r="A2392" s="53" t="s">
        <v>9800</v>
      </c>
      <c r="B2392" s="53" t="s">
        <v>12940</v>
      </c>
    </row>
    <row r="2393" spans="1:2" x14ac:dyDescent="0.25">
      <c r="A2393" s="54" t="s">
        <v>9801</v>
      </c>
      <c r="B2393" s="54" t="s">
        <v>12941</v>
      </c>
    </row>
    <row r="2394" spans="1:2" x14ac:dyDescent="0.25">
      <c r="A2394" s="53" t="s">
        <v>9802</v>
      </c>
      <c r="B2394" s="53" t="s">
        <v>12942</v>
      </c>
    </row>
    <row r="2395" spans="1:2" x14ac:dyDescent="0.25">
      <c r="A2395" s="54" t="s">
        <v>9803</v>
      </c>
      <c r="B2395" s="54" t="s">
        <v>12943</v>
      </c>
    </row>
    <row r="2396" spans="1:2" x14ac:dyDescent="0.25">
      <c r="A2396" s="53" t="s">
        <v>9804</v>
      </c>
      <c r="B2396" s="53" t="s">
        <v>12944</v>
      </c>
    </row>
    <row r="2397" spans="1:2" x14ac:dyDescent="0.25">
      <c r="A2397" s="54" t="s">
        <v>9805</v>
      </c>
      <c r="B2397" s="54" t="s">
        <v>12945</v>
      </c>
    </row>
    <row r="2398" spans="1:2" x14ac:dyDescent="0.25">
      <c r="A2398" s="53" t="s">
        <v>9806</v>
      </c>
      <c r="B2398" s="53" t="s">
        <v>11382</v>
      </c>
    </row>
    <row r="2399" spans="1:2" x14ac:dyDescent="0.25">
      <c r="A2399" s="54" t="s">
        <v>9807</v>
      </c>
      <c r="B2399" s="54" t="s">
        <v>12946</v>
      </c>
    </row>
    <row r="2400" spans="1:2" x14ac:dyDescent="0.25">
      <c r="A2400" s="53" t="s">
        <v>9808</v>
      </c>
      <c r="B2400" s="53" t="s">
        <v>12947</v>
      </c>
    </row>
    <row r="2401" spans="1:2" x14ac:dyDescent="0.25">
      <c r="A2401" s="54" t="s">
        <v>9809</v>
      </c>
      <c r="B2401" s="54" t="s">
        <v>12948</v>
      </c>
    </row>
    <row r="2402" spans="1:2" x14ac:dyDescent="0.25">
      <c r="A2402" s="53" t="s">
        <v>9810</v>
      </c>
      <c r="B2402" s="53" t="s">
        <v>12949</v>
      </c>
    </row>
    <row r="2403" spans="1:2" x14ac:dyDescent="0.25">
      <c r="A2403" s="54" t="s">
        <v>9811</v>
      </c>
      <c r="B2403" s="54" t="s">
        <v>12950</v>
      </c>
    </row>
    <row r="2404" spans="1:2" x14ac:dyDescent="0.25">
      <c r="A2404" s="53" t="s">
        <v>9812</v>
      </c>
      <c r="B2404" s="53" t="s">
        <v>12951</v>
      </c>
    </row>
    <row r="2405" spans="1:2" x14ac:dyDescent="0.25">
      <c r="A2405" s="54" t="s">
        <v>9813</v>
      </c>
      <c r="B2405" s="54" t="s">
        <v>12952</v>
      </c>
    </row>
    <row r="2406" spans="1:2" x14ac:dyDescent="0.25">
      <c r="A2406" s="53" t="s">
        <v>9814</v>
      </c>
      <c r="B2406" s="53" t="s">
        <v>11684</v>
      </c>
    </row>
    <row r="2407" spans="1:2" x14ac:dyDescent="0.25">
      <c r="A2407" s="54" t="s">
        <v>9815</v>
      </c>
      <c r="B2407" s="54" t="s">
        <v>12953</v>
      </c>
    </row>
    <row r="2408" spans="1:2" x14ac:dyDescent="0.25">
      <c r="A2408" s="53" t="s">
        <v>9816</v>
      </c>
      <c r="B2408" s="53" t="s">
        <v>12954</v>
      </c>
    </row>
    <row r="2409" spans="1:2" x14ac:dyDescent="0.25">
      <c r="A2409" s="54" t="s">
        <v>9817</v>
      </c>
      <c r="B2409" s="54" t="s">
        <v>12955</v>
      </c>
    </row>
    <row r="2410" spans="1:2" x14ac:dyDescent="0.25">
      <c r="A2410" s="53" t="s">
        <v>9818</v>
      </c>
      <c r="B2410" s="53" t="s">
        <v>12956</v>
      </c>
    </row>
    <row r="2411" spans="1:2" x14ac:dyDescent="0.25">
      <c r="A2411" s="54" t="s">
        <v>9819</v>
      </c>
      <c r="B2411" s="54" t="s">
        <v>12957</v>
      </c>
    </row>
    <row r="2412" spans="1:2" x14ac:dyDescent="0.25">
      <c r="A2412" s="53" t="s">
        <v>9820</v>
      </c>
      <c r="B2412" s="53" t="s">
        <v>12958</v>
      </c>
    </row>
    <row r="2413" spans="1:2" x14ac:dyDescent="0.25">
      <c r="A2413" s="54" t="s">
        <v>9821</v>
      </c>
      <c r="B2413" s="54" t="s">
        <v>12959</v>
      </c>
    </row>
    <row r="2414" spans="1:2" x14ac:dyDescent="0.25">
      <c r="A2414" s="53" t="s">
        <v>9822</v>
      </c>
      <c r="B2414" s="53" t="s">
        <v>12371</v>
      </c>
    </row>
    <row r="2415" spans="1:2" x14ac:dyDescent="0.25">
      <c r="A2415" s="54" t="s">
        <v>9823</v>
      </c>
      <c r="B2415" s="54" t="s">
        <v>10903</v>
      </c>
    </row>
    <row r="2416" spans="1:2" x14ac:dyDescent="0.25">
      <c r="A2416" s="53" t="s">
        <v>9824</v>
      </c>
      <c r="B2416" s="53" t="s">
        <v>12960</v>
      </c>
    </row>
    <row r="2417" spans="1:2" x14ac:dyDescent="0.25">
      <c r="A2417" s="54" t="s">
        <v>9825</v>
      </c>
      <c r="B2417" s="54" t="s">
        <v>12961</v>
      </c>
    </row>
    <row r="2418" spans="1:2" x14ac:dyDescent="0.25">
      <c r="A2418" s="53" t="s">
        <v>9826</v>
      </c>
      <c r="B2418" s="53" t="s">
        <v>12962</v>
      </c>
    </row>
    <row r="2419" spans="1:2" x14ac:dyDescent="0.25">
      <c r="A2419" s="54" t="s">
        <v>9827</v>
      </c>
      <c r="B2419" s="54" t="s">
        <v>12963</v>
      </c>
    </row>
    <row r="2420" spans="1:2" x14ac:dyDescent="0.25">
      <c r="A2420" s="53" t="s">
        <v>9828</v>
      </c>
      <c r="B2420" s="53" t="s">
        <v>12964</v>
      </c>
    </row>
    <row r="2421" spans="1:2" x14ac:dyDescent="0.25">
      <c r="A2421" s="54" t="s">
        <v>9829</v>
      </c>
      <c r="B2421" s="54" t="s">
        <v>12965</v>
      </c>
    </row>
    <row r="2422" spans="1:2" x14ac:dyDescent="0.25">
      <c r="A2422" s="53" t="s">
        <v>9830</v>
      </c>
      <c r="B2422" s="53" t="s">
        <v>12966</v>
      </c>
    </row>
    <row r="2423" spans="1:2" x14ac:dyDescent="0.25">
      <c r="A2423" s="54" t="s">
        <v>9831</v>
      </c>
      <c r="B2423" s="54" t="s">
        <v>10936</v>
      </c>
    </row>
    <row r="2424" spans="1:2" x14ac:dyDescent="0.25">
      <c r="A2424" s="53" t="s">
        <v>9832</v>
      </c>
      <c r="B2424" s="53" t="s">
        <v>12967</v>
      </c>
    </row>
    <row r="2425" spans="1:2" x14ac:dyDescent="0.25">
      <c r="A2425" s="54" t="s">
        <v>9833</v>
      </c>
      <c r="B2425" s="54" t="s">
        <v>12968</v>
      </c>
    </row>
    <row r="2426" spans="1:2" x14ac:dyDescent="0.25">
      <c r="A2426" s="53" t="s">
        <v>9834</v>
      </c>
      <c r="B2426" s="53" t="s">
        <v>12969</v>
      </c>
    </row>
    <row r="2427" spans="1:2" x14ac:dyDescent="0.25">
      <c r="A2427" s="54" t="s">
        <v>9835</v>
      </c>
      <c r="B2427" s="54" t="s">
        <v>12970</v>
      </c>
    </row>
    <row r="2428" spans="1:2" x14ac:dyDescent="0.25">
      <c r="A2428" s="53" t="s">
        <v>9836</v>
      </c>
      <c r="B2428" s="53" t="s">
        <v>11695</v>
      </c>
    </row>
    <row r="2429" spans="1:2" x14ac:dyDescent="0.25">
      <c r="A2429" s="54" t="s">
        <v>9837</v>
      </c>
      <c r="B2429" s="54" t="s">
        <v>12971</v>
      </c>
    </row>
    <row r="2430" spans="1:2" x14ac:dyDescent="0.25">
      <c r="A2430" s="53" t="s">
        <v>9838</v>
      </c>
      <c r="B2430" s="53" t="s">
        <v>11606</v>
      </c>
    </row>
    <row r="2431" spans="1:2" x14ac:dyDescent="0.25">
      <c r="A2431" s="54" t="s">
        <v>9839</v>
      </c>
      <c r="B2431" s="54" t="s">
        <v>12972</v>
      </c>
    </row>
    <row r="2432" spans="1:2" x14ac:dyDescent="0.25">
      <c r="A2432" s="53" t="s">
        <v>9840</v>
      </c>
      <c r="B2432" s="53" t="s">
        <v>12973</v>
      </c>
    </row>
    <row r="2433" spans="1:2" x14ac:dyDescent="0.25">
      <c r="A2433" s="54" t="s">
        <v>9841</v>
      </c>
      <c r="B2433" s="54" t="s">
        <v>12974</v>
      </c>
    </row>
    <row r="2434" spans="1:2" x14ac:dyDescent="0.25">
      <c r="A2434" s="53" t="s">
        <v>9842</v>
      </c>
      <c r="B2434" s="53" t="s">
        <v>12975</v>
      </c>
    </row>
    <row r="2435" spans="1:2" x14ac:dyDescent="0.25">
      <c r="A2435" s="54" t="s">
        <v>9843</v>
      </c>
      <c r="B2435" s="54" t="s">
        <v>12976</v>
      </c>
    </row>
    <row r="2436" spans="1:2" x14ac:dyDescent="0.25">
      <c r="A2436" s="53" t="s">
        <v>9844</v>
      </c>
      <c r="B2436" s="53" t="s">
        <v>12977</v>
      </c>
    </row>
    <row r="2437" spans="1:2" x14ac:dyDescent="0.25">
      <c r="A2437" s="54" t="s">
        <v>9845</v>
      </c>
      <c r="B2437" s="54" t="s">
        <v>12978</v>
      </c>
    </row>
    <row r="2438" spans="1:2" x14ac:dyDescent="0.25">
      <c r="A2438" s="53" t="s">
        <v>9846</v>
      </c>
      <c r="B2438" s="53" t="s">
        <v>12979</v>
      </c>
    </row>
    <row r="2439" spans="1:2" x14ac:dyDescent="0.25">
      <c r="A2439" s="54" t="s">
        <v>9847</v>
      </c>
      <c r="B2439" s="54" t="s">
        <v>12980</v>
      </c>
    </row>
    <row r="2440" spans="1:2" x14ac:dyDescent="0.25">
      <c r="A2440" s="53" t="s">
        <v>9848</v>
      </c>
      <c r="B2440" s="53" t="s">
        <v>12981</v>
      </c>
    </row>
    <row r="2441" spans="1:2" x14ac:dyDescent="0.25">
      <c r="A2441" s="54" t="s">
        <v>9849</v>
      </c>
      <c r="B2441" s="54" t="s">
        <v>11381</v>
      </c>
    </row>
    <row r="2442" spans="1:2" x14ac:dyDescent="0.25">
      <c r="A2442" s="53" t="s">
        <v>9850</v>
      </c>
      <c r="B2442" s="53" t="s">
        <v>12982</v>
      </c>
    </row>
    <row r="2443" spans="1:2" x14ac:dyDescent="0.25">
      <c r="A2443" s="54" t="s">
        <v>9851</v>
      </c>
      <c r="B2443" s="54" t="s">
        <v>12983</v>
      </c>
    </row>
    <row r="2444" spans="1:2" x14ac:dyDescent="0.25">
      <c r="A2444" s="53" t="s">
        <v>9852</v>
      </c>
      <c r="B2444" s="53" t="s">
        <v>12214</v>
      </c>
    </row>
    <row r="2445" spans="1:2" x14ac:dyDescent="0.25">
      <c r="A2445" s="54" t="s">
        <v>9853</v>
      </c>
      <c r="B2445" s="54" t="s">
        <v>12984</v>
      </c>
    </row>
    <row r="2446" spans="1:2" x14ac:dyDescent="0.25">
      <c r="A2446" s="53" t="s">
        <v>9854</v>
      </c>
      <c r="B2446" s="53" t="s">
        <v>12985</v>
      </c>
    </row>
    <row r="2447" spans="1:2" x14ac:dyDescent="0.25">
      <c r="A2447" s="54" t="s">
        <v>9855</v>
      </c>
      <c r="B2447" s="54" t="s">
        <v>12986</v>
      </c>
    </row>
    <row r="2448" spans="1:2" x14ac:dyDescent="0.25">
      <c r="A2448" s="53" t="s">
        <v>9856</v>
      </c>
      <c r="B2448" s="53" t="s">
        <v>12987</v>
      </c>
    </row>
    <row r="2449" spans="1:2" x14ac:dyDescent="0.25">
      <c r="A2449" s="54" t="s">
        <v>9857</v>
      </c>
      <c r="B2449" s="54" t="s">
        <v>12988</v>
      </c>
    </row>
    <row r="2450" spans="1:2" x14ac:dyDescent="0.25">
      <c r="A2450" s="53" t="s">
        <v>9858</v>
      </c>
      <c r="B2450" s="53" t="s">
        <v>12989</v>
      </c>
    </row>
    <row r="2451" spans="1:2" x14ac:dyDescent="0.25">
      <c r="A2451" s="54" t="s">
        <v>9859</v>
      </c>
      <c r="B2451" s="54" t="s">
        <v>12990</v>
      </c>
    </row>
    <row r="2452" spans="1:2" x14ac:dyDescent="0.25">
      <c r="A2452" s="53" t="s">
        <v>9860</v>
      </c>
      <c r="B2452" s="53" t="s">
        <v>12991</v>
      </c>
    </row>
    <row r="2453" spans="1:2" x14ac:dyDescent="0.25">
      <c r="A2453" s="54" t="s">
        <v>9861</v>
      </c>
      <c r="B2453" s="54" t="s">
        <v>12787</v>
      </c>
    </row>
    <row r="2454" spans="1:2" x14ac:dyDescent="0.25">
      <c r="A2454" s="53" t="s">
        <v>9862</v>
      </c>
      <c r="B2454" s="53" t="s">
        <v>12992</v>
      </c>
    </row>
    <row r="2455" spans="1:2" x14ac:dyDescent="0.25">
      <c r="A2455" s="54" t="s">
        <v>9863</v>
      </c>
      <c r="B2455" s="54" t="s">
        <v>12993</v>
      </c>
    </row>
    <row r="2456" spans="1:2" x14ac:dyDescent="0.25">
      <c r="A2456" s="53" t="s">
        <v>9864</v>
      </c>
      <c r="B2456" s="53" t="s">
        <v>12994</v>
      </c>
    </row>
    <row r="2457" spans="1:2" x14ac:dyDescent="0.25">
      <c r="A2457" s="54" t="s">
        <v>9865</v>
      </c>
      <c r="B2457" s="54" t="s">
        <v>12995</v>
      </c>
    </row>
    <row r="2458" spans="1:2" x14ac:dyDescent="0.25">
      <c r="A2458" s="53" t="s">
        <v>9866</v>
      </c>
      <c r="B2458" s="53" t="s">
        <v>12996</v>
      </c>
    </row>
    <row r="2459" spans="1:2" x14ac:dyDescent="0.25">
      <c r="A2459" s="54" t="s">
        <v>9867</v>
      </c>
      <c r="B2459" s="54" t="s">
        <v>12997</v>
      </c>
    </row>
    <row r="2460" spans="1:2" x14ac:dyDescent="0.25">
      <c r="A2460" s="53" t="s">
        <v>9868</v>
      </c>
      <c r="B2460" s="53" t="s">
        <v>12998</v>
      </c>
    </row>
    <row r="2461" spans="1:2" x14ac:dyDescent="0.25">
      <c r="A2461" s="54" t="s">
        <v>9869</v>
      </c>
      <c r="B2461" s="54" t="s">
        <v>12999</v>
      </c>
    </row>
    <row r="2462" spans="1:2" x14ac:dyDescent="0.25">
      <c r="A2462" s="53" t="s">
        <v>9870</v>
      </c>
      <c r="B2462" s="53" t="s">
        <v>13000</v>
      </c>
    </row>
    <row r="2463" spans="1:2" x14ac:dyDescent="0.25">
      <c r="A2463" s="54" t="s">
        <v>9871</v>
      </c>
      <c r="B2463" s="54" t="s">
        <v>13001</v>
      </c>
    </row>
    <row r="2464" spans="1:2" x14ac:dyDescent="0.25">
      <c r="A2464" s="53" t="s">
        <v>9872</v>
      </c>
      <c r="B2464" s="53" t="s">
        <v>13002</v>
      </c>
    </row>
    <row r="2465" spans="1:2" x14ac:dyDescent="0.25">
      <c r="A2465" s="54" t="s">
        <v>9873</v>
      </c>
      <c r="B2465" s="54" t="s">
        <v>13003</v>
      </c>
    </row>
    <row r="2466" spans="1:2" x14ac:dyDescent="0.25">
      <c r="A2466" s="53" t="s">
        <v>9874</v>
      </c>
      <c r="B2466" s="53" t="s">
        <v>13004</v>
      </c>
    </row>
    <row r="2467" spans="1:2" x14ac:dyDescent="0.25">
      <c r="A2467" s="54" t="s">
        <v>9875</v>
      </c>
      <c r="B2467" s="54" t="s">
        <v>13005</v>
      </c>
    </row>
    <row r="2468" spans="1:2" x14ac:dyDescent="0.25">
      <c r="A2468" s="53" t="s">
        <v>9876</v>
      </c>
      <c r="B2468" s="53" t="s">
        <v>13006</v>
      </c>
    </row>
    <row r="2469" spans="1:2" x14ac:dyDescent="0.25">
      <c r="A2469" s="54" t="s">
        <v>9877</v>
      </c>
      <c r="B2469" s="54" t="s">
        <v>13007</v>
      </c>
    </row>
    <row r="2470" spans="1:2" x14ac:dyDescent="0.25">
      <c r="A2470" s="53" t="s">
        <v>9878</v>
      </c>
      <c r="B2470" s="53" t="s">
        <v>13008</v>
      </c>
    </row>
    <row r="2471" spans="1:2" x14ac:dyDescent="0.25">
      <c r="A2471" s="54" t="s">
        <v>9879</v>
      </c>
      <c r="B2471" s="54" t="s">
        <v>13009</v>
      </c>
    </row>
    <row r="2472" spans="1:2" x14ac:dyDescent="0.25">
      <c r="A2472" s="53" t="s">
        <v>9880</v>
      </c>
      <c r="B2472" s="53" t="s">
        <v>13010</v>
      </c>
    </row>
    <row r="2473" spans="1:2" x14ac:dyDescent="0.25">
      <c r="A2473" s="54" t="s">
        <v>9881</v>
      </c>
      <c r="B2473" s="54" t="s">
        <v>13011</v>
      </c>
    </row>
    <row r="2474" spans="1:2" x14ac:dyDescent="0.25">
      <c r="A2474" s="53" t="s">
        <v>9882</v>
      </c>
      <c r="B2474" s="53" t="s">
        <v>13012</v>
      </c>
    </row>
    <row r="2475" spans="1:2" x14ac:dyDescent="0.25">
      <c r="A2475" s="54" t="s">
        <v>9883</v>
      </c>
      <c r="B2475" s="54" t="s">
        <v>13013</v>
      </c>
    </row>
    <row r="2476" spans="1:2" x14ac:dyDescent="0.25">
      <c r="A2476" s="53" t="s">
        <v>9884</v>
      </c>
      <c r="B2476" s="53" t="s">
        <v>13014</v>
      </c>
    </row>
    <row r="2477" spans="1:2" x14ac:dyDescent="0.25">
      <c r="A2477" s="54" t="s">
        <v>9885</v>
      </c>
      <c r="B2477" s="54" t="s">
        <v>13015</v>
      </c>
    </row>
    <row r="2478" spans="1:2" x14ac:dyDescent="0.25">
      <c r="A2478" s="53" t="s">
        <v>9886</v>
      </c>
      <c r="B2478" s="53" t="s">
        <v>13016</v>
      </c>
    </row>
    <row r="2479" spans="1:2" x14ac:dyDescent="0.25">
      <c r="A2479" s="54" t="s">
        <v>9887</v>
      </c>
      <c r="B2479" s="54" t="s">
        <v>13017</v>
      </c>
    </row>
    <row r="2480" spans="1:2" x14ac:dyDescent="0.25">
      <c r="A2480" s="53" t="s">
        <v>9888</v>
      </c>
      <c r="B2480" s="53" t="s">
        <v>12954</v>
      </c>
    </row>
    <row r="2481" spans="1:2" x14ac:dyDescent="0.25">
      <c r="A2481" s="54" t="s">
        <v>9889</v>
      </c>
      <c r="B2481" s="54" t="s">
        <v>13018</v>
      </c>
    </row>
    <row r="2482" spans="1:2" x14ac:dyDescent="0.25">
      <c r="A2482" s="53" t="s">
        <v>9890</v>
      </c>
      <c r="B2482" s="53" t="s">
        <v>13019</v>
      </c>
    </row>
    <row r="2483" spans="1:2" x14ac:dyDescent="0.25">
      <c r="A2483" s="54" t="s">
        <v>9891</v>
      </c>
      <c r="B2483" s="54" t="s">
        <v>13020</v>
      </c>
    </row>
    <row r="2484" spans="1:2" x14ac:dyDescent="0.25">
      <c r="A2484" s="53" t="s">
        <v>9892</v>
      </c>
      <c r="B2484" s="53" t="s">
        <v>13021</v>
      </c>
    </row>
    <row r="2485" spans="1:2" x14ac:dyDescent="0.25">
      <c r="A2485" s="54" t="s">
        <v>9893</v>
      </c>
      <c r="B2485" s="54" t="s">
        <v>13022</v>
      </c>
    </row>
    <row r="2486" spans="1:2" x14ac:dyDescent="0.25">
      <c r="A2486" s="53" t="s">
        <v>9894</v>
      </c>
      <c r="B2486" s="53" t="s">
        <v>13023</v>
      </c>
    </row>
    <row r="2487" spans="1:2" x14ac:dyDescent="0.25">
      <c r="A2487" s="54" t="s">
        <v>9895</v>
      </c>
      <c r="B2487" s="54" t="s">
        <v>13024</v>
      </c>
    </row>
    <row r="2488" spans="1:2" x14ac:dyDescent="0.25">
      <c r="A2488" s="53" t="s">
        <v>9896</v>
      </c>
      <c r="B2488" s="53" t="s">
        <v>13025</v>
      </c>
    </row>
    <row r="2489" spans="1:2" x14ac:dyDescent="0.25">
      <c r="A2489" s="54" t="s">
        <v>9897</v>
      </c>
      <c r="B2489" s="54" t="s">
        <v>13026</v>
      </c>
    </row>
    <row r="2490" spans="1:2" x14ac:dyDescent="0.25">
      <c r="A2490" s="53" t="s">
        <v>9898</v>
      </c>
      <c r="B2490" s="53" t="s">
        <v>13027</v>
      </c>
    </row>
    <row r="2491" spans="1:2" x14ac:dyDescent="0.25">
      <c r="A2491" s="54" t="s">
        <v>9899</v>
      </c>
      <c r="B2491" s="54" t="s">
        <v>13028</v>
      </c>
    </row>
    <row r="2492" spans="1:2" x14ac:dyDescent="0.25">
      <c r="A2492" s="53" t="s">
        <v>9900</v>
      </c>
      <c r="B2492" s="53" t="s">
        <v>13029</v>
      </c>
    </row>
    <row r="2493" spans="1:2" x14ac:dyDescent="0.25">
      <c r="A2493" s="54" t="s">
        <v>9901</v>
      </c>
      <c r="B2493" s="54" t="s">
        <v>13030</v>
      </c>
    </row>
    <row r="2494" spans="1:2" x14ac:dyDescent="0.25">
      <c r="A2494" s="53" t="s">
        <v>9902</v>
      </c>
      <c r="B2494" s="53" t="s">
        <v>13031</v>
      </c>
    </row>
    <row r="2495" spans="1:2" x14ac:dyDescent="0.25">
      <c r="A2495" s="54" t="s">
        <v>9903</v>
      </c>
      <c r="B2495" s="54" t="s">
        <v>13032</v>
      </c>
    </row>
    <row r="2496" spans="1:2" x14ac:dyDescent="0.25">
      <c r="A2496" s="53" t="s">
        <v>9904</v>
      </c>
      <c r="B2496" s="53" t="s">
        <v>11382</v>
      </c>
    </row>
    <row r="2497" spans="1:2" x14ac:dyDescent="0.25">
      <c r="A2497" s="54" t="s">
        <v>9905</v>
      </c>
      <c r="B2497" s="54" t="s">
        <v>13033</v>
      </c>
    </row>
    <row r="2498" spans="1:2" x14ac:dyDescent="0.25">
      <c r="A2498" s="53" t="s">
        <v>9906</v>
      </c>
      <c r="B2498" s="53" t="s">
        <v>13034</v>
      </c>
    </row>
    <row r="2499" spans="1:2" x14ac:dyDescent="0.25">
      <c r="A2499" s="54" t="s">
        <v>9907</v>
      </c>
      <c r="B2499" s="54" t="s">
        <v>13035</v>
      </c>
    </row>
    <row r="2500" spans="1:2" x14ac:dyDescent="0.25">
      <c r="A2500" s="53" t="s">
        <v>9908</v>
      </c>
      <c r="B2500" s="53" t="s">
        <v>13036</v>
      </c>
    </row>
    <row r="2501" spans="1:2" x14ac:dyDescent="0.25">
      <c r="A2501" s="54" t="s">
        <v>9909</v>
      </c>
      <c r="B2501" s="54" t="s">
        <v>13037</v>
      </c>
    </row>
    <row r="2502" spans="1:2" x14ac:dyDescent="0.25">
      <c r="A2502" s="53" t="s">
        <v>9910</v>
      </c>
      <c r="B2502" s="53" t="s">
        <v>13038</v>
      </c>
    </row>
    <row r="2503" spans="1:2" x14ac:dyDescent="0.25">
      <c r="A2503" s="54" t="s">
        <v>9911</v>
      </c>
      <c r="B2503" s="54" t="s">
        <v>13039</v>
      </c>
    </row>
    <row r="2504" spans="1:2" x14ac:dyDescent="0.25">
      <c r="A2504" s="53" t="s">
        <v>9912</v>
      </c>
      <c r="B2504" s="53" t="s">
        <v>13040</v>
      </c>
    </row>
    <row r="2505" spans="1:2" x14ac:dyDescent="0.25">
      <c r="A2505" s="54" t="s">
        <v>9913</v>
      </c>
      <c r="B2505" s="54" t="s">
        <v>13041</v>
      </c>
    </row>
    <row r="2506" spans="1:2" x14ac:dyDescent="0.25">
      <c r="A2506" s="53" t="s">
        <v>9914</v>
      </c>
      <c r="B2506" s="53" t="s">
        <v>13042</v>
      </c>
    </row>
    <row r="2507" spans="1:2" x14ac:dyDescent="0.25">
      <c r="A2507" s="54" t="s">
        <v>9915</v>
      </c>
      <c r="B2507" s="54" t="s">
        <v>13043</v>
      </c>
    </row>
    <row r="2508" spans="1:2" x14ac:dyDescent="0.25">
      <c r="A2508" s="53" t="s">
        <v>9916</v>
      </c>
      <c r="B2508" s="53" t="s">
        <v>13044</v>
      </c>
    </row>
    <row r="2509" spans="1:2" x14ac:dyDescent="0.25">
      <c r="A2509" s="54" t="s">
        <v>9917</v>
      </c>
      <c r="B2509" s="54" t="s">
        <v>13045</v>
      </c>
    </row>
    <row r="2510" spans="1:2" x14ac:dyDescent="0.25">
      <c r="A2510" s="53" t="s">
        <v>9918</v>
      </c>
      <c r="B2510" s="53" t="s">
        <v>13046</v>
      </c>
    </row>
    <row r="2511" spans="1:2" x14ac:dyDescent="0.25">
      <c r="A2511" s="54" t="s">
        <v>9919</v>
      </c>
      <c r="B2511" s="54" t="s">
        <v>13047</v>
      </c>
    </row>
    <row r="2512" spans="1:2" x14ac:dyDescent="0.25">
      <c r="A2512" s="53" t="s">
        <v>9920</v>
      </c>
      <c r="B2512" s="53" t="s">
        <v>13048</v>
      </c>
    </row>
    <row r="2513" spans="1:2" x14ac:dyDescent="0.25">
      <c r="A2513" s="54" t="s">
        <v>9921</v>
      </c>
      <c r="B2513" s="54" t="s">
        <v>13049</v>
      </c>
    </row>
    <row r="2514" spans="1:2" x14ac:dyDescent="0.25">
      <c r="A2514" s="53" t="s">
        <v>9922</v>
      </c>
      <c r="B2514" s="53" t="s">
        <v>13050</v>
      </c>
    </row>
    <row r="2515" spans="1:2" x14ac:dyDescent="0.25">
      <c r="A2515" s="54" t="s">
        <v>9923</v>
      </c>
      <c r="B2515" s="54" t="s">
        <v>13051</v>
      </c>
    </row>
    <row r="2516" spans="1:2" x14ac:dyDescent="0.25">
      <c r="A2516" s="53" t="s">
        <v>9924</v>
      </c>
      <c r="B2516" s="53" t="s">
        <v>13052</v>
      </c>
    </row>
    <row r="2517" spans="1:2" x14ac:dyDescent="0.25">
      <c r="A2517" s="54" t="s">
        <v>9925</v>
      </c>
      <c r="B2517" s="54" t="s">
        <v>13053</v>
      </c>
    </row>
    <row r="2518" spans="1:2" x14ac:dyDescent="0.25">
      <c r="A2518" s="53" t="s">
        <v>9926</v>
      </c>
      <c r="B2518" s="53" t="s">
        <v>12560</v>
      </c>
    </row>
    <row r="2519" spans="1:2" x14ac:dyDescent="0.25">
      <c r="A2519" s="54" t="s">
        <v>9927</v>
      </c>
      <c r="B2519" s="54" t="s">
        <v>13054</v>
      </c>
    </row>
    <row r="2520" spans="1:2" x14ac:dyDescent="0.25">
      <c r="A2520" s="53" t="s">
        <v>9928</v>
      </c>
      <c r="B2520" s="53" t="s">
        <v>13055</v>
      </c>
    </row>
    <row r="2521" spans="1:2" x14ac:dyDescent="0.25">
      <c r="A2521" s="54" t="s">
        <v>9929</v>
      </c>
      <c r="B2521" s="54" t="s">
        <v>13056</v>
      </c>
    </row>
    <row r="2522" spans="1:2" x14ac:dyDescent="0.25">
      <c r="A2522" s="53" t="s">
        <v>9930</v>
      </c>
      <c r="B2522" s="53" t="s">
        <v>13057</v>
      </c>
    </row>
    <row r="2523" spans="1:2" x14ac:dyDescent="0.25">
      <c r="A2523" s="54" t="s">
        <v>9931</v>
      </c>
      <c r="B2523" s="54" t="s">
        <v>13058</v>
      </c>
    </row>
    <row r="2524" spans="1:2" x14ac:dyDescent="0.25">
      <c r="A2524" s="53" t="s">
        <v>9932</v>
      </c>
      <c r="B2524" s="53" t="s">
        <v>13059</v>
      </c>
    </row>
    <row r="2525" spans="1:2" x14ac:dyDescent="0.25">
      <c r="A2525" s="54" t="s">
        <v>9933</v>
      </c>
      <c r="B2525" s="54" t="s">
        <v>13060</v>
      </c>
    </row>
    <row r="2526" spans="1:2" x14ac:dyDescent="0.25">
      <c r="A2526" s="53" t="s">
        <v>9934</v>
      </c>
      <c r="B2526" s="53" t="s">
        <v>13061</v>
      </c>
    </row>
    <row r="2527" spans="1:2" x14ac:dyDescent="0.25">
      <c r="A2527" s="54" t="s">
        <v>9935</v>
      </c>
      <c r="B2527" s="54" t="s">
        <v>13062</v>
      </c>
    </row>
    <row r="2528" spans="1:2" x14ac:dyDescent="0.25">
      <c r="A2528" s="53" t="s">
        <v>9936</v>
      </c>
      <c r="B2528" s="53" t="s">
        <v>13063</v>
      </c>
    </row>
    <row r="2529" spans="1:2" x14ac:dyDescent="0.25">
      <c r="A2529" s="54" t="s">
        <v>9937</v>
      </c>
      <c r="B2529" s="54" t="s">
        <v>13064</v>
      </c>
    </row>
    <row r="2530" spans="1:2" x14ac:dyDescent="0.25">
      <c r="A2530" s="53" t="s">
        <v>9938</v>
      </c>
      <c r="B2530" s="53" t="s">
        <v>13065</v>
      </c>
    </row>
    <row r="2531" spans="1:2" x14ac:dyDescent="0.25">
      <c r="A2531" s="54" t="s">
        <v>9939</v>
      </c>
      <c r="B2531" s="54" t="s">
        <v>13066</v>
      </c>
    </row>
    <row r="2532" spans="1:2" x14ac:dyDescent="0.25">
      <c r="A2532" s="53" t="s">
        <v>9940</v>
      </c>
      <c r="B2532" s="53" t="s">
        <v>13067</v>
      </c>
    </row>
    <row r="2533" spans="1:2" x14ac:dyDescent="0.25">
      <c r="A2533" s="54" t="s">
        <v>9941</v>
      </c>
      <c r="B2533" s="54" t="s">
        <v>13068</v>
      </c>
    </row>
    <row r="2534" spans="1:2" x14ac:dyDescent="0.25">
      <c r="A2534" s="53" t="s">
        <v>9942</v>
      </c>
      <c r="B2534" s="53" t="s">
        <v>13069</v>
      </c>
    </row>
    <row r="2535" spans="1:2" x14ac:dyDescent="0.25">
      <c r="A2535" s="54" t="s">
        <v>9943</v>
      </c>
      <c r="B2535" s="54" t="s">
        <v>13070</v>
      </c>
    </row>
    <row r="2536" spans="1:2" x14ac:dyDescent="0.25">
      <c r="A2536" s="53" t="s">
        <v>9944</v>
      </c>
      <c r="B2536" s="53" t="s">
        <v>13071</v>
      </c>
    </row>
    <row r="2537" spans="1:2" x14ac:dyDescent="0.25">
      <c r="A2537" s="54" t="s">
        <v>9945</v>
      </c>
      <c r="B2537" s="54" t="s">
        <v>13072</v>
      </c>
    </row>
    <row r="2538" spans="1:2" x14ac:dyDescent="0.25">
      <c r="A2538" s="53" t="s">
        <v>9946</v>
      </c>
      <c r="B2538" s="53" t="s">
        <v>13073</v>
      </c>
    </row>
    <row r="2539" spans="1:2" x14ac:dyDescent="0.25">
      <c r="A2539" s="54" t="s">
        <v>9947</v>
      </c>
      <c r="B2539" s="54" t="s">
        <v>13074</v>
      </c>
    </row>
    <row r="2540" spans="1:2" x14ac:dyDescent="0.25">
      <c r="A2540" s="53" t="s">
        <v>9948</v>
      </c>
      <c r="B2540" s="53" t="s">
        <v>13075</v>
      </c>
    </row>
    <row r="2541" spans="1:2" x14ac:dyDescent="0.25">
      <c r="A2541" s="54" t="s">
        <v>9949</v>
      </c>
      <c r="B2541" s="54" t="s">
        <v>13076</v>
      </c>
    </row>
    <row r="2542" spans="1:2" x14ac:dyDescent="0.25">
      <c r="A2542" s="53" t="s">
        <v>9950</v>
      </c>
      <c r="B2542" s="53" t="s">
        <v>13077</v>
      </c>
    </row>
    <row r="2543" spans="1:2" x14ac:dyDescent="0.25">
      <c r="A2543" s="54" t="s">
        <v>9951</v>
      </c>
      <c r="B2543" s="54" t="s">
        <v>11263</v>
      </c>
    </row>
    <row r="2544" spans="1:2" x14ac:dyDescent="0.25">
      <c r="A2544" s="53" t="s">
        <v>9952</v>
      </c>
      <c r="B2544" s="53" t="s">
        <v>11426</v>
      </c>
    </row>
    <row r="2545" spans="1:2" x14ac:dyDescent="0.25">
      <c r="A2545" s="54" t="s">
        <v>9953</v>
      </c>
      <c r="B2545" s="54" t="s">
        <v>13078</v>
      </c>
    </row>
    <row r="2546" spans="1:2" x14ac:dyDescent="0.25">
      <c r="A2546" s="53" t="s">
        <v>9954</v>
      </c>
      <c r="B2546" s="53" t="s">
        <v>13079</v>
      </c>
    </row>
    <row r="2547" spans="1:2" x14ac:dyDescent="0.25">
      <c r="A2547" s="54" t="s">
        <v>9955</v>
      </c>
      <c r="B2547" s="54" t="s">
        <v>13080</v>
      </c>
    </row>
    <row r="2548" spans="1:2" x14ac:dyDescent="0.25">
      <c r="A2548" s="53" t="s">
        <v>9956</v>
      </c>
      <c r="B2548" s="53" t="s">
        <v>13081</v>
      </c>
    </row>
    <row r="2549" spans="1:2" x14ac:dyDescent="0.25">
      <c r="A2549" s="54" t="s">
        <v>9957</v>
      </c>
      <c r="B2549" s="54" t="s">
        <v>13082</v>
      </c>
    </row>
    <row r="2550" spans="1:2" x14ac:dyDescent="0.25">
      <c r="A2550" s="53" t="s">
        <v>9958</v>
      </c>
      <c r="B2550" s="53" t="s">
        <v>13083</v>
      </c>
    </row>
    <row r="2551" spans="1:2" x14ac:dyDescent="0.25">
      <c r="A2551" s="54" t="s">
        <v>9959</v>
      </c>
      <c r="B2551" s="54" t="s">
        <v>13084</v>
      </c>
    </row>
    <row r="2552" spans="1:2" x14ac:dyDescent="0.25">
      <c r="A2552" s="53" t="s">
        <v>9960</v>
      </c>
      <c r="B2552" s="53" t="s">
        <v>10848</v>
      </c>
    </row>
    <row r="2553" spans="1:2" x14ac:dyDescent="0.25">
      <c r="A2553" s="54" t="s">
        <v>9961</v>
      </c>
      <c r="B2553" s="54" t="s">
        <v>13085</v>
      </c>
    </row>
    <row r="2554" spans="1:2" x14ac:dyDescent="0.25">
      <c r="A2554" s="53" t="s">
        <v>9962</v>
      </c>
      <c r="B2554" s="53" t="s">
        <v>13086</v>
      </c>
    </row>
    <row r="2555" spans="1:2" x14ac:dyDescent="0.25">
      <c r="A2555" s="54" t="s">
        <v>9963</v>
      </c>
      <c r="B2555" s="54" t="s">
        <v>11429</v>
      </c>
    </row>
    <row r="2556" spans="1:2" x14ac:dyDescent="0.25">
      <c r="A2556" s="53" t="s">
        <v>9964</v>
      </c>
      <c r="B2556" s="53" t="s">
        <v>13087</v>
      </c>
    </row>
    <row r="2557" spans="1:2" x14ac:dyDescent="0.25">
      <c r="A2557" s="54" t="s">
        <v>9965</v>
      </c>
      <c r="B2557" s="54" t="s">
        <v>13088</v>
      </c>
    </row>
    <row r="2558" spans="1:2" x14ac:dyDescent="0.25">
      <c r="A2558" s="53" t="s">
        <v>9966</v>
      </c>
      <c r="B2558" s="53" t="s">
        <v>11200</v>
      </c>
    </row>
    <row r="2559" spans="1:2" x14ac:dyDescent="0.25">
      <c r="A2559" s="54" t="s">
        <v>9967</v>
      </c>
      <c r="B2559" s="54" t="s">
        <v>12648</v>
      </c>
    </row>
    <row r="2560" spans="1:2" x14ac:dyDescent="0.25">
      <c r="A2560" s="53" t="s">
        <v>9968</v>
      </c>
      <c r="B2560" s="53" t="s">
        <v>766</v>
      </c>
    </row>
    <row r="2561" spans="1:2" x14ac:dyDescent="0.25">
      <c r="A2561" s="54" t="s">
        <v>9969</v>
      </c>
      <c r="B2561" s="54" t="s">
        <v>767</v>
      </c>
    </row>
    <row r="2562" spans="1:2" x14ac:dyDescent="0.25">
      <c r="A2562" s="53" t="s">
        <v>9970</v>
      </c>
      <c r="B2562" s="53" t="s">
        <v>768</v>
      </c>
    </row>
    <row r="2563" spans="1:2" x14ac:dyDescent="0.25">
      <c r="A2563" s="54" t="s">
        <v>9971</v>
      </c>
      <c r="B2563" s="54" t="s">
        <v>769</v>
      </c>
    </row>
    <row r="2564" spans="1:2" x14ac:dyDescent="0.25">
      <c r="A2564" s="53" t="s">
        <v>9972</v>
      </c>
      <c r="B2564" s="53" t="s">
        <v>770</v>
      </c>
    </row>
    <row r="2565" spans="1:2" x14ac:dyDescent="0.25">
      <c r="A2565" s="54" t="s">
        <v>9973</v>
      </c>
      <c r="B2565" s="54" t="s">
        <v>771</v>
      </c>
    </row>
    <row r="2566" spans="1:2" x14ac:dyDescent="0.25">
      <c r="A2566" s="53" t="s">
        <v>9974</v>
      </c>
      <c r="B2566" s="53" t="s">
        <v>772</v>
      </c>
    </row>
    <row r="2567" spans="1:2" x14ac:dyDescent="0.25">
      <c r="A2567" s="54" t="s">
        <v>9975</v>
      </c>
      <c r="B2567" s="54" t="s">
        <v>773</v>
      </c>
    </row>
    <row r="2568" spans="1:2" x14ac:dyDescent="0.25">
      <c r="A2568" s="53" t="s">
        <v>9976</v>
      </c>
      <c r="B2568" s="53" t="s">
        <v>774</v>
      </c>
    </row>
    <row r="2569" spans="1:2" x14ac:dyDescent="0.25">
      <c r="A2569" s="54" t="s">
        <v>9977</v>
      </c>
      <c r="B2569" s="54" t="s">
        <v>775</v>
      </c>
    </row>
    <row r="2570" spans="1:2" x14ac:dyDescent="0.25">
      <c r="A2570" s="53" t="s">
        <v>9978</v>
      </c>
      <c r="B2570" s="53" t="s">
        <v>776</v>
      </c>
    </row>
    <row r="2571" spans="1:2" x14ac:dyDescent="0.25">
      <c r="A2571" s="54" t="s">
        <v>9979</v>
      </c>
      <c r="B2571" s="54" t="s">
        <v>777</v>
      </c>
    </row>
    <row r="2572" spans="1:2" x14ac:dyDescent="0.25">
      <c r="A2572" s="53" t="s">
        <v>9980</v>
      </c>
      <c r="B2572" s="53" t="s">
        <v>778</v>
      </c>
    </row>
    <row r="2573" spans="1:2" x14ac:dyDescent="0.25">
      <c r="A2573" s="54" t="s">
        <v>9981</v>
      </c>
      <c r="B2573" s="54" t="s">
        <v>779</v>
      </c>
    </row>
    <row r="2574" spans="1:2" x14ac:dyDescent="0.25">
      <c r="A2574" s="53" t="s">
        <v>9982</v>
      </c>
      <c r="B2574" s="53" t="s">
        <v>780</v>
      </c>
    </row>
    <row r="2575" spans="1:2" x14ac:dyDescent="0.25">
      <c r="A2575" s="54" t="s">
        <v>9983</v>
      </c>
      <c r="B2575" s="54" t="s">
        <v>781</v>
      </c>
    </row>
    <row r="2576" spans="1:2" x14ac:dyDescent="0.25">
      <c r="A2576" s="53" t="s">
        <v>9984</v>
      </c>
      <c r="B2576" s="53" t="s">
        <v>782</v>
      </c>
    </row>
    <row r="2577" spans="1:2" x14ac:dyDescent="0.25">
      <c r="A2577" s="54" t="s">
        <v>9985</v>
      </c>
      <c r="B2577" s="54" t="s">
        <v>783</v>
      </c>
    </row>
    <row r="2578" spans="1:2" x14ac:dyDescent="0.25">
      <c r="A2578" s="53" t="s">
        <v>9986</v>
      </c>
      <c r="B2578" s="53" t="s">
        <v>784</v>
      </c>
    </row>
    <row r="2579" spans="1:2" x14ac:dyDescent="0.25">
      <c r="A2579" s="54" t="s">
        <v>9987</v>
      </c>
      <c r="B2579" s="54" t="s">
        <v>785</v>
      </c>
    </row>
    <row r="2580" spans="1:2" x14ac:dyDescent="0.25">
      <c r="A2580" s="53" t="s">
        <v>9988</v>
      </c>
      <c r="B2580" s="53" t="s">
        <v>786</v>
      </c>
    </row>
    <row r="2581" spans="1:2" x14ac:dyDescent="0.25">
      <c r="A2581" s="54" t="s">
        <v>9989</v>
      </c>
      <c r="B2581" s="54" t="s">
        <v>787</v>
      </c>
    </row>
    <row r="2582" spans="1:2" x14ac:dyDescent="0.25">
      <c r="A2582" s="53" t="s">
        <v>9990</v>
      </c>
      <c r="B2582" s="53" t="s">
        <v>788</v>
      </c>
    </row>
    <row r="2583" spans="1:2" x14ac:dyDescent="0.25">
      <c r="A2583" s="54" t="s">
        <v>9991</v>
      </c>
      <c r="B2583" s="54" t="s">
        <v>789</v>
      </c>
    </row>
    <row r="2584" spans="1:2" x14ac:dyDescent="0.25">
      <c r="A2584" s="53" t="s">
        <v>9992</v>
      </c>
      <c r="B2584" s="53" t="s">
        <v>790</v>
      </c>
    </row>
    <row r="2585" spans="1:2" x14ac:dyDescent="0.25">
      <c r="A2585" s="54" t="s">
        <v>9993</v>
      </c>
      <c r="B2585" s="54" t="s">
        <v>791</v>
      </c>
    </row>
    <row r="2586" spans="1:2" x14ac:dyDescent="0.25">
      <c r="A2586" s="53" t="s">
        <v>9994</v>
      </c>
      <c r="B2586" s="53" t="s">
        <v>13089</v>
      </c>
    </row>
    <row r="2587" spans="1:2" x14ac:dyDescent="0.25">
      <c r="A2587" s="54" t="s">
        <v>9995</v>
      </c>
      <c r="B2587" s="54" t="s">
        <v>13090</v>
      </c>
    </row>
    <row r="2588" spans="1:2" x14ac:dyDescent="0.25">
      <c r="A2588" s="53" t="s">
        <v>9996</v>
      </c>
      <c r="B2588" s="53" t="s">
        <v>13091</v>
      </c>
    </row>
    <row r="2589" spans="1:2" x14ac:dyDescent="0.25">
      <c r="A2589" s="54" t="s">
        <v>9997</v>
      </c>
      <c r="B2589" s="54" t="s">
        <v>13092</v>
      </c>
    </row>
    <row r="2590" spans="1:2" x14ac:dyDescent="0.25">
      <c r="A2590" s="53" t="s">
        <v>9998</v>
      </c>
      <c r="B2590" s="53" t="s">
        <v>13093</v>
      </c>
    </row>
    <row r="2591" spans="1:2" x14ac:dyDescent="0.25">
      <c r="A2591" s="54" t="s">
        <v>9999</v>
      </c>
      <c r="B2591" s="54" t="s">
        <v>13094</v>
      </c>
    </row>
    <row r="2592" spans="1:2" x14ac:dyDescent="0.25">
      <c r="A2592" s="53" t="s">
        <v>10000</v>
      </c>
      <c r="B2592" s="53" t="s">
        <v>13095</v>
      </c>
    </row>
    <row r="2593" spans="1:2" x14ac:dyDescent="0.25">
      <c r="A2593" s="54" t="s">
        <v>10001</v>
      </c>
      <c r="B2593" s="54" t="s">
        <v>13096</v>
      </c>
    </row>
    <row r="2594" spans="1:2" x14ac:dyDescent="0.25">
      <c r="A2594" s="53" t="s">
        <v>10002</v>
      </c>
      <c r="B2594" s="53" t="s">
        <v>13097</v>
      </c>
    </row>
    <row r="2595" spans="1:2" x14ac:dyDescent="0.25">
      <c r="A2595" s="54" t="s">
        <v>10003</v>
      </c>
      <c r="B2595" s="54" t="s">
        <v>13098</v>
      </c>
    </row>
    <row r="2596" spans="1:2" x14ac:dyDescent="0.25">
      <c r="A2596" s="53" t="s">
        <v>10004</v>
      </c>
      <c r="B2596" s="53" t="s">
        <v>13099</v>
      </c>
    </row>
    <row r="2597" spans="1:2" x14ac:dyDescent="0.25">
      <c r="A2597" s="54" t="s">
        <v>10005</v>
      </c>
      <c r="B2597" s="54" t="s">
        <v>12196</v>
      </c>
    </row>
    <row r="2598" spans="1:2" x14ac:dyDescent="0.25">
      <c r="A2598" s="53" t="s">
        <v>10006</v>
      </c>
      <c r="B2598" s="53" t="s">
        <v>13100</v>
      </c>
    </row>
    <row r="2599" spans="1:2" x14ac:dyDescent="0.25">
      <c r="A2599" s="54" t="s">
        <v>10007</v>
      </c>
      <c r="B2599" s="54" t="s">
        <v>13101</v>
      </c>
    </row>
    <row r="2600" spans="1:2" x14ac:dyDescent="0.25">
      <c r="A2600" s="53" t="s">
        <v>10008</v>
      </c>
      <c r="B2600" s="53" t="s">
        <v>13102</v>
      </c>
    </row>
    <row r="2601" spans="1:2" x14ac:dyDescent="0.25">
      <c r="A2601" s="54" t="s">
        <v>10009</v>
      </c>
      <c r="B2601" s="54" t="s">
        <v>12356</v>
      </c>
    </row>
    <row r="2602" spans="1:2" x14ac:dyDescent="0.25">
      <c r="A2602" s="53" t="s">
        <v>10010</v>
      </c>
      <c r="B2602" s="53" t="s">
        <v>13103</v>
      </c>
    </row>
    <row r="2603" spans="1:2" x14ac:dyDescent="0.25">
      <c r="A2603" s="54" t="s">
        <v>10011</v>
      </c>
      <c r="B2603" s="54" t="s">
        <v>12826</v>
      </c>
    </row>
    <row r="2604" spans="1:2" x14ac:dyDescent="0.25">
      <c r="A2604" s="53" t="s">
        <v>10012</v>
      </c>
      <c r="B2604" s="53" t="s">
        <v>13104</v>
      </c>
    </row>
    <row r="2605" spans="1:2" x14ac:dyDescent="0.25">
      <c r="A2605" s="54" t="s">
        <v>10013</v>
      </c>
      <c r="B2605" s="54" t="s">
        <v>13105</v>
      </c>
    </row>
    <row r="2606" spans="1:2" x14ac:dyDescent="0.25">
      <c r="A2606" s="53" t="s">
        <v>10014</v>
      </c>
      <c r="B2606" s="53" t="s">
        <v>12856</v>
      </c>
    </row>
    <row r="2607" spans="1:2" x14ac:dyDescent="0.25">
      <c r="A2607" s="54" t="s">
        <v>10015</v>
      </c>
      <c r="B2607" s="54" t="s">
        <v>13106</v>
      </c>
    </row>
    <row r="2608" spans="1:2" x14ac:dyDescent="0.25">
      <c r="A2608" s="53" t="s">
        <v>10016</v>
      </c>
      <c r="B2608" s="53" t="s">
        <v>13107</v>
      </c>
    </row>
    <row r="2609" spans="1:2" x14ac:dyDescent="0.25">
      <c r="A2609" s="54" t="s">
        <v>10017</v>
      </c>
      <c r="B2609" s="54" t="s">
        <v>12873</v>
      </c>
    </row>
    <row r="2610" spans="1:2" x14ac:dyDescent="0.25">
      <c r="A2610" s="53" t="s">
        <v>10018</v>
      </c>
      <c r="B2610" s="53" t="s">
        <v>13108</v>
      </c>
    </row>
    <row r="2611" spans="1:2" x14ac:dyDescent="0.25">
      <c r="A2611" s="54" t="s">
        <v>10019</v>
      </c>
      <c r="B2611" s="54" t="s">
        <v>13109</v>
      </c>
    </row>
    <row r="2612" spans="1:2" x14ac:dyDescent="0.25">
      <c r="A2612" s="53" t="s">
        <v>10020</v>
      </c>
      <c r="B2612" s="53" t="s">
        <v>13110</v>
      </c>
    </row>
    <row r="2613" spans="1:2" x14ac:dyDescent="0.25">
      <c r="A2613" s="54" t="s">
        <v>10021</v>
      </c>
      <c r="B2613" s="54" t="s">
        <v>13111</v>
      </c>
    </row>
    <row r="2614" spans="1:2" x14ac:dyDescent="0.25">
      <c r="A2614" s="53" t="s">
        <v>10022</v>
      </c>
      <c r="B2614" s="53" t="s">
        <v>13112</v>
      </c>
    </row>
    <row r="2615" spans="1:2" x14ac:dyDescent="0.25">
      <c r="A2615" s="54" t="s">
        <v>10023</v>
      </c>
      <c r="B2615" s="54" t="s">
        <v>13113</v>
      </c>
    </row>
    <row r="2616" spans="1:2" x14ac:dyDescent="0.25">
      <c r="A2616" s="53" t="s">
        <v>10024</v>
      </c>
      <c r="B2616" s="53" t="s">
        <v>13114</v>
      </c>
    </row>
    <row r="2617" spans="1:2" x14ac:dyDescent="0.25">
      <c r="A2617" s="54" t="s">
        <v>10025</v>
      </c>
      <c r="B2617" s="54" t="s">
        <v>13115</v>
      </c>
    </row>
    <row r="2618" spans="1:2" x14ac:dyDescent="0.25">
      <c r="A2618" s="53" t="s">
        <v>10026</v>
      </c>
      <c r="B2618" s="53" t="s">
        <v>13116</v>
      </c>
    </row>
    <row r="2619" spans="1:2" x14ac:dyDescent="0.25">
      <c r="A2619" s="54" t="s">
        <v>10027</v>
      </c>
      <c r="B2619" s="54" t="s">
        <v>12862</v>
      </c>
    </row>
    <row r="2620" spans="1:2" x14ac:dyDescent="0.25">
      <c r="A2620" s="53" t="s">
        <v>10028</v>
      </c>
      <c r="B2620" s="53" t="s">
        <v>13117</v>
      </c>
    </row>
    <row r="2621" spans="1:2" x14ac:dyDescent="0.25">
      <c r="A2621" s="54" t="s">
        <v>10029</v>
      </c>
      <c r="B2621" s="54" t="s">
        <v>13118</v>
      </c>
    </row>
    <row r="2622" spans="1:2" x14ac:dyDescent="0.25">
      <c r="A2622" s="53" t="s">
        <v>10030</v>
      </c>
      <c r="B2622" s="53" t="s">
        <v>13119</v>
      </c>
    </row>
    <row r="2623" spans="1:2" x14ac:dyDescent="0.25">
      <c r="A2623" s="54" t="s">
        <v>10031</v>
      </c>
      <c r="B2623" s="54" t="s">
        <v>13120</v>
      </c>
    </row>
    <row r="2624" spans="1:2" x14ac:dyDescent="0.25">
      <c r="A2624" s="53" t="s">
        <v>10032</v>
      </c>
      <c r="B2624" s="53" t="s">
        <v>13121</v>
      </c>
    </row>
    <row r="2625" spans="1:2" x14ac:dyDescent="0.25">
      <c r="A2625" s="54" t="s">
        <v>10033</v>
      </c>
      <c r="B2625" s="54" t="s">
        <v>13122</v>
      </c>
    </row>
    <row r="2626" spans="1:2" x14ac:dyDescent="0.25">
      <c r="A2626" s="53" t="s">
        <v>10034</v>
      </c>
      <c r="B2626" s="53" t="s">
        <v>13123</v>
      </c>
    </row>
    <row r="2627" spans="1:2" x14ac:dyDescent="0.25">
      <c r="A2627" s="54" t="s">
        <v>10035</v>
      </c>
      <c r="B2627" s="54" t="s">
        <v>13124</v>
      </c>
    </row>
    <row r="2628" spans="1:2" x14ac:dyDescent="0.25">
      <c r="A2628" s="53" t="s">
        <v>10036</v>
      </c>
      <c r="B2628" s="53" t="s">
        <v>13125</v>
      </c>
    </row>
    <row r="2629" spans="1:2" x14ac:dyDescent="0.25">
      <c r="A2629" s="54" t="s">
        <v>10037</v>
      </c>
      <c r="B2629" s="54" t="s">
        <v>13126</v>
      </c>
    </row>
    <row r="2630" spans="1:2" x14ac:dyDescent="0.25">
      <c r="A2630" s="53" t="s">
        <v>10038</v>
      </c>
      <c r="B2630" s="53" t="s">
        <v>13127</v>
      </c>
    </row>
    <row r="2631" spans="1:2" x14ac:dyDescent="0.25">
      <c r="A2631" s="54" t="s">
        <v>10039</v>
      </c>
      <c r="B2631" s="54" t="s">
        <v>13128</v>
      </c>
    </row>
    <row r="2632" spans="1:2" x14ac:dyDescent="0.25">
      <c r="A2632" s="53" t="s">
        <v>10040</v>
      </c>
      <c r="B2632" s="53" t="s">
        <v>13129</v>
      </c>
    </row>
    <row r="2633" spans="1:2" x14ac:dyDescent="0.25">
      <c r="A2633" s="54" t="s">
        <v>10041</v>
      </c>
      <c r="B2633" s="54" t="s">
        <v>13130</v>
      </c>
    </row>
    <row r="2634" spans="1:2" x14ac:dyDescent="0.25">
      <c r="A2634" s="53" t="s">
        <v>10042</v>
      </c>
      <c r="B2634" s="53" t="s">
        <v>13131</v>
      </c>
    </row>
    <row r="2635" spans="1:2" x14ac:dyDescent="0.25">
      <c r="A2635" s="54" t="s">
        <v>10043</v>
      </c>
      <c r="B2635" s="54" t="s">
        <v>13132</v>
      </c>
    </row>
    <row r="2636" spans="1:2" x14ac:dyDescent="0.25">
      <c r="A2636" s="53" t="s">
        <v>10044</v>
      </c>
      <c r="B2636" s="53" t="s">
        <v>12548</v>
      </c>
    </row>
    <row r="2637" spans="1:2" x14ac:dyDescent="0.25">
      <c r="A2637" s="54" t="s">
        <v>10045</v>
      </c>
      <c r="B2637" s="54" t="s">
        <v>13133</v>
      </c>
    </row>
    <row r="2638" spans="1:2" x14ac:dyDescent="0.25">
      <c r="A2638" s="53" t="s">
        <v>10046</v>
      </c>
      <c r="B2638" s="53" t="s">
        <v>13039</v>
      </c>
    </row>
    <row r="2639" spans="1:2" x14ac:dyDescent="0.25">
      <c r="A2639" s="54" t="s">
        <v>10047</v>
      </c>
      <c r="B2639" s="54" t="s">
        <v>13134</v>
      </c>
    </row>
    <row r="2640" spans="1:2" x14ac:dyDescent="0.25">
      <c r="A2640" s="53" t="s">
        <v>10048</v>
      </c>
      <c r="B2640" s="53" t="s">
        <v>12546</v>
      </c>
    </row>
    <row r="2641" spans="1:2" x14ac:dyDescent="0.25">
      <c r="A2641" s="54" t="s">
        <v>10049</v>
      </c>
      <c r="B2641" s="54" t="s">
        <v>13135</v>
      </c>
    </row>
    <row r="2642" spans="1:2" x14ac:dyDescent="0.25">
      <c r="A2642" s="53" t="s">
        <v>10050</v>
      </c>
      <c r="B2642" s="53" t="s">
        <v>13136</v>
      </c>
    </row>
    <row r="2643" spans="1:2" x14ac:dyDescent="0.25">
      <c r="A2643" s="54" t="s">
        <v>10051</v>
      </c>
      <c r="B2643" s="54" t="s">
        <v>13137</v>
      </c>
    </row>
    <row r="2644" spans="1:2" x14ac:dyDescent="0.25">
      <c r="A2644" s="53" t="s">
        <v>10052</v>
      </c>
      <c r="B2644" s="53" t="s">
        <v>13138</v>
      </c>
    </row>
    <row r="2645" spans="1:2" x14ac:dyDescent="0.25">
      <c r="A2645" s="54" t="s">
        <v>10053</v>
      </c>
      <c r="B2645" s="54" t="s">
        <v>13139</v>
      </c>
    </row>
    <row r="2646" spans="1:2" x14ac:dyDescent="0.25">
      <c r="A2646" s="53" t="s">
        <v>10054</v>
      </c>
      <c r="B2646" s="53" t="s">
        <v>13140</v>
      </c>
    </row>
    <row r="2647" spans="1:2" x14ac:dyDescent="0.25">
      <c r="A2647" s="54" t="s">
        <v>10055</v>
      </c>
      <c r="B2647" s="54" t="s">
        <v>13141</v>
      </c>
    </row>
    <row r="2648" spans="1:2" x14ac:dyDescent="0.25">
      <c r="A2648" s="53" t="s">
        <v>10056</v>
      </c>
      <c r="B2648" s="53" t="s">
        <v>13142</v>
      </c>
    </row>
    <row r="2649" spans="1:2" x14ac:dyDescent="0.25">
      <c r="A2649" s="54" t="s">
        <v>10057</v>
      </c>
      <c r="B2649" s="54" t="s">
        <v>12529</v>
      </c>
    </row>
    <row r="2650" spans="1:2" x14ac:dyDescent="0.25">
      <c r="A2650" s="53" t="s">
        <v>10058</v>
      </c>
      <c r="B2650" s="53" t="s">
        <v>13143</v>
      </c>
    </row>
    <row r="2651" spans="1:2" x14ac:dyDescent="0.25">
      <c r="A2651" s="54" t="s">
        <v>10059</v>
      </c>
      <c r="B2651" s="54" t="s">
        <v>13144</v>
      </c>
    </row>
    <row r="2652" spans="1:2" x14ac:dyDescent="0.25">
      <c r="A2652" s="53" t="s">
        <v>10060</v>
      </c>
      <c r="B2652" s="53" t="s">
        <v>13145</v>
      </c>
    </row>
    <row r="2653" spans="1:2" x14ac:dyDescent="0.25">
      <c r="A2653" s="54" t="s">
        <v>10061</v>
      </c>
      <c r="B2653" s="54" t="s">
        <v>13146</v>
      </c>
    </row>
    <row r="2654" spans="1:2" x14ac:dyDescent="0.25">
      <c r="A2654" s="53" t="s">
        <v>10062</v>
      </c>
      <c r="B2654" s="53" t="s">
        <v>12294</v>
      </c>
    </row>
    <row r="2655" spans="1:2" x14ac:dyDescent="0.25">
      <c r="A2655" s="54" t="s">
        <v>10063</v>
      </c>
      <c r="B2655" s="54" t="s">
        <v>12571</v>
      </c>
    </row>
    <row r="2656" spans="1:2" x14ac:dyDescent="0.25">
      <c r="A2656" s="53" t="s">
        <v>10064</v>
      </c>
      <c r="B2656" s="53" t="s">
        <v>13147</v>
      </c>
    </row>
    <row r="2657" spans="1:2" x14ac:dyDescent="0.25">
      <c r="A2657" s="54" t="s">
        <v>10065</v>
      </c>
      <c r="B2657" s="54" t="s">
        <v>13148</v>
      </c>
    </row>
    <row r="2658" spans="1:2" x14ac:dyDescent="0.25">
      <c r="A2658" s="53" t="s">
        <v>10066</v>
      </c>
      <c r="B2658" s="53" t="s">
        <v>13149</v>
      </c>
    </row>
    <row r="2659" spans="1:2" x14ac:dyDescent="0.25">
      <c r="A2659" s="54" t="s">
        <v>10067</v>
      </c>
      <c r="B2659" s="54" t="s">
        <v>13150</v>
      </c>
    </row>
    <row r="2660" spans="1:2" x14ac:dyDescent="0.25">
      <c r="A2660" s="53" t="s">
        <v>10068</v>
      </c>
      <c r="B2660" s="53" t="s">
        <v>13151</v>
      </c>
    </row>
    <row r="2661" spans="1:2" x14ac:dyDescent="0.25">
      <c r="A2661" s="54" t="s">
        <v>10069</v>
      </c>
      <c r="B2661" s="54" t="s">
        <v>13152</v>
      </c>
    </row>
    <row r="2662" spans="1:2" x14ac:dyDescent="0.25">
      <c r="A2662" s="53" t="s">
        <v>10070</v>
      </c>
      <c r="B2662" s="53" t="s">
        <v>13153</v>
      </c>
    </row>
    <row r="2663" spans="1:2" x14ac:dyDescent="0.25">
      <c r="A2663" s="54" t="s">
        <v>10071</v>
      </c>
      <c r="B2663" s="54" t="s">
        <v>13154</v>
      </c>
    </row>
    <row r="2664" spans="1:2" x14ac:dyDescent="0.25">
      <c r="A2664" s="53" t="s">
        <v>10072</v>
      </c>
      <c r="B2664" s="53" t="s">
        <v>13155</v>
      </c>
    </row>
    <row r="2665" spans="1:2" x14ac:dyDescent="0.25">
      <c r="A2665" s="54" t="s">
        <v>10073</v>
      </c>
      <c r="B2665" s="54" t="s">
        <v>13156</v>
      </c>
    </row>
    <row r="2666" spans="1:2" x14ac:dyDescent="0.25">
      <c r="A2666" s="53" t="s">
        <v>10074</v>
      </c>
      <c r="B2666" s="53" t="s">
        <v>11841</v>
      </c>
    </row>
    <row r="2667" spans="1:2" x14ac:dyDescent="0.25">
      <c r="A2667" s="54" t="s">
        <v>10075</v>
      </c>
      <c r="B2667" s="54" t="s">
        <v>13157</v>
      </c>
    </row>
    <row r="2668" spans="1:2" x14ac:dyDescent="0.25">
      <c r="A2668" s="53" t="s">
        <v>10076</v>
      </c>
      <c r="B2668" s="53" t="s">
        <v>13158</v>
      </c>
    </row>
    <row r="2669" spans="1:2" x14ac:dyDescent="0.25">
      <c r="A2669" s="54" t="s">
        <v>10077</v>
      </c>
      <c r="B2669" s="54" t="s">
        <v>13159</v>
      </c>
    </row>
    <row r="2670" spans="1:2" x14ac:dyDescent="0.25">
      <c r="A2670" s="53" t="s">
        <v>10078</v>
      </c>
      <c r="B2670" s="53" t="s">
        <v>10960</v>
      </c>
    </row>
    <row r="2671" spans="1:2" x14ac:dyDescent="0.25">
      <c r="A2671" s="54" t="s">
        <v>10079</v>
      </c>
      <c r="B2671" s="54" t="s">
        <v>10875</v>
      </c>
    </row>
    <row r="2672" spans="1:2" x14ac:dyDescent="0.25">
      <c r="A2672" s="53" t="s">
        <v>10080</v>
      </c>
      <c r="B2672" s="53" t="s">
        <v>13160</v>
      </c>
    </row>
    <row r="2673" spans="1:2" x14ac:dyDescent="0.25">
      <c r="A2673" s="54" t="s">
        <v>10081</v>
      </c>
      <c r="B2673" s="54" t="s">
        <v>13161</v>
      </c>
    </row>
    <row r="2674" spans="1:2" x14ac:dyDescent="0.25">
      <c r="A2674" s="53" t="s">
        <v>10082</v>
      </c>
      <c r="B2674" s="53" t="s">
        <v>13162</v>
      </c>
    </row>
    <row r="2675" spans="1:2" x14ac:dyDescent="0.25">
      <c r="A2675" s="54" t="s">
        <v>10083</v>
      </c>
      <c r="B2675" s="54" t="s">
        <v>13163</v>
      </c>
    </row>
    <row r="2676" spans="1:2" x14ac:dyDescent="0.25">
      <c r="A2676" s="53" t="s">
        <v>10084</v>
      </c>
      <c r="B2676" s="53" t="s">
        <v>13164</v>
      </c>
    </row>
    <row r="2677" spans="1:2" x14ac:dyDescent="0.25">
      <c r="A2677" s="54" t="s">
        <v>10085</v>
      </c>
      <c r="B2677" s="54" t="s">
        <v>13165</v>
      </c>
    </row>
    <row r="2678" spans="1:2" x14ac:dyDescent="0.25">
      <c r="A2678" s="53" t="s">
        <v>10086</v>
      </c>
      <c r="B2678" s="53" t="s">
        <v>13166</v>
      </c>
    </row>
    <row r="2679" spans="1:2" x14ac:dyDescent="0.25">
      <c r="A2679" s="54" t="s">
        <v>10087</v>
      </c>
      <c r="B2679" s="54" t="s">
        <v>13167</v>
      </c>
    </row>
    <row r="2680" spans="1:2" x14ac:dyDescent="0.25">
      <c r="A2680" s="53" t="s">
        <v>10088</v>
      </c>
      <c r="B2680" s="53" t="s">
        <v>13168</v>
      </c>
    </row>
    <row r="2681" spans="1:2" x14ac:dyDescent="0.25">
      <c r="A2681" s="54" t="s">
        <v>10089</v>
      </c>
      <c r="B2681" s="54" t="s">
        <v>13169</v>
      </c>
    </row>
    <row r="2682" spans="1:2" x14ac:dyDescent="0.25">
      <c r="A2682" s="53" t="s">
        <v>10090</v>
      </c>
      <c r="B2682" s="53" t="s">
        <v>13170</v>
      </c>
    </row>
    <row r="2683" spans="1:2" x14ac:dyDescent="0.25">
      <c r="A2683" s="54" t="s">
        <v>10091</v>
      </c>
      <c r="B2683" s="54" t="s">
        <v>13171</v>
      </c>
    </row>
    <row r="2684" spans="1:2" x14ac:dyDescent="0.25">
      <c r="A2684" s="53" t="s">
        <v>10092</v>
      </c>
      <c r="B2684" s="53" t="s">
        <v>13172</v>
      </c>
    </row>
    <row r="2685" spans="1:2" x14ac:dyDescent="0.25">
      <c r="A2685" s="54" t="s">
        <v>10093</v>
      </c>
      <c r="B2685" s="54" t="s">
        <v>13173</v>
      </c>
    </row>
    <row r="2686" spans="1:2" x14ac:dyDescent="0.25">
      <c r="A2686" s="53" t="s">
        <v>10094</v>
      </c>
      <c r="B2686" s="53" t="s">
        <v>13174</v>
      </c>
    </row>
    <row r="2687" spans="1:2" x14ac:dyDescent="0.25">
      <c r="A2687" s="54" t="s">
        <v>10095</v>
      </c>
      <c r="B2687" s="54" t="s">
        <v>13175</v>
      </c>
    </row>
    <row r="2688" spans="1:2" x14ac:dyDescent="0.25">
      <c r="A2688" s="53" t="s">
        <v>10096</v>
      </c>
      <c r="B2688" s="53" t="s">
        <v>13176</v>
      </c>
    </row>
    <row r="2689" spans="1:2" x14ac:dyDescent="0.25">
      <c r="A2689" s="54" t="s">
        <v>10097</v>
      </c>
      <c r="B2689" s="54" t="s">
        <v>13177</v>
      </c>
    </row>
    <row r="2690" spans="1:2" x14ac:dyDescent="0.25">
      <c r="A2690" s="53" t="s">
        <v>10098</v>
      </c>
      <c r="B2690" s="53" t="s">
        <v>13178</v>
      </c>
    </row>
    <row r="2691" spans="1:2" x14ac:dyDescent="0.25">
      <c r="A2691" s="54" t="s">
        <v>10099</v>
      </c>
      <c r="B2691" s="54" t="s">
        <v>13179</v>
      </c>
    </row>
    <row r="2692" spans="1:2" x14ac:dyDescent="0.25">
      <c r="A2692" s="53" t="s">
        <v>10100</v>
      </c>
      <c r="B2692" s="53" t="s">
        <v>13180</v>
      </c>
    </row>
    <row r="2693" spans="1:2" x14ac:dyDescent="0.25">
      <c r="A2693" s="54" t="s">
        <v>10101</v>
      </c>
      <c r="B2693" s="54" t="s">
        <v>13181</v>
      </c>
    </row>
    <row r="2694" spans="1:2" x14ac:dyDescent="0.25">
      <c r="A2694" s="53" t="s">
        <v>10102</v>
      </c>
      <c r="B2694" s="53" t="s">
        <v>13182</v>
      </c>
    </row>
    <row r="2695" spans="1:2" x14ac:dyDescent="0.25">
      <c r="A2695" s="54" t="s">
        <v>10103</v>
      </c>
      <c r="B2695" s="54" t="s">
        <v>13183</v>
      </c>
    </row>
    <row r="2696" spans="1:2" x14ac:dyDescent="0.25">
      <c r="A2696" s="53" t="s">
        <v>10104</v>
      </c>
      <c r="B2696" s="53" t="s">
        <v>13184</v>
      </c>
    </row>
    <row r="2697" spans="1:2" x14ac:dyDescent="0.25">
      <c r="A2697" s="54" t="s">
        <v>10105</v>
      </c>
      <c r="B2697" s="54" t="s">
        <v>13185</v>
      </c>
    </row>
    <row r="2698" spans="1:2" x14ac:dyDescent="0.25">
      <c r="A2698" s="53" t="s">
        <v>10106</v>
      </c>
      <c r="B2698" s="53" t="s">
        <v>13186</v>
      </c>
    </row>
    <row r="2699" spans="1:2" x14ac:dyDescent="0.25">
      <c r="A2699" s="54" t="s">
        <v>10107</v>
      </c>
      <c r="B2699" s="54" t="s">
        <v>13187</v>
      </c>
    </row>
    <row r="2700" spans="1:2" x14ac:dyDescent="0.25">
      <c r="A2700" s="53" t="s">
        <v>10108</v>
      </c>
      <c r="B2700" s="53" t="s">
        <v>13188</v>
      </c>
    </row>
    <row r="2701" spans="1:2" x14ac:dyDescent="0.25">
      <c r="A2701" s="54" t="s">
        <v>10109</v>
      </c>
      <c r="B2701" s="54" t="s">
        <v>13189</v>
      </c>
    </row>
    <row r="2702" spans="1:2" x14ac:dyDescent="0.25">
      <c r="A2702" s="53" t="s">
        <v>10110</v>
      </c>
      <c r="B2702" s="53" t="s">
        <v>13190</v>
      </c>
    </row>
    <row r="2703" spans="1:2" x14ac:dyDescent="0.25">
      <c r="A2703" s="54" t="s">
        <v>10111</v>
      </c>
      <c r="B2703" s="54" t="s">
        <v>13191</v>
      </c>
    </row>
    <row r="2704" spans="1:2" x14ac:dyDescent="0.25">
      <c r="A2704" s="53" t="s">
        <v>10112</v>
      </c>
      <c r="B2704" s="53" t="s">
        <v>13192</v>
      </c>
    </row>
    <row r="2705" spans="1:2" x14ac:dyDescent="0.25">
      <c r="A2705" s="54" t="s">
        <v>10113</v>
      </c>
      <c r="B2705" s="54" t="s">
        <v>13193</v>
      </c>
    </row>
    <row r="2706" spans="1:2" x14ac:dyDescent="0.25">
      <c r="A2706" s="53" t="s">
        <v>10114</v>
      </c>
      <c r="B2706" s="53" t="s">
        <v>11263</v>
      </c>
    </row>
    <row r="2707" spans="1:2" x14ac:dyDescent="0.25">
      <c r="A2707" s="54" t="s">
        <v>10115</v>
      </c>
      <c r="B2707" s="54" t="s">
        <v>13194</v>
      </c>
    </row>
    <row r="2708" spans="1:2" x14ac:dyDescent="0.25">
      <c r="A2708" s="53" t="s">
        <v>10116</v>
      </c>
      <c r="B2708" s="53" t="s">
        <v>13195</v>
      </c>
    </row>
    <row r="2709" spans="1:2" x14ac:dyDescent="0.25">
      <c r="A2709" s="54" t="s">
        <v>10117</v>
      </c>
      <c r="B2709" s="54" t="s">
        <v>13196</v>
      </c>
    </row>
    <row r="2710" spans="1:2" x14ac:dyDescent="0.25">
      <c r="A2710" s="53" t="s">
        <v>10118</v>
      </c>
      <c r="B2710" s="53" t="s">
        <v>13197</v>
      </c>
    </row>
    <row r="2711" spans="1:2" x14ac:dyDescent="0.25">
      <c r="A2711" s="54" t="s">
        <v>10119</v>
      </c>
      <c r="B2711" s="54" t="s">
        <v>13198</v>
      </c>
    </row>
    <row r="2712" spans="1:2" x14ac:dyDescent="0.25">
      <c r="A2712" s="53" t="s">
        <v>10120</v>
      </c>
      <c r="B2712" s="53" t="s">
        <v>13199</v>
      </c>
    </row>
    <row r="2713" spans="1:2" x14ac:dyDescent="0.25">
      <c r="A2713" s="54" t="s">
        <v>10121</v>
      </c>
      <c r="B2713" s="54" t="s">
        <v>13200</v>
      </c>
    </row>
    <row r="2714" spans="1:2" x14ac:dyDescent="0.25">
      <c r="A2714" s="53" t="s">
        <v>10122</v>
      </c>
      <c r="B2714" s="53" t="s">
        <v>13201</v>
      </c>
    </row>
    <row r="2715" spans="1:2" x14ac:dyDescent="0.25">
      <c r="A2715" s="54" t="s">
        <v>10123</v>
      </c>
      <c r="B2715" s="54" t="s">
        <v>13202</v>
      </c>
    </row>
    <row r="2716" spans="1:2" x14ac:dyDescent="0.25">
      <c r="A2716" s="53" t="s">
        <v>10124</v>
      </c>
      <c r="B2716" s="53" t="s">
        <v>13203</v>
      </c>
    </row>
    <row r="2717" spans="1:2" x14ac:dyDescent="0.25">
      <c r="A2717" s="54" t="s">
        <v>10125</v>
      </c>
      <c r="B2717" s="54" t="s">
        <v>13204</v>
      </c>
    </row>
    <row r="2718" spans="1:2" x14ac:dyDescent="0.25">
      <c r="A2718" s="53" t="s">
        <v>10126</v>
      </c>
      <c r="B2718" s="53" t="s">
        <v>13205</v>
      </c>
    </row>
    <row r="2719" spans="1:2" x14ac:dyDescent="0.25">
      <c r="A2719" s="54" t="s">
        <v>10127</v>
      </c>
      <c r="B2719" s="54" t="s">
        <v>13206</v>
      </c>
    </row>
    <row r="2720" spans="1:2" x14ac:dyDescent="0.25">
      <c r="A2720" s="53" t="s">
        <v>10128</v>
      </c>
      <c r="B2720" s="53" t="s">
        <v>13207</v>
      </c>
    </row>
    <row r="2721" spans="1:2" x14ac:dyDescent="0.25">
      <c r="A2721" s="54" t="s">
        <v>10129</v>
      </c>
      <c r="B2721" s="54" t="s">
        <v>12112</v>
      </c>
    </row>
    <row r="2722" spans="1:2" x14ac:dyDescent="0.25">
      <c r="A2722" s="53" t="s">
        <v>10130</v>
      </c>
      <c r="B2722" s="53" t="s">
        <v>13208</v>
      </c>
    </row>
    <row r="2723" spans="1:2" x14ac:dyDescent="0.25">
      <c r="A2723" s="54" t="s">
        <v>10131</v>
      </c>
      <c r="B2723" s="54" t="s">
        <v>13209</v>
      </c>
    </row>
    <row r="2724" spans="1:2" x14ac:dyDescent="0.25">
      <c r="A2724" s="53" t="s">
        <v>10132</v>
      </c>
      <c r="B2724" s="53" t="s">
        <v>13210</v>
      </c>
    </row>
    <row r="2725" spans="1:2" x14ac:dyDescent="0.25">
      <c r="A2725" s="54" t="s">
        <v>10133</v>
      </c>
      <c r="B2725" s="54" t="s">
        <v>13211</v>
      </c>
    </row>
    <row r="2726" spans="1:2" x14ac:dyDescent="0.25">
      <c r="A2726" s="53" t="s">
        <v>10134</v>
      </c>
      <c r="B2726" s="53" t="s">
        <v>13212</v>
      </c>
    </row>
    <row r="2727" spans="1:2" x14ac:dyDescent="0.25">
      <c r="A2727" s="54" t="s">
        <v>10135</v>
      </c>
      <c r="B2727" s="54" t="s">
        <v>13213</v>
      </c>
    </row>
    <row r="2728" spans="1:2" x14ac:dyDescent="0.25">
      <c r="A2728" s="53" t="s">
        <v>10136</v>
      </c>
      <c r="B2728" s="53" t="s">
        <v>13214</v>
      </c>
    </row>
    <row r="2729" spans="1:2" x14ac:dyDescent="0.25">
      <c r="A2729" s="54" t="s">
        <v>10137</v>
      </c>
      <c r="B2729" s="54" t="s">
        <v>13215</v>
      </c>
    </row>
    <row r="2730" spans="1:2" x14ac:dyDescent="0.25">
      <c r="A2730" s="53" t="s">
        <v>10138</v>
      </c>
      <c r="B2730" s="53" t="s">
        <v>13216</v>
      </c>
    </row>
    <row r="2731" spans="1:2" x14ac:dyDescent="0.25">
      <c r="A2731" s="54" t="s">
        <v>10139</v>
      </c>
      <c r="B2731" s="54" t="s">
        <v>13217</v>
      </c>
    </row>
    <row r="2732" spans="1:2" x14ac:dyDescent="0.25">
      <c r="A2732" s="53" t="s">
        <v>10140</v>
      </c>
      <c r="B2732" s="53" t="s">
        <v>13218</v>
      </c>
    </row>
    <row r="2733" spans="1:2" x14ac:dyDescent="0.25">
      <c r="A2733" s="54" t="s">
        <v>10141</v>
      </c>
      <c r="B2733" s="54" t="s">
        <v>13219</v>
      </c>
    </row>
    <row r="2734" spans="1:2" x14ac:dyDescent="0.25">
      <c r="A2734" s="53" t="s">
        <v>10142</v>
      </c>
      <c r="B2734" s="53" t="s">
        <v>13220</v>
      </c>
    </row>
    <row r="2735" spans="1:2" x14ac:dyDescent="0.25">
      <c r="A2735" s="54" t="s">
        <v>10143</v>
      </c>
      <c r="B2735" s="54" t="s">
        <v>13221</v>
      </c>
    </row>
    <row r="2736" spans="1:2" x14ac:dyDescent="0.25">
      <c r="A2736" s="53" t="s">
        <v>10144</v>
      </c>
      <c r="B2736" s="53" t="s">
        <v>13222</v>
      </c>
    </row>
    <row r="2737" spans="1:2" x14ac:dyDescent="0.25">
      <c r="A2737" s="54" t="s">
        <v>10145</v>
      </c>
      <c r="B2737" s="54" t="s">
        <v>13223</v>
      </c>
    </row>
    <row r="2738" spans="1:2" x14ac:dyDescent="0.25">
      <c r="A2738" s="53" t="s">
        <v>10146</v>
      </c>
      <c r="B2738" s="53" t="s">
        <v>13224</v>
      </c>
    </row>
    <row r="2739" spans="1:2" x14ac:dyDescent="0.25">
      <c r="A2739" s="54" t="s">
        <v>10147</v>
      </c>
      <c r="B2739" s="54" t="s">
        <v>13225</v>
      </c>
    </row>
    <row r="2740" spans="1:2" x14ac:dyDescent="0.25">
      <c r="A2740" s="53" t="s">
        <v>10148</v>
      </c>
      <c r="B2740" s="53" t="s">
        <v>13226</v>
      </c>
    </row>
    <row r="2741" spans="1:2" x14ac:dyDescent="0.25">
      <c r="A2741" s="54" t="s">
        <v>10149</v>
      </c>
      <c r="B2741" s="54" t="s">
        <v>13227</v>
      </c>
    </row>
    <row r="2742" spans="1:2" x14ac:dyDescent="0.25">
      <c r="A2742" s="53" t="s">
        <v>10150</v>
      </c>
      <c r="B2742" s="53" t="s">
        <v>13228</v>
      </c>
    </row>
    <row r="2743" spans="1:2" x14ac:dyDescent="0.25">
      <c r="A2743" s="54" t="s">
        <v>10151</v>
      </c>
      <c r="B2743" s="54" t="s">
        <v>13229</v>
      </c>
    </row>
    <row r="2744" spans="1:2" x14ac:dyDescent="0.25">
      <c r="A2744" s="53" t="s">
        <v>10152</v>
      </c>
      <c r="B2744" s="53" t="s">
        <v>13230</v>
      </c>
    </row>
    <row r="2745" spans="1:2" x14ac:dyDescent="0.25">
      <c r="A2745" s="54" t="s">
        <v>10153</v>
      </c>
      <c r="B2745" s="54" t="s">
        <v>13231</v>
      </c>
    </row>
    <row r="2746" spans="1:2" x14ac:dyDescent="0.25">
      <c r="A2746" s="53" t="s">
        <v>10154</v>
      </c>
      <c r="B2746" s="53" t="s">
        <v>13232</v>
      </c>
    </row>
    <row r="2747" spans="1:2" x14ac:dyDescent="0.25">
      <c r="A2747" s="54" t="s">
        <v>10155</v>
      </c>
      <c r="B2747" s="54" t="s">
        <v>13233</v>
      </c>
    </row>
    <row r="2748" spans="1:2" x14ac:dyDescent="0.25">
      <c r="A2748" s="53" t="s">
        <v>10156</v>
      </c>
      <c r="B2748" s="53" t="s">
        <v>13234</v>
      </c>
    </row>
    <row r="2749" spans="1:2" x14ac:dyDescent="0.25">
      <c r="A2749" s="54" t="s">
        <v>10157</v>
      </c>
      <c r="B2749" s="54" t="s">
        <v>12227</v>
      </c>
    </row>
    <row r="2750" spans="1:2" x14ac:dyDescent="0.25">
      <c r="A2750" s="53" t="s">
        <v>10158</v>
      </c>
      <c r="B2750" s="53" t="s">
        <v>13235</v>
      </c>
    </row>
    <row r="2751" spans="1:2" x14ac:dyDescent="0.25">
      <c r="A2751" s="54" t="s">
        <v>10159</v>
      </c>
      <c r="B2751" s="54" t="s">
        <v>13236</v>
      </c>
    </row>
    <row r="2752" spans="1:2" x14ac:dyDescent="0.25">
      <c r="A2752" s="53" t="s">
        <v>10160</v>
      </c>
      <c r="B2752" s="53" t="s">
        <v>13237</v>
      </c>
    </row>
    <row r="2753" spans="1:2" x14ac:dyDescent="0.25">
      <c r="A2753" s="54" t="s">
        <v>10161</v>
      </c>
      <c r="B2753" s="54" t="s">
        <v>13238</v>
      </c>
    </row>
    <row r="2754" spans="1:2" x14ac:dyDescent="0.25">
      <c r="A2754" s="53" t="s">
        <v>10162</v>
      </c>
      <c r="B2754" s="53" t="s">
        <v>13239</v>
      </c>
    </row>
    <row r="2755" spans="1:2" x14ac:dyDescent="0.25">
      <c r="A2755" s="54" t="s">
        <v>10163</v>
      </c>
      <c r="B2755" s="54" t="s">
        <v>13240</v>
      </c>
    </row>
    <row r="2756" spans="1:2" x14ac:dyDescent="0.25">
      <c r="A2756" s="53" t="s">
        <v>10164</v>
      </c>
      <c r="B2756" s="53" t="s">
        <v>13241</v>
      </c>
    </row>
    <row r="2757" spans="1:2" x14ac:dyDescent="0.25">
      <c r="A2757" s="54" t="s">
        <v>10165</v>
      </c>
      <c r="B2757" s="54" t="s">
        <v>13242</v>
      </c>
    </row>
    <row r="2758" spans="1:2" x14ac:dyDescent="0.25">
      <c r="A2758" s="53" t="s">
        <v>10166</v>
      </c>
      <c r="B2758" s="53" t="s">
        <v>13243</v>
      </c>
    </row>
    <row r="2759" spans="1:2" x14ac:dyDescent="0.25">
      <c r="A2759" s="54" t="s">
        <v>10167</v>
      </c>
      <c r="B2759" s="54" t="s">
        <v>13244</v>
      </c>
    </row>
    <row r="2760" spans="1:2" x14ac:dyDescent="0.25">
      <c r="A2760" s="53" t="s">
        <v>10168</v>
      </c>
      <c r="B2760" s="53" t="s">
        <v>13245</v>
      </c>
    </row>
    <row r="2761" spans="1:2" x14ac:dyDescent="0.25">
      <c r="A2761" s="54" t="s">
        <v>10169</v>
      </c>
      <c r="B2761" s="54" t="s">
        <v>13246</v>
      </c>
    </row>
    <row r="2762" spans="1:2" x14ac:dyDescent="0.25">
      <c r="A2762" s="53" t="s">
        <v>10170</v>
      </c>
      <c r="B2762" s="53" t="s">
        <v>13247</v>
      </c>
    </row>
    <row r="2763" spans="1:2" x14ac:dyDescent="0.25">
      <c r="A2763" s="54" t="s">
        <v>10171</v>
      </c>
      <c r="B2763" s="54" t="s">
        <v>13248</v>
      </c>
    </row>
    <row r="2764" spans="1:2" x14ac:dyDescent="0.25">
      <c r="A2764" s="53" t="s">
        <v>10172</v>
      </c>
      <c r="B2764" s="53" t="s">
        <v>13249</v>
      </c>
    </row>
    <row r="2765" spans="1:2" x14ac:dyDescent="0.25">
      <c r="A2765" s="54" t="s">
        <v>10173</v>
      </c>
      <c r="B2765" s="54" t="s">
        <v>13250</v>
      </c>
    </row>
    <row r="2766" spans="1:2" x14ac:dyDescent="0.25">
      <c r="A2766" s="53" t="s">
        <v>10174</v>
      </c>
      <c r="B2766" s="53" t="s">
        <v>13251</v>
      </c>
    </row>
    <row r="2767" spans="1:2" x14ac:dyDescent="0.25">
      <c r="A2767" s="54" t="s">
        <v>10175</v>
      </c>
      <c r="B2767" s="54" t="s">
        <v>13032</v>
      </c>
    </row>
    <row r="2768" spans="1:2" x14ac:dyDescent="0.25">
      <c r="A2768" s="53" t="s">
        <v>10176</v>
      </c>
      <c r="B2768" s="53" t="s">
        <v>13252</v>
      </c>
    </row>
    <row r="2769" spans="1:2" x14ac:dyDescent="0.25">
      <c r="A2769" s="54" t="s">
        <v>10177</v>
      </c>
      <c r="B2769" s="54" t="s">
        <v>13253</v>
      </c>
    </row>
    <row r="2770" spans="1:2" x14ac:dyDescent="0.25">
      <c r="A2770" s="53" t="s">
        <v>10178</v>
      </c>
      <c r="B2770" s="53" t="s">
        <v>13254</v>
      </c>
    </row>
    <row r="2771" spans="1:2" x14ac:dyDescent="0.25">
      <c r="A2771" s="54" t="s">
        <v>10179</v>
      </c>
      <c r="B2771" s="54" t="s">
        <v>13255</v>
      </c>
    </row>
    <row r="2772" spans="1:2" x14ac:dyDescent="0.25">
      <c r="A2772" s="53" t="s">
        <v>10180</v>
      </c>
      <c r="B2772" s="53" t="s">
        <v>13256</v>
      </c>
    </row>
    <row r="2773" spans="1:2" x14ac:dyDescent="0.25">
      <c r="A2773" s="54" t="s">
        <v>10181</v>
      </c>
      <c r="B2773" s="54" t="s">
        <v>13257</v>
      </c>
    </row>
    <row r="2774" spans="1:2" x14ac:dyDescent="0.25">
      <c r="A2774" s="53" t="s">
        <v>10182</v>
      </c>
      <c r="B2774" s="53" t="s">
        <v>13258</v>
      </c>
    </row>
    <row r="2775" spans="1:2" x14ac:dyDescent="0.25">
      <c r="A2775" s="54" t="s">
        <v>10183</v>
      </c>
      <c r="B2775" s="54" t="s">
        <v>13259</v>
      </c>
    </row>
    <row r="2776" spans="1:2" x14ac:dyDescent="0.25">
      <c r="A2776" s="53" t="s">
        <v>10184</v>
      </c>
      <c r="B2776" s="53" t="s">
        <v>13260</v>
      </c>
    </row>
    <row r="2777" spans="1:2" x14ac:dyDescent="0.25">
      <c r="A2777" s="54" t="s">
        <v>10185</v>
      </c>
      <c r="B2777" s="54" t="s">
        <v>13261</v>
      </c>
    </row>
    <row r="2778" spans="1:2" x14ac:dyDescent="0.25">
      <c r="A2778" s="53" t="s">
        <v>10186</v>
      </c>
      <c r="B2778" s="53" t="s">
        <v>13262</v>
      </c>
    </row>
    <row r="2779" spans="1:2" x14ac:dyDescent="0.25">
      <c r="A2779" s="54" t="s">
        <v>10187</v>
      </c>
      <c r="B2779" s="54" t="s">
        <v>13263</v>
      </c>
    </row>
    <row r="2780" spans="1:2" x14ac:dyDescent="0.25">
      <c r="A2780" s="53" t="s">
        <v>10188</v>
      </c>
      <c r="B2780" s="53" t="s">
        <v>13264</v>
      </c>
    </row>
    <row r="2781" spans="1:2" x14ac:dyDescent="0.25">
      <c r="A2781" s="54" t="s">
        <v>10189</v>
      </c>
      <c r="B2781" s="54" t="s">
        <v>13265</v>
      </c>
    </row>
    <row r="2782" spans="1:2" x14ac:dyDescent="0.25">
      <c r="A2782" s="53" t="s">
        <v>10190</v>
      </c>
      <c r="B2782" s="53" t="s">
        <v>13266</v>
      </c>
    </row>
    <row r="2783" spans="1:2" x14ac:dyDescent="0.25">
      <c r="A2783" s="54" t="s">
        <v>10191</v>
      </c>
      <c r="B2783" s="54" t="s">
        <v>13267</v>
      </c>
    </row>
    <row r="2784" spans="1:2" x14ac:dyDescent="0.25">
      <c r="A2784" s="53" t="s">
        <v>10192</v>
      </c>
      <c r="B2784" s="53" t="s">
        <v>13268</v>
      </c>
    </row>
    <row r="2785" spans="1:2" x14ac:dyDescent="0.25">
      <c r="A2785" s="54" t="s">
        <v>10193</v>
      </c>
      <c r="B2785" s="54" t="s">
        <v>13269</v>
      </c>
    </row>
    <row r="2786" spans="1:2" x14ac:dyDescent="0.25">
      <c r="A2786" s="53" t="s">
        <v>10194</v>
      </c>
      <c r="B2786" s="53" t="s">
        <v>13270</v>
      </c>
    </row>
    <row r="2787" spans="1:2" x14ac:dyDescent="0.25">
      <c r="A2787" s="54" t="s">
        <v>10195</v>
      </c>
      <c r="B2787" s="54" t="s">
        <v>13271</v>
      </c>
    </row>
    <row r="2788" spans="1:2" x14ac:dyDescent="0.25">
      <c r="A2788" s="53" t="s">
        <v>10196</v>
      </c>
      <c r="B2788" s="53" t="s">
        <v>13272</v>
      </c>
    </row>
    <row r="2789" spans="1:2" x14ac:dyDescent="0.25">
      <c r="A2789" s="54" t="s">
        <v>10197</v>
      </c>
      <c r="B2789" s="54" t="s">
        <v>13273</v>
      </c>
    </row>
    <row r="2790" spans="1:2" x14ac:dyDescent="0.25">
      <c r="A2790" s="53" t="s">
        <v>10198</v>
      </c>
      <c r="B2790" s="53" t="s">
        <v>13274</v>
      </c>
    </row>
    <row r="2791" spans="1:2" x14ac:dyDescent="0.25">
      <c r="A2791" s="54" t="s">
        <v>10199</v>
      </c>
      <c r="B2791" s="54" t="s">
        <v>13275</v>
      </c>
    </row>
    <row r="2792" spans="1:2" x14ac:dyDescent="0.25">
      <c r="A2792" s="53" t="s">
        <v>10200</v>
      </c>
      <c r="B2792" s="53" t="s">
        <v>13276</v>
      </c>
    </row>
    <row r="2793" spans="1:2" x14ac:dyDescent="0.25">
      <c r="A2793" s="54" t="s">
        <v>10201</v>
      </c>
      <c r="B2793" s="54" t="s">
        <v>13277</v>
      </c>
    </row>
    <row r="2794" spans="1:2" x14ac:dyDescent="0.25">
      <c r="A2794" s="53" t="s">
        <v>10202</v>
      </c>
      <c r="B2794" s="53" t="s">
        <v>13278</v>
      </c>
    </row>
    <row r="2795" spans="1:2" x14ac:dyDescent="0.25">
      <c r="A2795" s="54" t="s">
        <v>10203</v>
      </c>
      <c r="B2795" s="54" t="s">
        <v>13279</v>
      </c>
    </row>
    <row r="2796" spans="1:2" x14ac:dyDescent="0.25">
      <c r="A2796" s="53" t="s">
        <v>10204</v>
      </c>
      <c r="B2796" s="53" t="s">
        <v>13280</v>
      </c>
    </row>
    <row r="2797" spans="1:2" x14ac:dyDescent="0.25">
      <c r="A2797" s="54" t="s">
        <v>10205</v>
      </c>
      <c r="B2797" s="54" t="s">
        <v>13281</v>
      </c>
    </row>
    <row r="2798" spans="1:2" x14ac:dyDescent="0.25">
      <c r="A2798" s="53" t="s">
        <v>10206</v>
      </c>
      <c r="B2798" s="53" t="s">
        <v>13282</v>
      </c>
    </row>
    <row r="2799" spans="1:2" x14ac:dyDescent="0.25">
      <c r="A2799" s="54" t="s">
        <v>10207</v>
      </c>
      <c r="B2799" s="54" t="s">
        <v>13283</v>
      </c>
    </row>
    <row r="2800" spans="1:2" x14ac:dyDescent="0.25">
      <c r="A2800" s="53" t="s">
        <v>10208</v>
      </c>
      <c r="B2800" s="53" t="s">
        <v>13284</v>
      </c>
    </row>
    <row r="2801" spans="1:2" x14ac:dyDescent="0.25">
      <c r="A2801" s="54" t="s">
        <v>10209</v>
      </c>
      <c r="B2801" s="54" t="s">
        <v>13285</v>
      </c>
    </row>
    <row r="2802" spans="1:2" x14ac:dyDescent="0.25">
      <c r="A2802" s="53" t="s">
        <v>10210</v>
      </c>
      <c r="B2802" s="53" t="s">
        <v>13286</v>
      </c>
    </row>
    <row r="2803" spans="1:2" x14ac:dyDescent="0.25">
      <c r="A2803" s="54" t="s">
        <v>10211</v>
      </c>
      <c r="B2803" s="54" t="s">
        <v>13287</v>
      </c>
    </row>
    <row r="2804" spans="1:2" x14ac:dyDescent="0.25">
      <c r="A2804" s="53" t="s">
        <v>10212</v>
      </c>
      <c r="B2804" s="53" t="s">
        <v>13288</v>
      </c>
    </row>
    <row r="2805" spans="1:2" x14ac:dyDescent="0.25">
      <c r="A2805" s="54" t="s">
        <v>10213</v>
      </c>
      <c r="B2805" s="54" t="s">
        <v>13289</v>
      </c>
    </row>
    <row r="2806" spans="1:2" x14ac:dyDescent="0.25">
      <c r="A2806" s="53" t="s">
        <v>10214</v>
      </c>
      <c r="B2806" s="53" t="s">
        <v>13290</v>
      </c>
    </row>
    <row r="2807" spans="1:2" x14ac:dyDescent="0.25">
      <c r="A2807" s="54" t="s">
        <v>10215</v>
      </c>
      <c r="B2807" s="54" t="s">
        <v>13291</v>
      </c>
    </row>
    <row r="2808" spans="1:2" x14ac:dyDescent="0.25">
      <c r="A2808" s="53" t="s">
        <v>10216</v>
      </c>
      <c r="B2808" s="53" t="s">
        <v>13292</v>
      </c>
    </row>
    <row r="2809" spans="1:2" x14ac:dyDescent="0.25">
      <c r="A2809" s="54" t="s">
        <v>10217</v>
      </c>
      <c r="B2809" s="54" t="s">
        <v>13293</v>
      </c>
    </row>
    <row r="2810" spans="1:2" x14ac:dyDescent="0.25">
      <c r="A2810" s="53" t="s">
        <v>10218</v>
      </c>
      <c r="B2810" s="53" t="s">
        <v>13294</v>
      </c>
    </row>
    <row r="2811" spans="1:2" x14ac:dyDescent="0.25">
      <c r="A2811" s="54" t="s">
        <v>10219</v>
      </c>
      <c r="B2811" s="54" t="s">
        <v>13295</v>
      </c>
    </row>
    <row r="2812" spans="1:2" x14ac:dyDescent="0.25">
      <c r="A2812" s="53" t="s">
        <v>10220</v>
      </c>
      <c r="B2812" s="53" t="s">
        <v>13296</v>
      </c>
    </row>
    <row r="2813" spans="1:2" x14ac:dyDescent="0.25">
      <c r="A2813" s="54" t="s">
        <v>10221</v>
      </c>
      <c r="B2813" s="54" t="s">
        <v>12299</v>
      </c>
    </row>
    <row r="2814" spans="1:2" x14ac:dyDescent="0.25">
      <c r="A2814" s="53" t="s">
        <v>10222</v>
      </c>
      <c r="B2814" s="53" t="s">
        <v>13297</v>
      </c>
    </row>
    <row r="2815" spans="1:2" x14ac:dyDescent="0.25">
      <c r="A2815" s="54" t="s">
        <v>10223</v>
      </c>
      <c r="B2815" s="54" t="s">
        <v>13298</v>
      </c>
    </row>
    <row r="2816" spans="1:2" x14ac:dyDescent="0.25">
      <c r="A2816" s="53" t="s">
        <v>10224</v>
      </c>
      <c r="B2816" s="53" t="s">
        <v>13299</v>
      </c>
    </row>
    <row r="2817" spans="1:2" x14ac:dyDescent="0.25">
      <c r="A2817" s="54" t="s">
        <v>10225</v>
      </c>
      <c r="B2817" s="54" t="s">
        <v>13300</v>
      </c>
    </row>
    <row r="2818" spans="1:2" x14ac:dyDescent="0.25">
      <c r="A2818" s="53" t="s">
        <v>10226</v>
      </c>
      <c r="B2818" s="53" t="s">
        <v>13301</v>
      </c>
    </row>
    <row r="2819" spans="1:2" x14ac:dyDescent="0.25">
      <c r="A2819" s="54" t="s">
        <v>10227</v>
      </c>
      <c r="B2819" s="54" t="s">
        <v>13302</v>
      </c>
    </row>
    <row r="2820" spans="1:2" x14ac:dyDescent="0.25">
      <c r="A2820" s="53" t="s">
        <v>10228</v>
      </c>
      <c r="B2820" s="53" t="s">
        <v>13303</v>
      </c>
    </row>
    <row r="2821" spans="1:2" x14ac:dyDescent="0.25">
      <c r="A2821" s="54" t="s">
        <v>10229</v>
      </c>
      <c r="B2821" s="54" t="s">
        <v>13304</v>
      </c>
    </row>
    <row r="2822" spans="1:2" x14ac:dyDescent="0.25">
      <c r="A2822" s="53" t="s">
        <v>10230</v>
      </c>
      <c r="B2822" s="53" t="s">
        <v>13305</v>
      </c>
    </row>
    <row r="2823" spans="1:2" x14ac:dyDescent="0.25">
      <c r="A2823" s="54" t="s">
        <v>10231</v>
      </c>
      <c r="B2823" s="54" t="s">
        <v>13306</v>
      </c>
    </row>
    <row r="2824" spans="1:2" x14ac:dyDescent="0.25">
      <c r="A2824" s="53" t="s">
        <v>10232</v>
      </c>
      <c r="B2824" s="53" t="s">
        <v>13307</v>
      </c>
    </row>
    <row r="2825" spans="1:2" x14ac:dyDescent="0.25">
      <c r="A2825" s="54" t="s">
        <v>10233</v>
      </c>
      <c r="B2825" s="54" t="s">
        <v>13308</v>
      </c>
    </row>
    <row r="2826" spans="1:2" x14ac:dyDescent="0.25">
      <c r="A2826" s="53" t="s">
        <v>10234</v>
      </c>
      <c r="B2826" s="53" t="s">
        <v>13309</v>
      </c>
    </row>
    <row r="2827" spans="1:2" x14ac:dyDescent="0.25">
      <c r="A2827" s="54" t="s">
        <v>10235</v>
      </c>
      <c r="B2827" s="54" t="s">
        <v>13310</v>
      </c>
    </row>
    <row r="2828" spans="1:2" x14ac:dyDescent="0.25">
      <c r="A2828" s="53" t="s">
        <v>10236</v>
      </c>
      <c r="B2828" s="53" t="s">
        <v>13311</v>
      </c>
    </row>
    <row r="2829" spans="1:2" x14ac:dyDescent="0.25">
      <c r="A2829" s="54" t="s">
        <v>10237</v>
      </c>
      <c r="B2829" s="54" t="s">
        <v>13312</v>
      </c>
    </row>
    <row r="2830" spans="1:2" x14ac:dyDescent="0.25">
      <c r="A2830" s="53" t="s">
        <v>10238</v>
      </c>
      <c r="B2830" s="53" t="s">
        <v>13313</v>
      </c>
    </row>
    <row r="2831" spans="1:2" x14ac:dyDescent="0.25">
      <c r="A2831" s="54" t="s">
        <v>10239</v>
      </c>
      <c r="B2831" s="54" t="s">
        <v>13314</v>
      </c>
    </row>
    <row r="2832" spans="1:2" x14ac:dyDescent="0.25">
      <c r="A2832" s="53" t="s">
        <v>10240</v>
      </c>
      <c r="B2832" s="53" t="s">
        <v>13315</v>
      </c>
    </row>
    <row r="2833" spans="1:2" x14ac:dyDescent="0.25">
      <c r="A2833" s="54" t="s">
        <v>10241</v>
      </c>
      <c r="B2833" s="54" t="s">
        <v>13316</v>
      </c>
    </row>
    <row r="2834" spans="1:2" x14ac:dyDescent="0.25">
      <c r="A2834" s="53" t="s">
        <v>10242</v>
      </c>
      <c r="B2834" s="53" t="s">
        <v>13317</v>
      </c>
    </row>
    <row r="2835" spans="1:2" x14ac:dyDescent="0.25">
      <c r="A2835" s="54" t="s">
        <v>10243</v>
      </c>
      <c r="B2835" s="54" t="s">
        <v>13318</v>
      </c>
    </row>
    <row r="2836" spans="1:2" x14ac:dyDescent="0.25">
      <c r="A2836" s="53" t="s">
        <v>10244</v>
      </c>
      <c r="B2836" s="53" t="s">
        <v>13319</v>
      </c>
    </row>
    <row r="2837" spans="1:2" x14ac:dyDescent="0.25">
      <c r="A2837" s="54" t="s">
        <v>10245</v>
      </c>
      <c r="B2837" s="54" t="s">
        <v>13320</v>
      </c>
    </row>
    <row r="2838" spans="1:2" x14ac:dyDescent="0.25">
      <c r="A2838" s="53" t="s">
        <v>10246</v>
      </c>
      <c r="B2838" s="53" t="s">
        <v>13321</v>
      </c>
    </row>
    <row r="2839" spans="1:2" x14ac:dyDescent="0.25">
      <c r="A2839" s="54" t="s">
        <v>10247</v>
      </c>
      <c r="B2839" s="54" t="s">
        <v>13322</v>
      </c>
    </row>
    <row r="2840" spans="1:2" x14ac:dyDescent="0.25">
      <c r="A2840" s="53" t="s">
        <v>10248</v>
      </c>
      <c r="B2840" s="53" t="s">
        <v>13323</v>
      </c>
    </row>
    <row r="2841" spans="1:2" x14ac:dyDescent="0.25">
      <c r="A2841" s="54" t="s">
        <v>10249</v>
      </c>
      <c r="B2841" s="54" t="s">
        <v>13324</v>
      </c>
    </row>
    <row r="2842" spans="1:2" x14ac:dyDescent="0.25">
      <c r="A2842" s="53" t="s">
        <v>10250</v>
      </c>
      <c r="B2842" s="53" t="s">
        <v>13325</v>
      </c>
    </row>
    <row r="2843" spans="1:2" x14ac:dyDescent="0.25">
      <c r="A2843" s="54" t="s">
        <v>10251</v>
      </c>
      <c r="B2843" s="54" t="s">
        <v>13326</v>
      </c>
    </row>
    <row r="2844" spans="1:2" x14ac:dyDescent="0.25">
      <c r="A2844" s="53" t="s">
        <v>10252</v>
      </c>
      <c r="B2844" s="53" t="s">
        <v>13327</v>
      </c>
    </row>
    <row r="2845" spans="1:2" x14ac:dyDescent="0.25">
      <c r="A2845" s="54" t="s">
        <v>10253</v>
      </c>
      <c r="B2845" s="54" t="s">
        <v>11338</v>
      </c>
    </row>
    <row r="2846" spans="1:2" x14ac:dyDescent="0.25">
      <c r="A2846" s="53" t="s">
        <v>10254</v>
      </c>
      <c r="B2846" s="53" t="s">
        <v>13328</v>
      </c>
    </row>
    <row r="2847" spans="1:2" x14ac:dyDescent="0.25">
      <c r="A2847" s="54" t="s">
        <v>10255</v>
      </c>
      <c r="B2847" s="54" t="s">
        <v>13329</v>
      </c>
    </row>
    <row r="2848" spans="1:2" x14ac:dyDescent="0.25">
      <c r="A2848" s="53" t="s">
        <v>10256</v>
      </c>
      <c r="B2848" s="53" t="s">
        <v>13330</v>
      </c>
    </row>
    <row r="2849" spans="1:2" x14ac:dyDescent="0.25">
      <c r="A2849" s="54" t="s">
        <v>10257</v>
      </c>
      <c r="B2849" s="54" t="s">
        <v>13331</v>
      </c>
    </row>
    <row r="2850" spans="1:2" x14ac:dyDescent="0.25">
      <c r="A2850" s="53" t="s">
        <v>10258</v>
      </c>
      <c r="B2850" s="53" t="s">
        <v>13332</v>
      </c>
    </row>
    <row r="2851" spans="1:2" x14ac:dyDescent="0.25">
      <c r="A2851" s="54" t="s">
        <v>10259</v>
      </c>
      <c r="B2851" s="54" t="s">
        <v>13333</v>
      </c>
    </row>
    <row r="2852" spans="1:2" x14ac:dyDescent="0.25">
      <c r="A2852" s="53" t="s">
        <v>10260</v>
      </c>
      <c r="B2852" s="53" t="s">
        <v>13334</v>
      </c>
    </row>
    <row r="2853" spans="1:2" x14ac:dyDescent="0.25">
      <c r="A2853" s="54" t="s">
        <v>10261</v>
      </c>
      <c r="B2853" s="54" t="s">
        <v>13335</v>
      </c>
    </row>
    <row r="2854" spans="1:2" x14ac:dyDescent="0.25">
      <c r="A2854" s="53" t="s">
        <v>10262</v>
      </c>
      <c r="B2854" s="53" t="s">
        <v>13336</v>
      </c>
    </row>
    <row r="2855" spans="1:2" x14ac:dyDescent="0.25">
      <c r="A2855" s="54" t="s">
        <v>10263</v>
      </c>
      <c r="B2855" s="54" t="s">
        <v>10847</v>
      </c>
    </row>
    <row r="2856" spans="1:2" x14ac:dyDescent="0.25">
      <c r="A2856" s="53" t="s">
        <v>10264</v>
      </c>
      <c r="B2856" s="53" t="s">
        <v>13337</v>
      </c>
    </row>
    <row r="2857" spans="1:2" x14ac:dyDescent="0.25">
      <c r="A2857" s="54" t="s">
        <v>10265</v>
      </c>
      <c r="B2857" s="54" t="s">
        <v>13338</v>
      </c>
    </row>
    <row r="2858" spans="1:2" x14ac:dyDescent="0.25">
      <c r="A2858" s="53" t="s">
        <v>10266</v>
      </c>
      <c r="B2858" s="53" t="s">
        <v>13339</v>
      </c>
    </row>
    <row r="2859" spans="1:2" x14ac:dyDescent="0.25">
      <c r="A2859" s="54" t="s">
        <v>10267</v>
      </c>
      <c r="B2859" s="54" t="s">
        <v>13340</v>
      </c>
    </row>
    <row r="2860" spans="1:2" x14ac:dyDescent="0.25">
      <c r="A2860" s="53" t="s">
        <v>10268</v>
      </c>
      <c r="B2860" s="53" t="s">
        <v>13341</v>
      </c>
    </row>
    <row r="2861" spans="1:2" x14ac:dyDescent="0.25">
      <c r="A2861" s="54" t="s">
        <v>10269</v>
      </c>
      <c r="B2861" s="54" t="s">
        <v>13342</v>
      </c>
    </row>
    <row r="2862" spans="1:2" x14ac:dyDescent="0.25">
      <c r="A2862" s="53" t="s">
        <v>10270</v>
      </c>
      <c r="B2862" s="53" t="s">
        <v>13343</v>
      </c>
    </row>
    <row r="2863" spans="1:2" x14ac:dyDescent="0.25">
      <c r="A2863" s="54" t="s">
        <v>10271</v>
      </c>
      <c r="B2863" s="54" t="s">
        <v>13344</v>
      </c>
    </row>
    <row r="2864" spans="1:2" x14ac:dyDescent="0.25">
      <c r="A2864" s="53" t="s">
        <v>10272</v>
      </c>
      <c r="B2864" s="53" t="s">
        <v>13345</v>
      </c>
    </row>
    <row r="2865" spans="1:2" x14ac:dyDescent="0.25">
      <c r="A2865" s="54" t="s">
        <v>10273</v>
      </c>
      <c r="B2865" s="54" t="s">
        <v>13346</v>
      </c>
    </row>
    <row r="2866" spans="1:2" x14ac:dyDescent="0.25">
      <c r="A2866" s="53" t="s">
        <v>10274</v>
      </c>
      <c r="B2866" s="53" t="s">
        <v>13347</v>
      </c>
    </row>
    <row r="2867" spans="1:2" x14ac:dyDescent="0.25">
      <c r="A2867" s="54" t="s">
        <v>10275</v>
      </c>
      <c r="B2867" s="54" t="s">
        <v>13348</v>
      </c>
    </row>
    <row r="2868" spans="1:2" x14ac:dyDescent="0.25">
      <c r="A2868" s="53" t="s">
        <v>10276</v>
      </c>
      <c r="B2868" s="53" t="s">
        <v>13349</v>
      </c>
    </row>
    <row r="2869" spans="1:2" x14ac:dyDescent="0.25">
      <c r="A2869" s="54" t="s">
        <v>10277</v>
      </c>
      <c r="B2869" s="54" t="s">
        <v>13350</v>
      </c>
    </row>
    <row r="2870" spans="1:2" x14ac:dyDescent="0.25">
      <c r="A2870" s="53" t="s">
        <v>10278</v>
      </c>
      <c r="B2870" s="53" t="s">
        <v>13351</v>
      </c>
    </row>
    <row r="2871" spans="1:2" x14ac:dyDescent="0.25">
      <c r="A2871" s="54" t="s">
        <v>10279</v>
      </c>
      <c r="B2871" s="54" t="s">
        <v>13352</v>
      </c>
    </row>
    <row r="2872" spans="1:2" x14ac:dyDescent="0.25">
      <c r="A2872" s="53" t="s">
        <v>10280</v>
      </c>
      <c r="B2872" s="53" t="s">
        <v>13353</v>
      </c>
    </row>
    <row r="2873" spans="1:2" x14ac:dyDescent="0.25">
      <c r="A2873" s="54" t="s">
        <v>10281</v>
      </c>
      <c r="B2873" s="54" t="s">
        <v>13354</v>
      </c>
    </row>
    <row r="2874" spans="1:2" x14ac:dyDescent="0.25">
      <c r="A2874" s="53" t="s">
        <v>10282</v>
      </c>
      <c r="B2874" s="53" t="s">
        <v>13355</v>
      </c>
    </row>
    <row r="2875" spans="1:2" x14ac:dyDescent="0.25">
      <c r="A2875" s="54" t="s">
        <v>10283</v>
      </c>
      <c r="B2875" s="54" t="s">
        <v>13356</v>
      </c>
    </row>
    <row r="2876" spans="1:2" x14ac:dyDescent="0.25">
      <c r="A2876" s="53" t="s">
        <v>10284</v>
      </c>
      <c r="B2876" s="53" t="s">
        <v>13357</v>
      </c>
    </row>
    <row r="2877" spans="1:2" x14ac:dyDescent="0.25">
      <c r="A2877" s="54" t="s">
        <v>10285</v>
      </c>
      <c r="B2877" s="54" t="s">
        <v>13358</v>
      </c>
    </row>
    <row r="2878" spans="1:2" x14ac:dyDescent="0.25">
      <c r="A2878" s="53" t="s">
        <v>10286</v>
      </c>
      <c r="B2878" s="53" t="s">
        <v>13359</v>
      </c>
    </row>
    <row r="2879" spans="1:2" x14ac:dyDescent="0.25">
      <c r="A2879" s="54" t="s">
        <v>10287</v>
      </c>
      <c r="B2879" s="54" t="s">
        <v>13360</v>
      </c>
    </row>
    <row r="2880" spans="1:2" x14ac:dyDescent="0.25">
      <c r="A2880" s="53" t="s">
        <v>10288</v>
      </c>
      <c r="B2880" s="53" t="s">
        <v>13361</v>
      </c>
    </row>
    <row r="2881" spans="1:2" x14ac:dyDescent="0.25">
      <c r="A2881" s="54" t="s">
        <v>10289</v>
      </c>
      <c r="B2881" s="54" t="s">
        <v>13362</v>
      </c>
    </row>
    <row r="2882" spans="1:2" x14ac:dyDescent="0.25">
      <c r="A2882" s="53" t="s">
        <v>10290</v>
      </c>
      <c r="B2882" s="53" t="s">
        <v>13363</v>
      </c>
    </row>
    <row r="2883" spans="1:2" x14ac:dyDescent="0.25">
      <c r="A2883" s="54" t="s">
        <v>10291</v>
      </c>
      <c r="B2883" s="54" t="s">
        <v>13364</v>
      </c>
    </row>
    <row r="2884" spans="1:2" x14ac:dyDescent="0.25">
      <c r="A2884" s="53" t="s">
        <v>10292</v>
      </c>
      <c r="B2884" s="53" t="s">
        <v>13365</v>
      </c>
    </row>
    <row r="2885" spans="1:2" x14ac:dyDescent="0.25">
      <c r="A2885" s="54" t="s">
        <v>10293</v>
      </c>
      <c r="B2885" s="54" t="s">
        <v>13366</v>
      </c>
    </row>
    <row r="2886" spans="1:2" x14ac:dyDescent="0.25">
      <c r="A2886" s="53" t="s">
        <v>10294</v>
      </c>
      <c r="B2886" s="53" t="s">
        <v>13367</v>
      </c>
    </row>
    <row r="2887" spans="1:2" x14ac:dyDescent="0.25">
      <c r="A2887" s="54" t="s">
        <v>10295</v>
      </c>
      <c r="B2887" s="54" t="s">
        <v>13368</v>
      </c>
    </row>
    <row r="2888" spans="1:2" x14ac:dyDescent="0.25">
      <c r="A2888" s="53" t="s">
        <v>10296</v>
      </c>
      <c r="B2888" s="53" t="s">
        <v>13369</v>
      </c>
    </row>
    <row r="2889" spans="1:2" x14ac:dyDescent="0.25">
      <c r="A2889" s="54" t="s">
        <v>10297</v>
      </c>
      <c r="B2889" s="54" t="s">
        <v>13370</v>
      </c>
    </row>
    <row r="2890" spans="1:2" x14ac:dyDescent="0.25">
      <c r="A2890" s="53" t="s">
        <v>10298</v>
      </c>
      <c r="B2890" s="53" t="s">
        <v>13371</v>
      </c>
    </row>
    <row r="2891" spans="1:2" x14ac:dyDescent="0.25">
      <c r="A2891" s="54" t="s">
        <v>10299</v>
      </c>
      <c r="B2891" s="54" t="s">
        <v>13372</v>
      </c>
    </row>
    <row r="2892" spans="1:2" x14ac:dyDescent="0.25">
      <c r="A2892" s="53" t="s">
        <v>10300</v>
      </c>
      <c r="B2892" s="53" t="s">
        <v>13373</v>
      </c>
    </row>
    <row r="2893" spans="1:2" x14ac:dyDescent="0.25">
      <c r="A2893" s="54" t="s">
        <v>10301</v>
      </c>
      <c r="B2893" s="54" t="s">
        <v>13374</v>
      </c>
    </row>
    <row r="2894" spans="1:2" x14ac:dyDescent="0.25">
      <c r="A2894" s="53" t="s">
        <v>10302</v>
      </c>
      <c r="B2894" s="53" t="s">
        <v>13375</v>
      </c>
    </row>
    <row r="2895" spans="1:2" x14ac:dyDescent="0.25">
      <c r="A2895" s="54" t="s">
        <v>10303</v>
      </c>
      <c r="B2895" s="54" t="s">
        <v>13376</v>
      </c>
    </row>
    <row r="2896" spans="1:2" x14ac:dyDescent="0.25">
      <c r="A2896" s="53" t="s">
        <v>10304</v>
      </c>
      <c r="B2896" s="53" t="s">
        <v>13377</v>
      </c>
    </row>
    <row r="2897" spans="1:2" x14ac:dyDescent="0.25">
      <c r="A2897" s="54" t="s">
        <v>10305</v>
      </c>
      <c r="B2897" s="54" t="s">
        <v>13378</v>
      </c>
    </row>
    <row r="2898" spans="1:2" x14ac:dyDescent="0.25">
      <c r="A2898" s="53" t="s">
        <v>10306</v>
      </c>
      <c r="B2898" s="53" t="s">
        <v>13379</v>
      </c>
    </row>
    <row r="2899" spans="1:2" x14ac:dyDescent="0.25">
      <c r="A2899" s="54" t="s">
        <v>10307</v>
      </c>
      <c r="B2899" s="54" t="s">
        <v>13380</v>
      </c>
    </row>
    <row r="2900" spans="1:2" x14ac:dyDescent="0.25">
      <c r="A2900" s="53" t="s">
        <v>10308</v>
      </c>
      <c r="B2900" s="53" t="s">
        <v>13381</v>
      </c>
    </row>
    <row r="2901" spans="1:2" x14ac:dyDescent="0.25">
      <c r="A2901" s="54" t="s">
        <v>10309</v>
      </c>
      <c r="B2901" s="54" t="s">
        <v>13382</v>
      </c>
    </row>
    <row r="2902" spans="1:2" x14ac:dyDescent="0.25">
      <c r="A2902" s="53" t="s">
        <v>10310</v>
      </c>
      <c r="B2902" s="53" t="s">
        <v>13383</v>
      </c>
    </row>
    <row r="2903" spans="1:2" x14ac:dyDescent="0.25">
      <c r="A2903" s="54" t="s">
        <v>10311</v>
      </c>
      <c r="B2903" s="54" t="s">
        <v>13384</v>
      </c>
    </row>
    <row r="2904" spans="1:2" x14ac:dyDescent="0.25">
      <c r="A2904" s="53" t="s">
        <v>10312</v>
      </c>
      <c r="B2904" s="53" t="s">
        <v>13218</v>
      </c>
    </row>
    <row r="2905" spans="1:2" x14ac:dyDescent="0.25">
      <c r="A2905" s="54" t="s">
        <v>10313</v>
      </c>
      <c r="B2905" s="54" t="s">
        <v>13385</v>
      </c>
    </row>
    <row r="2906" spans="1:2" x14ac:dyDescent="0.25">
      <c r="A2906" s="53" t="s">
        <v>10314</v>
      </c>
      <c r="B2906" s="53" t="s">
        <v>13386</v>
      </c>
    </row>
    <row r="2907" spans="1:2" x14ac:dyDescent="0.25">
      <c r="A2907" s="54" t="s">
        <v>10315</v>
      </c>
      <c r="B2907" s="54" t="s">
        <v>12397</v>
      </c>
    </row>
    <row r="2908" spans="1:2" x14ac:dyDescent="0.25">
      <c r="A2908" s="53" t="s">
        <v>10316</v>
      </c>
      <c r="B2908" s="53" t="s">
        <v>13387</v>
      </c>
    </row>
    <row r="2909" spans="1:2" x14ac:dyDescent="0.25">
      <c r="A2909" s="54" t="s">
        <v>10317</v>
      </c>
      <c r="B2909" s="54" t="s">
        <v>11113</v>
      </c>
    </row>
    <row r="2910" spans="1:2" x14ac:dyDescent="0.25">
      <c r="A2910" s="53" t="s">
        <v>10318</v>
      </c>
      <c r="B2910" s="53" t="s">
        <v>13388</v>
      </c>
    </row>
    <row r="2911" spans="1:2" x14ac:dyDescent="0.25">
      <c r="A2911" s="54" t="s">
        <v>10319</v>
      </c>
      <c r="B2911" s="54" t="s">
        <v>13389</v>
      </c>
    </row>
    <row r="2912" spans="1:2" x14ac:dyDescent="0.25">
      <c r="A2912" s="53" t="s">
        <v>10320</v>
      </c>
      <c r="B2912" s="53" t="s">
        <v>13390</v>
      </c>
    </row>
    <row r="2913" spans="1:2" x14ac:dyDescent="0.25">
      <c r="A2913" s="54" t="s">
        <v>10321</v>
      </c>
      <c r="B2913" s="54" t="s">
        <v>12331</v>
      </c>
    </row>
    <row r="2914" spans="1:2" x14ac:dyDescent="0.25">
      <c r="A2914" s="53" t="s">
        <v>10322</v>
      </c>
      <c r="B2914" s="53" t="s">
        <v>13391</v>
      </c>
    </row>
    <row r="2915" spans="1:2" x14ac:dyDescent="0.25">
      <c r="A2915" s="54" t="s">
        <v>10323</v>
      </c>
      <c r="B2915" s="54" t="s">
        <v>13392</v>
      </c>
    </row>
    <row r="2916" spans="1:2" x14ac:dyDescent="0.25">
      <c r="A2916" s="53" t="s">
        <v>10324</v>
      </c>
      <c r="B2916" s="53" t="s">
        <v>13393</v>
      </c>
    </row>
    <row r="2917" spans="1:2" x14ac:dyDescent="0.25">
      <c r="A2917" s="54" t="s">
        <v>10325</v>
      </c>
      <c r="B2917" s="54" t="s">
        <v>13394</v>
      </c>
    </row>
    <row r="2918" spans="1:2" x14ac:dyDescent="0.25">
      <c r="A2918" s="53" t="s">
        <v>10326</v>
      </c>
      <c r="B2918" s="53" t="s">
        <v>10848</v>
      </c>
    </row>
    <row r="2919" spans="1:2" x14ac:dyDescent="0.25">
      <c r="A2919" s="54" t="s">
        <v>10327</v>
      </c>
      <c r="B2919" s="54" t="s">
        <v>13395</v>
      </c>
    </row>
    <row r="2920" spans="1:2" x14ac:dyDescent="0.25">
      <c r="A2920" s="53" t="s">
        <v>10328</v>
      </c>
      <c r="B2920" s="53" t="s">
        <v>10931</v>
      </c>
    </row>
    <row r="2921" spans="1:2" x14ac:dyDescent="0.25">
      <c r="A2921" s="54" t="s">
        <v>10329</v>
      </c>
      <c r="B2921" s="54" t="s">
        <v>12826</v>
      </c>
    </row>
    <row r="2922" spans="1:2" x14ac:dyDescent="0.25">
      <c r="A2922" s="53" t="s">
        <v>10330</v>
      </c>
      <c r="B2922" s="53" t="s">
        <v>13396</v>
      </c>
    </row>
    <row r="2923" spans="1:2" x14ac:dyDescent="0.25">
      <c r="A2923" s="54" t="s">
        <v>10331</v>
      </c>
      <c r="B2923" s="54" t="s">
        <v>13397</v>
      </c>
    </row>
    <row r="2924" spans="1:2" x14ac:dyDescent="0.25">
      <c r="A2924" s="53" t="s">
        <v>10332</v>
      </c>
      <c r="B2924" s="53" t="s">
        <v>13398</v>
      </c>
    </row>
    <row r="2925" spans="1:2" x14ac:dyDescent="0.25">
      <c r="A2925" s="54" t="s">
        <v>10333</v>
      </c>
      <c r="B2925" s="54" t="s">
        <v>13399</v>
      </c>
    </row>
    <row r="2926" spans="1:2" x14ac:dyDescent="0.25">
      <c r="A2926" s="53" t="s">
        <v>10334</v>
      </c>
      <c r="B2926" s="53" t="s">
        <v>13400</v>
      </c>
    </row>
    <row r="2927" spans="1:2" x14ac:dyDescent="0.25">
      <c r="A2927" s="54" t="s">
        <v>10335</v>
      </c>
      <c r="B2927" s="54" t="s">
        <v>13401</v>
      </c>
    </row>
    <row r="2928" spans="1:2" x14ac:dyDescent="0.25">
      <c r="A2928" s="53" t="s">
        <v>10336</v>
      </c>
      <c r="B2928" s="53" t="s">
        <v>13402</v>
      </c>
    </row>
    <row r="2929" spans="1:2" x14ac:dyDescent="0.25">
      <c r="A2929" s="54" t="s">
        <v>10337</v>
      </c>
      <c r="B2929" s="54" t="s">
        <v>13403</v>
      </c>
    </row>
    <row r="2930" spans="1:2" x14ac:dyDescent="0.25">
      <c r="A2930" s="53" t="s">
        <v>10338</v>
      </c>
      <c r="B2930" s="53" t="s">
        <v>13404</v>
      </c>
    </row>
    <row r="2931" spans="1:2" x14ac:dyDescent="0.25">
      <c r="A2931" s="54" t="s">
        <v>10339</v>
      </c>
      <c r="B2931" s="54" t="s">
        <v>13405</v>
      </c>
    </row>
    <row r="2932" spans="1:2" x14ac:dyDescent="0.25">
      <c r="A2932" s="53" t="s">
        <v>10340</v>
      </c>
      <c r="B2932" s="53" t="s">
        <v>12524</v>
      </c>
    </row>
    <row r="2933" spans="1:2" x14ac:dyDescent="0.25">
      <c r="A2933" s="54" t="s">
        <v>10341</v>
      </c>
      <c r="B2933" s="54" t="s">
        <v>10990</v>
      </c>
    </row>
    <row r="2934" spans="1:2" x14ac:dyDescent="0.25">
      <c r="A2934" s="53" t="s">
        <v>10342</v>
      </c>
      <c r="B2934" s="53" t="s">
        <v>13406</v>
      </c>
    </row>
    <row r="2935" spans="1:2" x14ac:dyDescent="0.25">
      <c r="A2935" s="54" t="s">
        <v>10343</v>
      </c>
      <c r="B2935" s="54" t="s">
        <v>13407</v>
      </c>
    </row>
    <row r="2936" spans="1:2" x14ac:dyDescent="0.25">
      <c r="A2936" s="53" t="s">
        <v>10344</v>
      </c>
      <c r="B2936" s="53" t="s">
        <v>13408</v>
      </c>
    </row>
    <row r="2937" spans="1:2" x14ac:dyDescent="0.25">
      <c r="A2937" s="54" t="s">
        <v>10345</v>
      </c>
      <c r="B2937" s="54" t="s">
        <v>12530</v>
      </c>
    </row>
    <row r="2938" spans="1:2" x14ac:dyDescent="0.25">
      <c r="A2938" s="53" t="s">
        <v>10346</v>
      </c>
      <c r="B2938" s="53" t="s">
        <v>12589</v>
      </c>
    </row>
    <row r="2939" spans="1:2" x14ac:dyDescent="0.25">
      <c r="A2939" s="54" t="s">
        <v>10347</v>
      </c>
      <c r="B2939" s="54" t="s">
        <v>13409</v>
      </c>
    </row>
    <row r="2940" spans="1:2" x14ac:dyDescent="0.25">
      <c r="A2940" s="53" t="s">
        <v>10348</v>
      </c>
      <c r="B2940" s="53" t="s">
        <v>13410</v>
      </c>
    </row>
    <row r="2941" spans="1:2" x14ac:dyDescent="0.25">
      <c r="A2941" s="54" t="s">
        <v>10349</v>
      </c>
      <c r="B2941" s="54" t="s">
        <v>13411</v>
      </c>
    </row>
    <row r="2942" spans="1:2" x14ac:dyDescent="0.25">
      <c r="A2942" s="53" t="s">
        <v>10350</v>
      </c>
      <c r="B2942" s="53" t="s">
        <v>13412</v>
      </c>
    </row>
    <row r="2943" spans="1:2" x14ac:dyDescent="0.25">
      <c r="A2943" s="54" t="s">
        <v>10351</v>
      </c>
      <c r="B2943" s="54" t="s">
        <v>13413</v>
      </c>
    </row>
    <row r="2944" spans="1:2" x14ac:dyDescent="0.25">
      <c r="A2944" s="53" t="s">
        <v>10352</v>
      </c>
      <c r="B2944" s="53" t="s">
        <v>13414</v>
      </c>
    </row>
    <row r="2945" spans="1:2" x14ac:dyDescent="0.25">
      <c r="A2945" s="54" t="s">
        <v>10353</v>
      </c>
      <c r="B2945" s="54" t="s">
        <v>13415</v>
      </c>
    </row>
    <row r="2946" spans="1:2" x14ac:dyDescent="0.25">
      <c r="A2946" s="53" t="s">
        <v>10354</v>
      </c>
      <c r="B2946" s="53" t="s">
        <v>13416</v>
      </c>
    </row>
    <row r="2947" spans="1:2" x14ac:dyDescent="0.25">
      <c r="A2947" s="54" t="s">
        <v>10355</v>
      </c>
      <c r="B2947" s="54" t="s">
        <v>13417</v>
      </c>
    </row>
    <row r="2948" spans="1:2" x14ac:dyDescent="0.25">
      <c r="A2948" s="53" t="s">
        <v>10356</v>
      </c>
      <c r="B2948" s="53" t="s">
        <v>11599</v>
      </c>
    </row>
    <row r="2949" spans="1:2" x14ac:dyDescent="0.25">
      <c r="A2949" s="54" t="s">
        <v>10357</v>
      </c>
      <c r="B2949" s="54" t="s">
        <v>13418</v>
      </c>
    </row>
    <row r="2950" spans="1:2" x14ac:dyDescent="0.25">
      <c r="A2950" s="53" t="s">
        <v>10358</v>
      </c>
      <c r="B2950" s="53" t="s">
        <v>13419</v>
      </c>
    </row>
    <row r="2951" spans="1:2" x14ac:dyDescent="0.25">
      <c r="A2951" s="54" t="s">
        <v>10359</v>
      </c>
      <c r="B2951" s="54" t="s">
        <v>13209</v>
      </c>
    </row>
    <row r="2952" spans="1:2" x14ac:dyDescent="0.25">
      <c r="A2952" s="53" t="s">
        <v>10360</v>
      </c>
      <c r="B2952" s="53" t="s">
        <v>13420</v>
      </c>
    </row>
    <row r="2953" spans="1:2" x14ac:dyDescent="0.25">
      <c r="A2953" s="54" t="s">
        <v>10361</v>
      </c>
      <c r="B2953" s="54" t="s">
        <v>13421</v>
      </c>
    </row>
    <row r="2954" spans="1:2" x14ac:dyDescent="0.25">
      <c r="A2954" s="53" t="s">
        <v>10362</v>
      </c>
      <c r="B2954" s="53" t="s">
        <v>13422</v>
      </c>
    </row>
    <row r="2955" spans="1:2" x14ac:dyDescent="0.25">
      <c r="A2955" s="54" t="s">
        <v>10363</v>
      </c>
      <c r="B2955" s="54" t="s">
        <v>13423</v>
      </c>
    </row>
    <row r="2956" spans="1:2" x14ac:dyDescent="0.25">
      <c r="A2956" s="53" t="s">
        <v>10364</v>
      </c>
      <c r="B2956" s="53" t="s">
        <v>13424</v>
      </c>
    </row>
    <row r="2957" spans="1:2" x14ac:dyDescent="0.25">
      <c r="A2957" s="54" t="s">
        <v>10365</v>
      </c>
      <c r="B2957" s="54" t="s">
        <v>13425</v>
      </c>
    </row>
    <row r="2958" spans="1:2" x14ac:dyDescent="0.25">
      <c r="A2958" s="53" t="s">
        <v>10366</v>
      </c>
      <c r="B2958" s="53" t="s">
        <v>13426</v>
      </c>
    </row>
    <row r="2959" spans="1:2" x14ac:dyDescent="0.25">
      <c r="A2959" s="54" t="s">
        <v>10367</v>
      </c>
      <c r="B2959" s="54" t="s">
        <v>13427</v>
      </c>
    </row>
    <row r="2960" spans="1:2" x14ac:dyDescent="0.25">
      <c r="A2960" s="53" t="s">
        <v>10368</v>
      </c>
      <c r="B2960" s="53" t="s">
        <v>13428</v>
      </c>
    </row>
    <row r="2961" spans="1:2" x14ac:dyDescent="0.25">
      <c r="A2961" s="54" t="s">
        <v>10369</v>
      </c>
      <c r="B2961" s="54" t="s">
        <v>13429</v>
      </c>
    </row>
    <row r="2962" spans="1:2" x14ac:dyDescent="0.25">
      <c r="A2962" s="53" t="s">
        <v>10370</v>
      </c>
      <c r="B2962" s="53" t="s">
        <v>13430</v>
      </c>
    </row>
    <row r="2963" spans="1:2" x14ac:dyDescent="0.25">
      <c r="A2963" s="54" t="s">
        <v>10371</v>
      </c>
      <c r="B2963" s="54" t="s">
        <v>13431</v>
      </c>
    </row>
    <row r="2964" spans="1:2" x14ac:dyDescent="0.25">
      <c r="A2964" s="53" t="s">
        <v>10372</v>
      </c>
      <c r="B2964" s="53" t="s">
        <v>13432</v>
      </c>
    </row>
    <row r="2965" spans="1:2" x14ac:dyDescent="0.25">
      <c r="A2965" s="54" t="s">
        <v>10373</v>
      </c>
      <c r="B2965" s="54" t="s">
        <v>13433</v>
      </c>
    </row>
    <row r="2966" spans="1:2" x14ac:dyDescent="0.25">
      <c r="A2966" s="53" t="s">
        <v>10374</v>
      </c>
      <c r="B2966" s="53" t="s">
        <v>13434</v>
      </c>
    </row>
    <row r="2967" spans="1:2" x14ac:dyDescent="0.25">
      <c r="A2967" s="54" t="s">
        <v>10375</v>
      </c>
      <c r="B2967" s="54" t="s">
        <v>13435</v>
      </c>
    </row>
    <row r="2968" spans="1:2" x14ac:dyDescent="0.25">
      <c r="A2968" s="53" t="s">
        <v>10376</v>
      </c>
      <c r="B2968" s="53" t="s">
        <v>13436</v>
      </c>
    </row>
    <row r="2969" spans="1:2" x14ac:dyDescent="0.25">
      <c r="A2969" s="54" t="s">
        <v>10377</v>
      </c>
      <c r="B2969" s="54" t="s">
        <v>13437</v>
      </c>
    </row>
    <row r="2970" spans="1:2" x14ac:dyDescent="0.25">
      <c r="A2970" s="53" t="s">
        <v>10378</v>
      </c>
      <c r="B2970" s="53" t="s">
        <v>13438</v>
      </c>
    </row>
    <row r="2971" spans="1:2" x14ac:dyDescent="0.25">
      <c r="A2971" s="54" t="s">
        <v>10379</v>
      </c>
      <c r="B2971" s="54" t="s">
        <v>13439</v>
      </c>
    </row>
    <row r="2972" spans="1:2" x14ac:dyDescent="0.25">
      <c r="A2972" s="53" t="s">
        <v>10380</v>
      </c>
      <c r="B2972" s="53" t="s">
        <v>13440</v>
      </c>
    </row>
    <row r="2973" spans="1:2" x14ac:dyDescent="0.25">
      <c r="A2973" s="54" t="s">
        <v>10381</v>
      </c>
      <c r="B2973" s="54" t="s">
        <v>13441</v>
      </c>
    </row>
    <row r="2974" spans="1:2" x14ac:dyDescent="0.25">
      <c r="A2974" s="53" t="s">
        <v>10382</v>
      </c>
      <c r="B2974" s="53" t="s">
        <v>13442</v>
      </c>
    </row>
    <row r="2975" spans="1:2" x14ac:dyDescent="0.25">
      <c r="A2975" s="54" t="s">
        <v>10383</v>
      </c>
      <c r="B2975" s="54" t="s">
        <v>13443</v>
      </c>
    </row>
    <row r="2976" spans="1:2" x14ac:dyDescent="0.25">
      <c r="A2976" s="53" t="s">
        <v>10384</v>
      </c>
      <c r="B2976" s="53" t="s">
        <v>13444</v>
      </c>
    </row>
    <row r="2977" spans="1:2" x14ac:dyDescent="0.25">
      <c r="A2977" s="54" t="s">
        <v>10385</v>
      </c>
      <c r="B2977" s="54" t="s">
        <v>13445</v>
      </c>
    </row>
    <row r="2978" spans="1:2" x14ac:dyDescent="0.25">
      <c r="A2978" s="53" t="s">
        <v>10386</v>
      </c>
      <c r="B2978" s="53" t="s">
        <v>13446</v>
      </c>
    </row>
    <row r="2979" spans="1:2" x14ac:dyDescent="0.25">
      <c r="A2979" s="54" t="s">
        <v>10387</v>
      </c>
      <c r="B2979" s="54" t="s">
        <v>13447</v>
      </c>
    </row>
    <row r="2980" spans="1:2" x14ac:dyDescent="0.25">
      <c r="A2980" s="53" t="s">
        <v>10388</v>
      </c>
      <c r="B2980" s="53" t="s">
        <v>13448</v>
      </c>
    </row>
    <row r="2981" spans="1:2" x14ac:dyDescent="0.25">
      <c r="A2981" s="54" t="s">
        <v>10389</v>
      </c>
      <c r="B2981" s="54" t="s">
        <v>13449</v>
      </c>
    </row>
    <row r="2982" spans="1:2" x14ac:dyDescent="0.25">
      <c r="A2982" s="53" t="s">
        <v>10390</v>
      </c>
      <c r="B2982" s="53" t="s">
        <v>13450</v>
      </c>
    </row>
    <row r="2983" spans="1:2" x14ac:dyDescent="0.25">
      <c r="A2983" s="54" t="s">
        <v>10391</v>
      </c>
      <c r="B2983" s="54" t="s">
        <v>13451</v>
      </c>
    </row>
    <row r="2984" spans="1:2" x14ac:dyDescent="0.25">
      <c r="A2984" s="53" t="s">
        <v>10392</v>
      </c>
      <c r="B2984" s="53" t="s">
        <v>13452</v>
      </c>
    </row>
    <row r="2985" spans="1:2" x14ac:dyDescent="0.25">
      <c r="A2985" s="54" t="s">
        <v>10393</v>
      </c>
      <c r="B2985" s="54" t="s">
        <v>13453</v>
      </c>
    </row>
    <row r="2986" spans="1:2" x14ac:dyDescent="0.25">
      <c r="A2986" s="53" t="s">
        <v>10394</v>
      </c>
      <c r="B2986" s="53" t="s">
        <v>13454</v>
      </c>
    </row>
    <row r="2987" spans="1:2" x14ac:dyDescent="0.25">
      <c r="A2987" s="54" t="s">
        <v>10395</v>
      </c>
      <c r="B2987" s="54" t="s">
        <v>13455</v>
      </c>
    </row>
    <row r="2988" spans="1:2" x14ac:dyDescent="0.25">
      <c r="A2988" s="53" t="s">
        <v>10396</v>
      </c>
      <c r="B2988" s="53" t="s">
        <v>13456</v>
      </c>
    </row>
    <row r="2989" spans="1:2" x14ac:dyDescent="0.25">
      <c r="A2989" s="54" t="s">
        <v>10397</v>
      </c>
      <c r="B2989" s="54" t="s">
        <v>13457</v>
      </c>
    </row>
    <row r="2990" spans="1:2" x14ac:dyDescent="0.25">
      <c r="A2990" s="53" t="s">
        <v>10398</v>
      </c>
      <c r="B2990" s="53" t="s">
        <v>13458</v>
      </c>
    </row>
    <row r="2991" spans="1:2" x14ac:dyDescent="0.25">
      <c r="A2991" s="54" t="s">
        <v>10399</v>
      </c>
      <c r="B2991" s="54" t="s">
        <v>12521</v>
      </c>
    </row>
    <row r="2992" spans="1:2" x14ac:dyDescent="0.25">
      <c r="A2992" s="53" t="s">
        <v>10400</v>
      </c>
      <c r="B2992" s="53" t="s">
        <v>13459</v>
      </c>
    </row>
    <row r="2993" spans="1:2" x14ac:dyDescent="0.25">
      <c r="A2993" s="54" t="s">
        <v>10401</v>
      </c>
      <c r="B2993" s="54" t="s">
        <v>13460</v>
      </c>
    </row>
    <row r="2994" spans="1:2" x14ac:dyDescent="0.25">
      <c r="A2994" s="53" t="s">
        <v>10402</v>
      </c>
      <c r="B2994" s="53" t="s">
        <v>13461</v>
      </c>
    </row>
    <row r="2995" spans="1:2" x14ac:dyDescent="0.25">
      <c r="A2995" s="54" t="s">
        <v>10403</v>
      </c>
      <c r="B2995" s="54" t="s">
        <v>13462</v>
      </c>
    </row>
    <row r="2996" spans="1:2" x14ac:dyDescent="0.25">
      <c r="A2996" s="53" t="s">
        <v>10404</v>
      </c>
      <c r="B2996" s="53" t="s">
        <v>13110</v>
      </c>
    </row>
    <row r="2997" spans="1:2" x14ac:dyDescent="0.25">
      <c r="A2997" s="54" t="s">
        <v>10405</v>
      </c>
      <c r="B2997" s="54" t="s">
        <v>13463</v>
      </c>
    </row>
    <row r="2998" spans="1:2" x14ac:dyDescent="0.25">
      <c r="A2998" s="53" t="s">
        <v>10406</v>
      </c>
      <c r="B2998" s="53" t="s">
        <v>13464</v>
      </c>
    </row>
    <row r="2999" spans="1:2" x14ac:dyDescent="0.25">
      <c r="A2999" s="54" t="s">
        <v>10407</v>
      </c>
      <c r="B2999" s="54" t="s">
        <v>13465</v>
      </c>
    </row>
    <row r="3000" spans="1:2" x14ac:dyDescent="0.25">
      <c r="A3000" s="53" t="s">
        <v>10408</v>
      </c>
      <c r="B3000" s="53" t="s">
        <v>10959</v>
      </c>
    </row>
    <row r="3001" spans="1:2" x14ac:dyDescent="0.25">
      <c r="A3001" s="54" t="s">
        <v>10409</v>
      </c>
      <c r="B3001" s="54" t="s">
        <v>13466</v>
      </c>
    </row>
    <row r="3002" spans="1:2" x14ac:dyDescent="0.25">
      <c r="A3002" s="53" t="s">
        <v>10410</v>
      </c>
      <c r="B3002" s="53" t="s">
        <v>13467</v>
      </c>
    </row>
    <row r="3003" spans="1:2" x14ac:dyDescent="0.25">
      <c r="A3003" s="54" t="s">
        <v>10411</v>
      </c>
      <c r="B3003" s="54" t="s">
        <v>13468</v>
      </c>
    </row>
    <row r="3004" spans="1:2" x14ac:dyDescent="0.25">
      <c r="A3004" s="53" t="s">
        <v>10412</v>
      </c>
      <c r="B3004" s="53" t="s">
        <v>13469</v>
      </c>
    </row>
    <row r="3005" spans="1:2" x14ac:dyDescent="0.25">
      <c r="A3005" s="54" t="s">
        <v>10413</v>
      </c>
      <c r="B3005" s="54" t="s">
        <v>13470</v>
      </c>
    </row>
    <row r="3006" spans="1:2" x14ac:dyDescent="0.25">
      <c r="A3006" s="53" t="s">
        <v>10414</v>
      </c>
      <c r="B3006" s="53" t="s">
        <v>13471</v>
      </c>
    </row>
    <row r="3007" spans="1:2" x14ac:dyDescent="0.25">
      <c r="A3007" s="54" t="s">
        <v>10415</v>
      </c>
      <c r="B3007" s="54" t="s">
        <v>13472</v>
      </c>
    </row>
    <row r="3008" spans="1:2" x14ac:dyDescent="0.25">
      <c r="A3008" s="53" t="s">
        <v>10416</v>
      </c>
      <c r="B3008" s="53" t="s">
        <v>13473</v>
      </c>
    </row>
    <row r="3009" spans="1:2" x14ac:dyDescent="0.25">
      <c r="A3009" s="54" t="s">
        <v>10417</v>
      </c>
      <c r="B3009" s="54" t="s">
        <v>13474</v>
      </c>
    </row>
    <row r="3010" spans="1:2" x14ac:dyDescent="0.25">
      <c r="A3010" s="53" t="s">
        <v>10418</v>
      </c>
      <c r="B3010" s="53" t="s">
        <v>13475</v>
      </c>
    </row>
    <row r="3011" spans="1:2" x14ac:dyDescent="0.25">
      <c r="A3011" s="54" t="s">
        <v>10419</v>
      </c>
      <c r="B3011" s="54" t="s">
        <v>13476</v>
      </c>
    </row>
    <row r="3012" spans="1:2" x14ac:dyDescent="0.25">
      <c r="A3012" s="53" t="s">
        <v>10420</v>
      </c>
      <c r="B3012" s="53" t="s">
        <v>13477</v>
      </c>
    </row>
    <row r="3013" spans="1:2" x14ac:dyDescent="0.25">
      <c r="A3013" s="54" t="s">
        <v>10421</v>
      </c>
      <c r="B3013" s="54" t="s">
        <v>11662</v>
      </c>
    </row>
    <row r="3014" spans="1:2" x14ac:dyDescent="0.25">
      <c r="A3014" s="53" t="s">
        <v>10422</v>
      </c>
      <c r="B3014" s="53" t="s">
        <v>13478</v>
      </c>
    </row>
    <row r="3015" spans="1:2" x14ac:dyDescent="0.25">
      <c r="A3015" s="54" t="s">
        <v>10423</v>
      </c>
      <c r="B3015" s="54" t="s">
        <v>13479</v>
      </c>
    </row>
    <row r="3016" spans="1:2" x14ac:dyDescent="0.25">
      <c r="A3016" s="53" t="s">
        <v>10424</v>
      </c>
      <c r="B3016" s="53" t="s">
        <v>13480</v>
      </c>
    </row>
    <row r="3017" spans="1:2" x14ac:dyDescent="0.25">
      <c r="A3017" s="54" t="s">
        <v>10425</v>
      </c>
      <c r="B3017" s="54" t="s">
        <v>13481</v>
      </c>
    </row>
    <row r="3018" spans="1:2" x14ac:dyDescent="0.25">
      <c r="A3018" s="53" t="s">
        <v>10426</v>
      </c>
      <c r="B3018" s="53" t="s">
        <v>13482</v>
      </c>
    </row>
    <row r="3019" spans="1:2" x14ac:dyDescent="0.25">
      <c r="A3019" s="54" t="s">
        <v>10427</v>
      </c>
      <c r="B3019" s="54" t="s">
        <v>13483</v>
      </c>
    </row>
    <row r="3020" spans="1:2" x14ac:dyDescent="0.25">
      <c r="A3020" s="53" t="s">
        <v>10428</v>
      </c>
      <c r="B3020" s="53" t="s">
        <v>13484</v>
      </c>
    </row>
    <row r="3021" spans="1:2" x14ac:dyDescent="0.25">
      <c r="A3021" s="54" t="s">
        <v>10429</v>
      </c>
      <c r="B3021" s="54" t="s">
        <v>13485</v>
      </c>
    </row>
    <row r="3022" spans="1:2" x14ac:dyDescent="0.25">
      <c r="A3022" s="53" t="s">
        <v>10430</v>
      </c>
      <c r="B3022" s="53" t="s">
        <v>13486</v>
      </c>
    </row>
    <row r="3023" spans="1:2" x14ac:dyDescent="0.25">
      <c r="A3023" s="54" t="s">
        <v>10431</v>
      </c>
      <c r="B3023" s="54" t="s">
        <v>13487</v>
      </c>
    </row>
    <row r="3024" spans="1:2" x14ac:dyDescent="0.25">
      <c r="A3024" s="53" t="s">
        <v>10432</v>
      </c>
      <c r="B3024" s="53" t="s">
        <v>13488</v>
      </c>
    </row>
    <row r="3025" spans="1:2" x14ac:dyDescent="0.25">
      <c r="A3025" s="54" t="s">
        <v>10433</v>
      </c>
      <c r="B3025" s="54" t="s">
        <v>13489</v>
      </c>
    </row>
    <row r="3026" spans="1:2" x14ac:dyDescent="0.25">
      <c r="A3026" s="53" t="s">
        <v>10434</v>
      </c>
      <c r="B3026" s="53" t="s">
        <v>11953</v>
      </c>
    </row>
    <row r="3027" spans="1:2" x14ac:dyDescent="0.25">
      <c r="A3027" s="54" t="s">
        <v>10435</v>
      </c>
      <c r="B3027" s="54" t="s">
        <v>13490</v>
      </c>
    </row>
    <row r="3028" spans="1:2" x14ac:dyDescent="0.25">
      <c r="A3028" s="53" t="s">
        <v>10436</v>
      </c>
      <c r="B3028" s="53" t="s">
        <v>13491</v>
      </c>
    </row>
    <row r="3029" spans="1:2" x14ac:dyDescent="0.25">
      <c r="A3029" s="54" t="s">
        <v>10437</v>
      </c>
      <c r="B3029" s="54" t="s">
        <v>11342</v>
      </c>
    </row>
    <row r="3030" spans="1:2" x14ac:dyDescent="0.25">
      <c r="A3030" s="53" t="s">
        <v>10438</v>
      </c>
      <c r="B3030" s="53" t="s">
        <v>13492</v>
      </c>
    </row>
    <row r="3031" spans="1:2" x14ac:dyDescent="0.25">
      <c r="A3031" s="54" t="s">
        <v>10439</v>
      </c>
      <c r="B3031" s="54" t="s">
        <v>13493</v>
      </c>
    </row>
    <row r="3032" spans="1:2" x14ac:dyDescent="0.25">
      <c r="A3032" s="53" t="s">
        <v>10440</v>
      </c>
      <c r="B3032" s="53" t="s">
        <v>13494</v>
      </c>
    </row>
    <row r="3033" spans="1:2" x14ac:dyDescent="0.25">
      <c r="A3033" s="54" t="s">
        <v>10441</v>
      </c>
      <c r="B3033" s="54" t="s">
        <v>13495</v>
      </c>
    </row>
    <row r="3034" spans="1:2" x14ac:dyDescent="0.25">
      <c r="A3034" s="53" t="s">
        <v>10442</v>
      </c>
      <c r="B3034" s="53" t="s">
        <v>13496</v>
      </c>
    </row>
    <row r="3035" spans="1:2" x14ac:dyDescent="0.25">
      <c r="A3035" s="54" t="s">
        <v>10443</v>
      </c>
      <c r="B3035" s="54" t="s">
        <v>13497</v>
      </c>
    </row>
    <row r="3036" spans="1:2" x14ac:dyDescent="0.25">
      <c r="A3036" s="53" t="s">
        <v>10444</v>
      </c>
      <c r="B3036" s="53" t="s">
        <v>13498</v>
      </c>
    </row>
    <row r="3037" spans="1:2" x14ac:dyDescent="0.25">
      <c r="A3037" s="54" t="s">
        <v>10445</v>
      </c>
      <c r="B3037" s="54" t="s">
        <v>13499</v>
      </c>
    </row>
    <row r="3038" spans="1:2" x14ac:dyDescent="0.25">
      <c r="A3038" s="53" t="s">
        <v>10446</v>
      </c>
      <c r="B3038" s="53" t="s">
        <v>13500</v>
      </c>
    </row>
    <row r="3039" spans="1:2" x14ac:dyDescent="0.25">
      <c r="A3039" s="54" t="s">
        <v>10447</v>
      </c>
      <c r="B3039" s="54" t="s">
        <v>13501</v>
      </c>
    </row>
    <row r="3040" spans="1:2" x14ac:dyDescent="0.25">
      <c r="A3040" s="53" t="s">
        <v>10448</v>
      </c>
      <c r="B3040" s="53" t="s">
        <v>13502</v>
      </c>
    </row>
    <row r="3041" spans="1:2" x14ac:dyDescent="0.25">
      <c r="A3041" s="54" t="s">
        <v>10449</v>
      </c>
      <c r="B3041" s="54" t="s">
        <v>12399</v>
      </c>
    </row>
    <row r="3042" spans="1:2" x14ac:dyDescent="0.25">
      <c r="A3042" s="53" t="s">
        <v>10450</v>
      </c>
      <c r="B3042" s="53" t="s">
        <v>13503</v>
      </c>
    </row>
    <row r="3043" spans="1:2" x14ac:dyDescent="0.25">
      <c r="A3043" s="54" t="s">
        <v>10451</v>
      </c>
      <c r="B3043" s="54" t="s">
        <v>13504</v>
      </c>
    </row>
    <row r="3044" spans="1:2" x14ac:dyDescent="0.25">
      <c r="A3044" s="53" t="s">
        <v>10452</v>
      </c>
      <c r="B3044" s="53" t="s">
        <v>13505</v>
      </c>
    </row>
    <row r="3045" spans="1:2" x14ac:dyDescent="0.25">
      <c r="A3045" s="54" t="s">
        <v>10453</v>
      </c>
      <c r="B3045" s="54" t="s">
        <v>13506</v>
      </c>
    </row>
    <row r="3046" spans="1:2" x14ac:dyDescent="0.25">
      <c r="A3046" s="53" t="s">
        <v>10454</v>
      </c>
      <c r="B3046" s="53" t="s">
        <v>13507</v>
      </c>
    </row>
    <row r="3047" spans="1:2" x14ac:dyDescent="0.25">
      <c r="A3047" s="54" t="s">
        <v>10455</v>
      </c>
      <c r="B3047" s="54" t="s">
        <v>13508</v>
      </c>
    </row>
    <row r="3048" spans="1:2" x14ac:dyDescent="0.25">
      <c r="A3048" s="53" t="s">
        <v>10456</v>
      </c>
      <c r="B3048" s="53" t="s">
        <v>13509</v>
      </c>
    </row>
    <row r="3049" spans="1:2" x14ac:dyDescent="0.25">
      <c r="A3049" s="54" t="s">
        <v>10457</v>
      </c>
      <c r="B3049" s="54" t="s">
        <v>13510</v>
      </c>
    </row>
    <row r="3050" spans="1:2" x14ac:dyDescent="0.25">
      <c r="A3050" s="53" t="s">
        <v>10458</v>
      </c>
      <c r="B3050" s="53" t="s">
        <v>13414</v>
      </c>
    </row>
    <row r="3051" spans="1:2" x14ac:dyDescent="0.25">
      <c r="A3051" s="54" t="s">
        <v>10459</v>
      </c>
      <c r="B3051" s="54" t="s">
        <v>13511</v>
      </c>
    </row>
    <row r="3052" spans="1:2" x14ac:dyDescent="0.25">
      <c r="A3052" s="53" t="s">
        <v>10460</v>
      </c>
      <c r="B3052" s="53" t="s">
        <v>13512</v>
      </c>
    </row>
    <row r="3053" spans="1:2" x14ac:dyDescent="0.25">
      <c r="A3053" s="54" t="s">
        <v>10461</v>
      </c>
      <c r="B3053" s="54" t="s">
        <v>13513</v>
      </c>
    </row>
    <row r="3054" spans="1:2" x14ac:dyDescent="0.25">
      <c r="A3054" s="53" t="s">
        <v>10462</v>
      </c>
      <c r="B3054" s="53" t="s">
        <v>13514</v>
      </c>
    </row>
    <row r="3055" spans="1:2" x14ac:dyDescent="0.25">
      <c r="A3055" s="54" t="s">
        <v>10463</v>
      </c>
      <c r="B3055" s="54" t="s">
        <v>13515</v>
      </c>
    </row>
    <row r="3056" spans="1:2" x14ac:dyDescent="0.25">
      <c r="A3056" s="53" t="s">
        <v>10464</v>
      </c>
      <c r="B3056" s="53" t="s">
        <v>13516</v>
      </c>
    </row>
    <row r="3057" spans="1:2" x14ac:dyDescent="0.25">
      <c r="A3057" s="54" t="s">
        <v>10465</v>
      </c>
      <c r="B3057" s="54" t="s">
        <v>13517</v>
      </c>
    </row>
    <row r="3058" spans="1:2" x14ac:dyDescent="0.25">
      <c r="A3058" s="53" t="s">
        <v>10466</v>
      </c>
      <c r="B3058" s="53" t="s">
        <v>13518</v>
      </c>
    </row>
    <row r="3059" spans="1:2" x14ac:dyDescent="0.25">
      <c r="A3059" s="54" t="s">
        <v>10467</v>
      </c>
      <c r="B3059" s="54" t="s">
        <v>13519</v>
      </c>
    </row>
    <row r="3060" spans="1:2" x14ac:dyDescent="0.25">
      <c r="A3060" s="53" t="s">
        <v>10468</v>
      </c>
      <c r="B3060" s="53" t="s">
        <v>13520</v>
      </c>
    </row>
    <row r="3061" spans="1:2" x14ac:dyDescent="0.25">
      <c r="A3061" s="54" t="s">
        <v>10469</v>
      </c>
      <c r="B3061" s="54" t="s">
        <v>13521</v>
      </c>
    </row>
    <row r="3062" spans="1:2" x14ac:dyDescent="0.25">
      <c r="A3062" s="53" t="s">
        <v>10470</v>
      </c>
      <c r="B3062" s="53" t="s">
        <v>13522</v>
      </c>
    </row>
    <row r="3063" spans="1:2" x14ac:dyDescent="0.25">
      <c r="A3063" s="54" t="s">
        <v>10471</v>
      </c>
      <c r="B3063" s="54" t="s">
        <v>11204</v>
      </c>
    </row>
    <row r="3064" spans="1:2" x14ac:dyDescent="0.25">
      <c r="A3064" s="53" t="s">
        <v>10472</v>
      </c>
      <c r="B3064" s="53" t="s">
        <v>13523</v>
      </c>
    </row>
    <row r="3065" spans="1:2" x14ac:dyDescent="0.25">
      <c r="A3065" s="54" t="s">
        <v>10473</v>
      </c>
      <c r="B3065" s="54" t="s">
        <v>13524</v>
      </c>
    </row>
    <row r="3066" spans="1:2" x14ac:dyDescent="0.25">
      <c r="A3066" s="53" t="s">
        <v>10474</v>
      </c>
      <c r="B3066" s="53" t="s">
        <v>13525</v>
      </c>
    </row>
    <row r="3067" spans="1:2" x14ac:dyDescent="0.25">
      <c r="A3067" s="54" t="s">
        <v>10475</v>
      </c>
      <c r="B3067" s="54" t="s">
        <v>11382</v>
      </c>
    </row>
    <row r="3068" spans="1:2" x14ac:dyDescent="0.25">
      <c r="A3068" s="53" t="s">
        <v>10476</v>
      </c>
      <c r="B3068" s="53" t="s">
        <v>13526</v>
      </c>
    </row>
    <row r="3069" spans="1:2" x14ac:dyDescent="0.25">
      <c r="A3069" s="54" t="s">
        <v>10477</v>
      </c>
      <c r="B3069" s="54" t="s">
        <v>13527</v>
      </c>
    </row>
    <row r="3070" spans="1:2" x14ac:dyDescent="0.25">
      <c r="A3070" s="53" t="s">
        <v>10478</v>
      </c>
      <c r="B3070" s="53" t="s">
        <v>13528</v>
      </c>
    </row>
    <row r="3071" spans="1:2" x14ac:dyDescent="0.25">
      <c r="A3071" s="54" t="s">
        <v>10479</v>
      </c>
      <c r="B3071" s="54" t="s">
        <v>13529</v>
      </c>
    </row>
    <row r="3072" spans="1:2" x14ac:dyDescent="0.25">
      <c r="A3072" s="53" t="s">
        <v>10480</v>
      </c>
      <c r="B3072" s="53" t="s">
        <v>13530</v>
      </c>
    </row>
    <row r="3073" spans="1:2" x14ac:dyDescent="0.25">
      <c r="A3073" s="54" t="s">
        <v>10481</v>
      </c>
      <c r="B3073" s="54" t="s">
        <v>13531</v>
      </c>
    </row>
    <row r="3074" spans="1:2" x14ac:dyDescent="0.25">
      <c r="A3074" s="53" t="s">
        <v>10482</v>
      </c>
      <c r="B3074" s="53" t="s">
        <v>13532</v>
      </c>
    </row>
    <row r="3075" spans="1:2" x14ac:dyDescent="0.25">
      <c r="A3075" s="54" t="s">
        <v>10483</v>
      </c>
      <c r="B3075" s="54" t="s">
        <v>13533</v>
      </c>
    </row>
    <row r="3076" spans="1:2" x14ac:dyDescent="0.25">
      <c r="A3076" s="53" t="s">
        <v>10484</v>
      </c>
      <c r="B3076" s="53" t="s">
        <v>13534</v>
      </c>
    </row>
    <row r="3077" spans="1:2" x14ac:dyDescent="0.25">
      <c r="A3077" s="54" t="s">
        <v>10485</v>
      </c>
      <c r="B3077" s="54" t="s">
        <v>13535</v>
      </c>
    </row>
    <row r="3078" spans="1:2" x14ac:dyDescent="0.25">
      <c r="A3078" s="53" t="s">
        <v>10486</v>
      </c>
      <c r="B3078" s="53" t="s">
        <v>13536</v>
      </c>
    </row>
    <row r="3079" spans="1:2" x14ac:dyDescent="0.25">
      <c r="A3079" s="54" t="s">
        <v>10487</v>
      </c>
      <c r="B3079" s="54" t="s">
        <v>13537</v>
      </c>
    </row>
    <row r="3080" spans="1:2" x14ac:dyDescent="0.25">
      <c r="A3080" s="53" t="s">
        <v>10488</v>
      </c>
      <c r="B3080" s="53" t="s">
        <v>13538</v>
      </c>
    </row>
    <row r="3081" spans="1:2" x14ac:dyDescent="0.25">
      <c r="A3081" s="54" t="s">
        <v>10489</v>
      </c>
      <c r="B3081" s="54" t="s">
        <v>13539</v>
      </c>
    </row>
    <row r="3082" spans="1:2" x14ac:dyDescent="0.25">
      <c r="A3082" s="53" t="s">
        <v>10490</v>
      </c>
      <c r="B3082" s="53" t="s">
        <v>13540</v>
      </c>
    </row>
    <row r="3083" spans="1:2" x14ac:dyDescent="0.25">
      <c r="A3083" s="54" t="s">
        <v>10491</v>
      </c>
      <c r="B3083" s="54" t="s">
        <v>13541</v>
      </c>
    </row>
    <row r="3084" spans="1:2" x14ac:dyDescent="0.25">
      <c r="A3084" s="53" t="s">
        <v>10492</v>
      </c>
      <c r="B3084" s="53" t="s">
        <v>13542</v>
      </c>
    </row>
    <row r="3085" spans="1:2" x14ac:dyDescent="0.25">
      <c r="A3085" s="54" t="s">
        <v>10493</v>
      </c>
      <c r="B3085" s="54" t="s">
        <v>13543</v>
      </c>
    </row>
    <row r="3086" spans="1:2" x14ac:dyDescent="0.25">
      <c r="A3086" s="53" t="s">
        <v>10494</v>
      </c>
      <c r="B3086" s="53" t="s">
        <v>13544</v>
      </c>
    </row>
    <row r="3087" spans="1:2" x14ac:dyDescent="0.25">
      <c r="A3087" s="54" t="s">
        <v>10495</v>
      </c>
      <c r="B3087" s="54" t="s">
        <v>13545</v>
      </c>
    </row>
    <row r="3088" spans="1:2" x14ac:dyDescent="0.25">
      <c r="A3088" s="53" t="s">
        <v>10496</v>
      </c>
      <c r="B3088" s="53" t="s">
        <v>13546</v>
      </c>
    </row>
    <row r="3089" spans="1:2" x14ac:dyDescent="0.25">
      <c r="A3089" s="54" t="s">
        <v>10497</v>
      </c>
      <c r="B3089" s="54" t="s">
        <v>13547</v>
      </c>
    </row>
    <row r="3090" spans="1:2" x14ac:dyDescent="0.25">
      <c r="A3090" s="53" t="s">
        <v>10498</v>
      </c>
      <c r="B3090" s="53" t="s">
        <v>13548</v>
      </c>
    </row>
    <row r="3091" spans="1:2" x14ac:dyDescent="0.25">
      <c r="A3091" s="54" t="s">
        <v>10499</v>
      </c>
      <c r="B3091" s="54" t="s">
        <v>13549</v>
      </c>
    </row>
    <row r="3092" spans="1:2" x14ac:dyDescent="0.25">
      <c r="A3092" s="53" t="s">
        <v>10500</v>
      </c>
      <c r="B3092" s="53" t="s">
        <v>13550</v>
      </c>
    </row>
    <row r="3093" spans="1:2" x14ac:dyDescent="0.25">
      <c r="A3093" s="54" t="s">
        <v>10501</v>
      </c>
      <c r="B3093" s="54" t="s">
        <v>13551</v>
      </c>
    </row>
    <row r="3094" spans="1:2" x14ac:dyDescent="0.25">
      <c r="A3094" s="53" t="s">
        <v>10502</v>
      </c>
      <c r="B3094" s="53" t="s">
        <v>13552</v>
      </c>
    </row>
    <row r="3095" spans="1:2" x14ac:dyDescent="0.25">
      <c r="A3095" s="54" t="s">
        <v>10503</v>
      </c>
      <c r="B3095" s="54" t="s">
        <v>13553</v>
      </c>
    </row>
    <row r="3096" spans="1:2" x14ac:dyDescent="0.25">
      <c r="A3096" s="53" t="s">
        <v>10504</v>
      </c>
      <c r="B3096" s="53" t="s">
        <v>13554</v>
      </c>
    </row>
    <row r="3097" spans="1:2" x14ac:dyDescent="0.25">
      <c r="A3097" s="54" t="s">
        <v>10505</v>
      </c>
      <c r="B3097" s="54" t="s">
        <v>11270</v>
      </c>
    </row>
    <row r="3098" spans="1:2" x14ac:dyDescent="0.25">
      <c r="A3098" s="53" t="s">
        <v>10506</v>
      </c>
      <c r="B3098" s="53" t="s">
        <v>13555</v>
      </c>
    </row>
    <row r="3099" spans="1:2" x14ac:dyDescent="0.25">
      <c r="A3099" s="54" t="s">
        <v>10507</v>
      </c>
      <c r="B3099" s="54" t="s">
        <v>13556</v>
      </c>
    </row>
    <row r="3100" spans="1:2" x14ac:dyDescent="0.25">
      <c r="A3100" s="53" t="s">
        <v>10508</v>
      </c>
      <c r="B3100" s="53" t="s">
        <v>13557</v>
      </c>
    </row>
    <row r="3101" spans="1:2" x14ac:dyDescent="0.25">
      <c r="A3101" s="54" t="s">
        <v>10509</v>
      </c>
      <c r="B3101" s="54" t="s">
        <v>13558</v>
      </c>
    </row>
    <row r="3102" spans="1:2" x14ac:dyDescent="0.25">
      <c r="A3102" s="53" t="s">
        <v>10510</v>
      </c>
      <c r="B3102" s="53" t="s">
        <v>13559</v>
      </c>
    </row>
    <row r="3103" spans="1:2" x14ac:dyDescent="0.25">
      <c r="A3103" s="54" t="s">
        <v>10511</v>
      </c>
      <c r="B3103" s="54" t="s">
        <v>13560</v>
      </c>
    </row>
    <row r="3104" spans="1:2" x14ac:dyDescent="0.25">
      <c r="A3104" s="53" t="s">
        <v>10512</v>
      </c>
      <c r="B3104" s="53" t="s">
        <v>13561</v>
      </c>
    </row>
    <row r="3105" spans="1:2" x14ac:dyDescent="0.25">
      <c r="A3105" s="54" t="s">
        <v>10513</v>
      </c>
      <c r="B3105" s="54" t="s">
        <v>13562</v>
      </c>
    </row>
    <row r="3106" spans="1:2" x14ac:dyDescent="0.25">
      <c r="A3106" s="53" t="s">
        <v>10514</v>
      </c>
      <c r="B3106" s="53" t="s">
        <v>13563</v>
      </c>
    </row>
    <row r="3107" spans="1:2" x14ac:dyDescent="0.25">
      <c r="A3107" s="54" t="s">
        <v>10515</v>
      </c>
      <c r="B3107" s="54" t="s">
        <v>13564</v>
      </c>
    </row>
    <row r="3108" spans="1:2" x14ac:dyDescent="0.25">
      <c r="A3108" s="53" t="s">
        <v>10516</v>
      </c>
      <c r="B3108" s="53" t="s">
        <v>13565</v>
      </c>
    </row>
    <row r="3109" spans="1:2" x14ac:dyDescent="0.25">
      <c r="A3109" s="54" t="s">
        <v>10517</v>
      </c>
      <c r="B3109" s="54" t="s">
        <v>13566</v>
      </c>
    </row>
    <row r="3110" spans="1:2" x14ac:dyDescent="0.25">
      <c r="A3110" s="53" t="s">
        <v>10518</v>
      </c>
      <c r="B3110" s="53" t="s">
        <v>13567</v>
      </c>
    </row>
    <row r="3111" spans="1:2" x14ac:dyDescent="0.25">
      <c r="A3111" s="54" t="s">
        <v>10519</v>
      </c>
      <c r="B3111" s="54" t="s">
        <v>13568</v>
      </c>
    </row>
    <row r="3112" spans="1:2" x14ac:dyDescent="0.25">
      <c r="A3112" s="53" t="s">
        <v>10520</v>
      </c>
      <c r="B3112" s="53" t="s">
        <v>11884</v>
      </c>
    </row>
    <row r="3113" spans="1:2" x14ac:dyDescent="0.25">
      <c r="A3113" s="54" t="s">
        <v>10521</v>
      </c>
      <c r="B3113" s="54" t="s">
        <v>13569</v>
      </c>
    </row>
    <row r="3114" spans="1:2" x14ac:dyDescent="0.25">
      <c r="A3114" s="53" t="s">
        <v>10522</v>
      </c>
      <c r="B3114" s="53" t="s">
        <v>13570</v>
      </c>
    </row>
    <row r="3115" spans="1:2" x14ac:dyDescent="0.25">
      <c r="A3115" s="54" t="s">
        <v>10523</v>
      </c>
      <c r="B3115" s="54" t="s">
        <v>13571</v>
      </c>
    </row>
    <row r="3116" spans="1:2" x14ac:dyDescent="0.25">
      <c r="A3116" s="53" t="s">
        <v>10524</v>
      </c>
      <c r="B3116" s="53" t="s">
        <v>13572</v>
      </c>
    </row>
    <row r="3117" spans="1:2" x14ac:dyDescent="0.25">
      <c r="A3117" s="54" t="s">
        <v>10525</v>
      </c>
      <c r="B3117" s="54" t="s">
        <v>13573</v>
      </c>
    </row>
    <row r="3118" spans="1:2" x14ac:dyDescent="0.25">
      <c r="A3118" s="53" t="s">
        <v>10526</v>
      </c>
      <c r="B3118" s="53" t="s">
        <v>13574</v>
      </c>
    </row>
    <row r="3119" spans="1:2" x14ac:dyDescent="0.25">
      <c r="A3119" s="54" t="s">
        <v>10527</v>
      </c>
      <c r="B3119" s="54" t="s">
        <v>13575</v>
      </c>
    </row>
    <row r="3120" spans="1:2" x14ac:dyDescent="0.25">
      <c r="A3120" s="53" t="s">
        <v>10528</v>
      </c>
      <c r="B3120" s="53" t="s">
        <v>13576</v>
      </c>
    </row>
    <row r="3121" spans="1:2" x14ac:dyDescent="0.25">
      <c r="A3121" s="54" t="s">
        <v>10529</v>
      </c>
      <c r="B3121" s="54" t="s">
        <v>13577</v>
      </c>
    </row>
    <row r="3122" spans="1:2" x14ac:dyDescent="0.25">
      <c r="A3122" s="53" t="s">
        <v>10530</v>
      </c>
      <c r="B3122" s="53" t="s">
        <v>13578</v>
      </c>
    </row>
    <row r="3123" spans="1:2" x14ac:dyDescent="0.25">
      <c r="A3123" s="54" t="s">
        <v>10531</v>
      </c>
      <c r="B3123" s="54" t="s">
        <v>10945</v>
      </c>
    </row>
    <row r="3124" spans="1:2" x14ac:dyDescent="0.25">
      <c r="A3124" s="53" t="s">
        <v>10532</v>
      </c>
      <c r="B3124" s="53" t="s">
        <v>13579</v>
      </c>
    </row>
    <row r="3125" spans="1:2" x14ac:dyDescent="0.25">
      <c r="A3125" s="54" t="s">
        <v>10533</v>
      </c>
      <c r="B3125" s="54" t="s">
        <v>13580</v>
      </c>
    </row>
    <row r="3126" spans="1:2" x14ac:dyDescent="0.25">
      <c r="A3126" s="53" t="s">
        <v>10534</v>
      </c>
      <c r="B3126" s="53" t="s">
        <v>13581</v>
      </c>
    </row>
    <row r="3127" spans="1:2" x14ac:dyDescent="0.25">
      <c r="A3127" s="54" t="s">
        <v>10535</v>
      </c>
      <c r="B3127" s="54" t="s">
        <v>13582</v>
      </c>
    </row>
    <row r="3128" spans="1:2" x14ac:dyDescent="0.25">
      <c r="A3128" s="53" t="s">
        <v>10536</v>
      </c>
      <c r="B3128" s="53" t="s">
        <v>13583</v>
      </c>
    </row>
    <row r="3129" spans="1:2" x14ac:dyDescent="0.25">
      <c r="A3129" s="54" t="s">
        <v>10537</v>
      </c>
      <c r="B3129" s="54" t="s">
        <v>13584</v>
      </c>
    </row>
    <row r="3130" spans="1:2" x14ac:dyDescent="0.25">
      <c r="A3130" s="53" t="s">
        <v>10538</v>
      </c>
      <c r="B3130" s="53" t="s">
        <v>13585</v>
      </c>
    </row>
    <row r="3131" spans="1:2" x14ac:dyDescent="0.25">
      <c r="A3131" s="54" t="s">
        <v>10539</v>
      </c>
      <c r="B3131" s="54" t="s">
        <v>13586</v>
      </c>
    </row>
    <row r="3132" spans="1:2" x14ac:dyDescent="0.25">
      <c r="A3132" s="53" t="s">
        <v>10540</v>
      </c>
      <c r="B3132" s="53" t="s">
        <v>13587</v>
      </c>
    </row>
    <row r="3133" spans="1:2" x14ac:dyDescent="0.25">
      <c r="A3133" s="54" t="s">
        <v>10541</v>
      </c>
      <c r="B3133" s="54" t="s">
        <v>13588</v>
      </c>
    </row>
    <row r="3134" spans="1:2" x14ac:dyDescent="0.25">
      <c r="A3134" s="53" t="s">
        <v>10542</v>
      </c>
      <c r="B3134" s="53" t="s">
        <v>12613</v>
      </c>
    </row>
    <row r="3135" spans="1:2" x14ac:dyDescent="0.25">
      <c r="A3135" s="54" t="s">
        <v>10543</v>
      </c>
      <c r="B3135" s="54" t="s">
        <v>13589</v>
      </c>
    </row>
    <row r="3136" spans="1:2" x14ac:dyDescent="0.25">
      <c r="A3136" s="53" t="s">
        <v>10544</v>
      </c>
      <c r="B3136" s="53" t="s">
        <v>13590</v>
      </c>
    </row>
    <row r="3137" spans="1:2" x14ac:dyDescent="0.25">
      <c r="A3137" s="54" t="s">
        <v>10545</v>
      </c>
      <c r="B3137" s="54" t="s">
        <v>13591</v>
      </c>
    </row>
    <row r="3138" spans="1:2" x14ac:dyDescent="0.25">
      <c r="A3138" s="53" t="s">
        <v>10546</v>
      </c>
      <c r="B3138" s="53" t="s">
        <v>13592</v>
      </c>
    </row>
    <row r="3139" spans="1:2" x14ac:dyDescent="0.25">
      <c r="A3139" s="54" t="s">
        <v>10547</v>
      </c>
      <c r="B3139" s="54" t="s">
        <v>13593</v>
      </c>
    </row>
    <row r="3140" spans="1:2" x14ac:dyDescent="0.25">
      <c r="A3140" s="53" t="s">
        <v>10548</v>
      </c>
      <c r="B3140" s="53" t="s">
        <v>13594</v>
      </c>
    </row>
    <row r="3141" spans="1:2" x14ac:dyDescent="0.25">
      <c r="A3141" s="54" t="s">
        <v>10549</v>
      </c>
      <c r="B3141" s="54" t="s">
        <v>13595</v>
      </c>
    </row>
    <row r="3142" spans="1:2" x14ac:dyDescent="0.25">
      <c r="A3142" s="53" t="s">
        <v>10550</v>
      </c>
      <c r="B3142" s="53" t="s">
        <v>13596</v>
      </c>
    </row>
    <row r="3143" spans="1:2" x14ac:dyDescent="0.25">
      <c r="A3143" s="54" t="s">
        <v>10551</v>
      </c>
      <c r="B3143" s="54" t="s">
        <v>13597</v>
      </c>
    </row>
    <row r="3144" spans="1:2" x14ac:dyDescent="0.25">
      <c r="A3144" s="53" t="s">
        <v>10552</v>
      </c>
      <c r="B3144" s="53" t="s">
        <v>13598</v>
      </c>
    </row>
    <row r="3145" spans="1:2" x14ac:dyDescent="0.25">
      <c r="A3145" s="54" t="s">
        <v>10553</v>
      </c>
      <c r="B3145" s="54" t="s">
        <v>13599</v>
      </c>
    </row>
    <row r="3146" spans="1:2" x14ac:dyDescent="0.25">
      <c r="A3146" s="53" t="s">
        <v>10554</v>
      </c>
      <c r="B3146" s="53" t="s">
        <v>13600</v>
      </c>
    </row>
    <row r="3147" spans="1:2" x14ac:dyDescent="0.25">
      <c r="A3147" s="54" t="s">
        <v>10555</v>
      </c>
      <c r="B3147" s="54" t="s">
        <v>13453</v>
      </c>
    </row>
    <row r="3148" spans="1:2" x14ac:dyDescent="0.25">
      <c r="A3148" s="53" t="s">
        <v>10556</v>
      </c>
      <c r="B3148" s="53" t="s">
        <v>13601</v>
      </c>
    </row>
    <row r="3149" spans="1:2" x14ac:dyDescent="0.25">
      <c r="A3149" s="54" t="s">
        <v>10557</v>
      </c>
      <c r="B3149" s="54" t="s">
        <v>13602</v>
      </c>
    </row>
    <row r="3150" spans="1:2" x14ac:dyDescent="0.25">
      <c r="A3150" s="53" t="s">
        <v>10558</v>
      </c>
      <c r="B3150" s="53" t="s">
        <v>13603</v>
      </c>
    </row>
    <row r="3151" spans="1:2" x14ac:dyDescent="0.25">
      <c r="A3151" s="54" t="s">
        <v>10559</v>
      </c>
      <c r="B3151" s="54" t="s">
        <v>13604</v>
      </c>
    </row>
    <row r="3152" spans="1:2" x14ac:dyDescent="0.25">
      <c r="A3152" s="53" t="s">
        <v>10560</v>
      </c>
      <c r="B3152" s="53" t="s">
        <v>13605</v>
      </c>
    </row>
    <row r="3153" spans="1:2" x14ac:dyDescent="0.25">
      <c r="A3153" s="54" t="s">
        <v>10561</v>
      </c>
      <c r="B3153" s="54" t="s">
        <v>13606</v>
      </c>
    </row>
    <row r="3154" spans="1:2" x14ac:dyDescent="0.25">
      <c r="A3154" s="53" t="s">
        <v>10562</v>
      </c>
      <c r="B3154" s="53" t="s">
        <v>13607</v>
      </c>
    </row>
    <row r="3155" spans="1:2" x14ac:dyDescent="0.25">
      <c r="A3155" s="54" t="s">
        <v>10563</v>
      </c>
      <c r="B3155" s="54" t="s">
        <v>13608</v>
      </c>
    </row>
    <row r="3156" spans="1:2" x14ac:dyDescent="0.25">
      <c r="A3156" s="53" t="s">
        <v>10564</v>
      </c>
      <c r="B3156" s="53" t="s">
        <v>13609</v>
      </c>
    </row>
    <row r="3157" spans="1:2" x14ac:dyDescent="0.25">
      <c r="A3157" s="54" t="s">
        <v>10565</v>
      </c>
      <c r="B3157" s="54" t="s">
        <v>13610</v>
      </c>
    </row>
    <row r="3158" spans="1:2" x14ac:dyDescent="0.25">
      <c r="A3158" s="53" t="s">
        <v>10566</v>
      </c>
      <c r="B3158" s="53" t="s">
        <v>13611</v>
      </c>
    </row>
    <row r="3159" spans="1:2" x14ac:dyDescent="0.25">
      <c r="A3159" s="54" t="s">
        <v>10567</v>
      </c>
      <c r="B3159" s="54" t="s">
        <v>13612</v>
      </c>
    </row>
    <row r="3160" spans="1:2" x14ac:dyDescent="0.25">
      <c r="A3160" s="53" t="s">
        <v>10568</v>
      </c>
      <c r="B3160" s="53" t="s">
        <v>13613</v>
      </c>
    </row>
    <row r="3161" spans="1:2" x14ac:dyDescent="0.25">
      <c r="A3161" s="54" t="s">
        <v>10569</v>
      </c>
      <c r="B3161" s="54" t="s">
        <v>13614</v>
      </c>
    </row>
    <row r="3162" spans="1:2" x14ac:dyDescent="0.25">
      <c r="A3162" s="53" t="s">
        <v>10570</v>
      </c>
      <c r="B3162" s="53" t="s">
        <v>13615</v>
      </c>
    </row>
    <row r="3163" spans="1:2" x14ac:dyDescent="0.25">
      <c r="A3163" s="54" t="s">
        <v>10571</v>
      </c>
      <c r="B3163" s="54" t="s">
        <v>13616</v>
      </c>
    </row>
    <row r="3164" spans="1:2" x14ac:dyDescent="0.25">
      <c r="A3164" s="53" t="s">
        <v>10572</v>
      </c>
      <c r="B3164" s="53" t="s">
        <v>13617</v>
      </c>
    </row>
    <row r="3165" spans="1:2" x14ac:dyDescent="0.25">
      <c r="A3165" s="54" t="s">
        <v>10573</v>
      </c>
      <c r="B3165" s="54" t="s">
        <v>13618</v>
      </c>
    </row>
    <row r="3166" spans="1:2" x14ac:dyDescent="0.25">
      <c r="A3166" s="53" t="s">
        <v>10574</v>
      </c>
      <c r="B3166" s="53" t="s">
        <v>13619</v>
      </c>
    </row>
    <row r="3167" spans="1:2" x14ac:dyDescent="0.25">
      <c r="A3167" s="54" t="s">
        <v>10575</v>
      </c>
      <c r="B3167" s="54" t="s">
        <v>13620</v>
      </c>
    </row>
    <row r="3168" spans="1:2" x14ac:dyDescent="0.25">
      <c r="A3168" s="53" t="s">
        <v>10576</v>
      </c>
      <c r="B3168" s="53" t="s">
        <v>13621</v>
      </c>
    </row>
    <row r="3169" spans="1:2" x14ac:dyDescent="0.25">
      <c r="A3169" s="54" t="s">
        <v>10577</v>
      </c>
      <c r="B3169" s="54" t="s">
        <v>13622</v>
      </c>
    </row>
    <row r="3170" spans="1:2" x14ac:dyDescent="0.25">
      <c r="A3170" s="53" t="s">
        <v>10578</v>
      </c>
      <c r="B3170" s="53" t="s">
        <v>13623</v>
      </c>
    </row>
    <row r="3171" spans="1:2" x14ac:dyDescent="0.25">
      <c r="A3171" s="54" t="s">
        <v>10579</v>
      </c>
      <c r="B3171" s="54" t="s">
        <v>13324</v>
      </c>
    </row>
    <row r="3172" spans="1:2" x14ac:dyDescent="0.25">
      <c r="A3172" s="53" t="s">
        <v>10580</v>
      </c>
      <c r="B3172" s="53" t="s">
        <v>13624</v>
      </c>
    </row>
    <row r="3173" spans="1:2" x14ac:dyDescent="0.25">
      <c r="A3173" s="54" t="s">
        <v>10581</v>
      </c>
      <c r="B3173" s="54" t="s">
        <v>13625</v>
      </c>
    </row>
    <row r="3174" spans="1:2" x14ac:dyDescent="0.25">
      <c r="A3174" s="53" t="s">
        <v>10582</v>
      </c>
      <c r="B3174" s="53" t="s">
        <v>12878</v>
      </c>
    </row>
    <row r="3175" spans="1:2" x14ac:dyDescent="0.25">
      <c r="A3175" s="54" t="s">
        <v>10583</v>
      </c>
      <c r="B3175" s="54" t="s">
        <v>13626</v>
      </c>
    </row>
    <row r="3176" spans="1:2" x14ac:dyDescent="0.25">
      <c r="A3176" s="53" t="s">
        <v>10584</v>
      </c>
      <c r="B3176" s="53" t="s">
        <v>13627</v>
      </c>
    </row>
    <row r="3177" spans="1:2" x14ac:dyDescent="0.25">
      <c r="A3177" s="54" t="s">
        <v>10585</v>
      </c>
      <c r="B3177" s="54" t="s">
        <v>13628</v>
      </c>
    </row>
    <row r="3178" spans="1:2" x14ac:dyDescent="0.25">
      <c r="A3178" s="53" t="s">
        <v>10586</v>
      </c>
      <c r="B3178" s="53" t="s">
        <v>13629</v>
      </c>
    </row>
    <row r="3179" spans="1:2" x14ac:dyDescent="0.25">
      <c r="A3179" s="54" t="s">
        <v>10587</v>
      </c>
      <c r="B3179" s="54" t="s">
        <v>13630</v>
      </c>
    </row>
    <row r="3180" spans="1:2" x14ac:dyDescent="0.25">
      <c r="A3180" s="53" t="s">
        <v>10588</v>
      </c>
      <c r="B3180" s="53" t="s">
        <v>13631</v>
      </c>
    </row>
    <row r="3181" spans="1:2" x14ac:dyDescent="0.25">
      <c r="A3181" s="54" t="s">
        <v>10589</v>
      </c>
      <c r="B3181" s="54" t="s">
        <v>13632</v>
      </c>
    </row>
    <row r="3182" spans="1:2" x14ac:dyDescent="0.25">
      <c r="A3182" s="53" t="s">
        <v>10590</v>
      </c>
      <c r="B3182" s="53" t="s">
        <v>13633</v>
      </c>
    </row>
    <row r="3183" spans="1:2" x14ac:dyDescent="0.25">
      <c r="A3183" s="54" t="s">
        <v>10591</v>
      </c>
      <c r="B3183" s="54" t="s">
        <v>13634</v>
      </c>
    </row>
    <row r="3184" spans="1:2" x14ac:dyDescent="0.25">
      <c r="A3184" s="53" t="s">
        <v>10592</v>
      </c>
      <c r="B3184" s="53" t="s">
        <v>13635</v>
      </c>
    </row>
    <row r="3185" spans="1:2" x14ac:dyDescent="0.25">
      <c r="A3185" s="54" t="s">
        <v>10593</v>
      </c>
      <c r="B3185" s="54" t="s">
        <v>13636</v>
      </c>
    </row>
    <row r="3186" spans="1:2" x14ac:dyDescent="0.25">
      <c r="A3186" s="53" t="s">
        <v>10594</v>
      </c>
      <c r="B3186" s="53" t="s">
        <v>13637</v>
      </c>
    </row>
    <row r="3187" spans="1:2" x14ac:dyDescent="0.25">
      <c r="A3187" s="54" t="s">
        <v>10595</v>
      </c>
      <c r="B3187" s="54" t="s">
        <v>13638</v>
      </c>
    </row>
    <row r="3188" spans="1:2" x14ac:dyDescent="0.25">
      <c r="A3188" s="53" t="s">
        <v>10596</v>
      </c>
      <c r="B3188" s="53" t="s">
        <v>13639</v>
      </c>
    </row>
    <row r="3189" spans="1:2" x14ac:dyDescent="0.25">
      <c r="A3189" s="54" t="s">
        <v>10597</v>
      </c>
      <c r="B3189" s="54" t="s">
        <v>13640</v>
      </c>
    </row>
    <row r="3190" spans="1:2" x14ac:dyDescent="0.25">
      <c r="A3190" s="53" t="s">
        <v>10598</v>
      </c>
      <c r="B3190" s="53" t="s">
        <v>13641</v>
      </c>
    </row>
    <row r="3191" spans="1:2" x14ac:dyDescent="0.25">
      <c r="A3191" s="54" t="s">
        <v>10599</v>
      </c>
      <c r="B3191" s="54" t="s">
        <v>780</v>
      </c>
    </row>
    <row r="3192" spans="1:2" x14ac:dyDescent="0.25">
      <c r="A3192" s="53" t="s">
        <v>10600</v>
      </c>
      <c r="B3192" s="53" t="s">
        <v>13642</v>
      </c>
    </row>
    <row r="3193" spans="1:2" x14ac:dyDescent="0.25">
      <c r="A3193" s="54" t="s">
        <v>10601</v>
      </c>
      <c r="B3193" s="54" t="s">
        <v>13643</v>
      </c>
    </row>
    <row r="3194" spans="1:2" x14ac:dyDescent="0.25">
      <c r="A3194" s="53" t="s">
        <v>10602</v>
      </c>
      <c r="B3194" s="53" t="s">
        <v>13644</v>
      </c>
    </row>
    <row r="3195" spans="1:2" x14ac:dyDescent="0.25">
      <c r="A3195" s="54" t="s">
        <v>10603</v>
      </c>
      <c r="B3195" s="54" t="s">
        <v>13384</v>
      </c>
    </row>
    <row r="3196" spans="1:2" x14ac:dyDescent="0.25">
      <c r="A3196" s="53" t="s">
        <v>10604</v>
      </c>
      <c r="B3196" s="53" t="s">
        <v>13645</v>
      </c>
    </row>
    <row r="3197" spans="1:2" x14ac:dyDescent="0.25">
      <c r="A3197" s="54" t="s">
        <v>10605</v>
      </c>
      <c r="B3197" s="54" t="s">
        <v>11322</v>
      </c>
    </row>
    <row r="3198" spans="1:2" x14ac:dyDescent="0.25">
      <c r="A3198" s="53" t="s">
        <v>10606</v>
      </c>
      <c r="B3198" s="53" t="s">
        <v>12305</v>
      </c>
    </row>
    <row r="3199" spans="1:2" x14ac:dyDescent="0.25">
      <c r="A3199" s="54" t="s">
        <v>10607</v>
      </c>
      <c r="B3199" s="54" t="s">
        <v>10800</v>
      </c>
    </row>
    <row r="3200" spans="1:2" x14ac:dyDescent="0.25">
      <c r="A3200" s="53" t="s">
        <v>10608</v>
      </c>
      <c r="B3200" s="53" t="s">
        <v>13646</v>
      </c>
    </row>
    <row r="3201" spans="1:2" x14ac:dyDescent="0.25">
      <c r="A3201" s="54" t="s">
        <v>10609</v>
      </c>
      <c r="B3201" s="54" t="s">
        <v>11662</v>
      </c>
    </row>
    <row r="3202" spans="1:2" x14ac:dyDescent="0.25">
      <c r="A3202" s="53" t="s">
        <v>10610</v>
      </c>
      <c r="B3202" s="53" t="s">
        <v>13647</v>
      </c>
    </row>
    <row r="3203" spans="1:2" x14ac:dyDescent="0.25">
      <c r="A3203" s="54" t="s">
        <v>10611</v>
      </c>
      <c r="B3203" s="54" t="s">
        <v>13648</v>
      </c>
    </row>
    <row r="3204" spans="1:2" x14ac:dyDescent="0.25">
      <c r="A3204" s="53" t="s">
        <v>10612</v>
      </c>
      <c r="B3204" s="53" t="s">
        <v>13649</v>
      </c>
    </row>
    <row r="3205" spans="1:2" x14ac:dyDescent="0.25">
      <c r="A3205" s="54" t="s">
        <v>10613</v>
      </c>
      <c r="B3205" s="54" t="s">
        <v>13650</v>
      </c>
    </row>
    <row r="3206" spans="1:2" x14ac:dyDescent="0.25">
      <c r="A3206" s="53" t="s">
        <v>10614</v>
      </c>
      <c r="B3206" s="53" t="s">
        <v>11744</v>
      </c>
    </row>
    <row r="3207" spans="1:2" x14ac:dyDescent="0.25">
      <c r="A3207" s="54" t="s">
        <v>10615</v>
      </c>
      <c r="B3207" s="54" t="s">
        <v>13651</v>
      </c>
    </row>
    <row r="3208" spans="1:2" x14ac:dyDescent="0.25">
      <c r="A3208" s="53" t="s">
        <v>10616</v>
      </c>
      <c r="B3208" s="53" t="s">
        <v>13652</v>
      </c>
    </row>
    <row r="3209" spans="1:2" x14ac:dyDescent="0.25">
      <c r="A3209" s="54" t="s">
        <v>10617</v>
      </c>
      <c r="B3209" s="54" t="s">
        <v>13653</v>
      </c>
    </row>
    <row r="3210" spans="1:2" x14ac:dyDescent="0.25">
      <c r="A3210" s="53" t="s">
        <v>10618</v>
      </c>
      <c r="B3210" s="53" t="s">
        <v>13654</v>
      </c>
    </row>
    <row r="3211" spans="1:2" x14ac:dyDescent="0.25">
      <c r="A3211" s="54" t="s">
        <v>10619</v>
      </c>
      <c r="B3211" s="54" t="s">
        <v>13655</v>
      </c>
    </row>
    <row r="3212" spans="1:2" x14ac:dyDescent="0.25">
      <c r="A3212" s="53" t="s">
        <v>10620</v>
      </c>
      <c r="B3212" s="53" t="s">
        <v>12314</v>
      </c>
    </row>
    <row r="3213" spans="1:2" x14ac:dyDescent="0.25">
      <c r="A3213" s="54" t="s">
        <v>10621</v>
      </c>
      <c r="B3213" s="54" t="s">
        <v>13656</v>
      </c>
    </row>
    <row r="3214" spans="1:2" x14ac:dyDescent="0.25">
      <c r="A3214" s="53" t="s">
        <v>10622</v>
      </c>
      <c r="B3214" s="53" t="s">
        <v>12514</v>
      </c>
    </row>
    <row r="3215" spans="1:2" x14ac:dyDescent="0.25">
      <c r="A3215" s="54" t="s">
        <v>10623</v>
      </c>
      <c r="B3215" s="54" t="s">
        <v>13080</v>
      </c>
    </row>
    <row r="3216" spans="1:2" x14ac:dyDescent="0.25">
      <c r="A3216" s="53" t="s">
        <v>10624</v>
      </c>
      <c r="B3216" s="53" t="s">
        <v>11686</v>
      </c>
    </row>
    <row r="3217" spans="1:2" x14ac:dyDescent="0.25">
      <c r="A3217" s="54" t="s">
        <v>10625</v>
      </c>
      <c r="B3217" s="54" t="s">
        <v>13657</v>
      </c>
    </row>
    <row r="3218" spans="1:2" x14ac:dyDescent="0.25">
      <c r="A3218" s="53" t="s">
        <v>10626</v>
      </c>
      <c r="B3218" s="53" t="s">
        <v>13658</v>
      </c>
    </row>
    <row r="3219" spans="1:2" x14ac:dyDescent="0.25">
      <c r="A3219" s="54" t="s">
        <v>10627</v>
      </c>
      <c r="B3219" s="54" t="s">
        <v>12299</v>
      </c>
    </row>
    <row r="3220" spans="1:2" x14ac:dyDescent="0.25">
      <c r="A3220" s="53" t="s">
        <v>10628</v>
      </c>
      <c r="B3220" s="53" t="s">
        <v>13659</v>
      </c>
    </row>
    <row r="3221" spans="1:2" x14ac:dyDescent="0.25">
      <c r="A3221" s="54" t="s">
        <v>10629</v>
      </c>
      <c r="B3221" s="54" t="s">
        <v>13660</v>
      </c>
    </row>
    <row r="3222" spans="1:2" x14ac:dyDescent="0.25">
      <c r="A3222" s="53" t="s">
        <v>10630</v>
      </c>
      <c r="B3222" s="53" t="s">
        <v>13661</v>
      </c>
    </row>
    <row r="3223" spans="1:2" x14ac:dyDescent="0.25">
      <c r="A3223" s="54" t="s">
        <v>10631</v>
      </c>
      <c r="B3223" s="54" t="s">
        <v>13662</v>
      </c>
    </row>
    <row r="3224" spans="1:2" x14ac:dyDescent="0.25">
      <c r="A3224" s="53" t="s">
        <v>10632</v>
      </c>
      <c r="B3224" s="53" t="s">
        <v>13663</v>
      </c>
    </row>
    <row r="3225" spans="1:2" x14ac:dyDescent="0.25">
      <c r="A3225" s="54" t="s">
        <v>10633</v>
      </c>
      <c r="B3225" s="54" t="s">
        <v>784</v>
      </c>
    </row>
    <row r="3226" spans="1:2" x14ac:dyDescent="0.25">
      <c r="A3226" s="53" t="s">
        <v>10634</v>
      </c>
      <c r="B3226" s="53" t="s">
        <v>11016</v>
      </c>
    </row>
    <row r="3227" spans="1:2" x14ac:dyDescent="0.25">
      <c r="A3227" s="54" t="s">
        <v>10635</v>
      </c>
      <c r="B3227" s="54" t="s">
        <v>11073</v>
      </c>
    </row>
    <row r="3228" spans="1:2" x14ac:dyDescent="0.25">
      <c r="A3228" s="53" t="s">
        <v>10636</v>
      </c>
      <c r="B3228" s="53" t="s">
        <v>13664</v>
      </c>
    </row>
    <row r="3229" spans="1:2" x14ac:dyDescent="0.25">
      <c r="A3229" s="54" t="s">
        <v>10637</v>
      </c>
      <c r="B3229" s="54" t="s">
        <v>12331</v>
      </c>
    </row>
    <row r="3230" spans="1:2" x14ac:dyDescent="0.25">
      <c r="A3230" s="53" t="s">
        <v>10638</v>
      </c>
      <c r="B3230" s="53" t="s">
        <v>13665</v>
      </c>
    </row>
    <row r="3231" spans="1:2" x14ac:dyDescent="0.25">
      <c r="A3231" s="54" t="s">
        <v>10639</v>
      </c>
      <c r="B3231" s="54" t="s">
        <v>13666</v>
      </c>
    </row>
    <row r="3232" spans="1:2" x14ac:dyDescent="0.25">
      <c r="A3232" s="53" t="s">
        <v>10640</v>
      </c>
      <c r="B3232" s="53" t="s">
        <v>13667</v>
      </c>
    </row>
    <row r="3233" spans="1:2" x14ac:dyDescent="0.25">
      <c r="A3233" s="54" t="s">
        <v>10641</v>
      </c>
      <c r="B3233" s="54" t="s">
        <v>13668</v>
      </c>
    </row>
    <row r="3234" spans="1:2" x14ac:dyDescent="0.25">
      <c r="A3234" s="53" t="s">
        <v>10642</v>
      </c>
      <c r="B3234" s="53" t="s">
        <v>13669</v>
      </c>
    </row>
    <row r="3235" spans="1:2" x14ac:dyDescent="0.25">
      <c r="A3235" s="54" t="s">
        <v>10643</v>
      </c>
      <c r="B3235" s="54" t="s">
        <v>13670</v>
      </c>
    </row>
    <row r="3236" spans="1:2" x14ac:dyDescent="0.25">
      <c r="A3236" s="53" t="s">
        <v>10644</v>
      </c>
      <c r="B3236" s="53" t="s">
        <v>13671</v>
      </c>
    </row>
    <row r="3237" spans="1:2" x14ac:dyDescent="0.25">
      <c r="A3237" s="54" t="s">
        <v>10645</v>
      </c>
      <c r="B3237" s="54" t="s">
        <v>13672</v>
      </c>
    </row>
    <row r="3238" spans="1:2" x14ac:dyDescent="0.25">
      <c r="A3238" s="53" t="s">
        <v>10646</v>
      </c>
      <c r="B3238" s="53" t="s">
        <v>13673</v>
      </c>
    </row>
    <row r="3239" spans="1:2" x14ac:dyDescent="0.25">
      <c r="A3239" s="54" t="s">
        <v>10647</v>
      </c>
      <c r="B3239" s="54" t="s">
        <v>13674</v>
      </c>
    </row>
    <row r="3240" spans="1:2" x14ac:dyDescent="0.25">
      <c r="A3240" s="53" t="s">
        <v>10648</v>
      </c>
      <c r="B3240" s="53" t="s">
        <v>13675</v>
      </c>
    </row>
    <row r="3241" spans="1:2" x14ac:dyDescent="0.25">
      <c r="A3241" s="54" t="s">
        <v>10649</v>
      </c>
      <c r="B3241" s="54" t="s">
        <v>13676</v>
      </c>
    </row>
    <row r="3242" spans="1:2" x14ac:dyDescent="0.25">
      <c r="A3242" s="53" t="s">
        <v>10650</v>
      </c>
      <c r="B3242" s="53" t="s">
        <v>13677</v>
      </c>
    </row>
    <row r="3243" spans="1:2" x14ac:dyDescent="0.25">
      <c r="A3243" s="54" t="s">
        <v>10651</v>
      </c>
      <c r="B3243" s="54" t="s">
        <v>13678</v>
      </c>
    </row>
    <row r="3244" spans="1:2" x14ac:dyDescent="0.25">
      <c r="A3244" s="53" t="s">
        <v>10652</v>
      </c>
      <c r="B3244" s="53" t="s">
        <v>13679</v>
      </c>
    </row>
    <row r="3245" spans="1:2" x14ac:dyDescent="0.25">
      <c r="A3245" s="54" t="s">
        <v>10653</v>
      </c>
      <c r="B3245" s="54" t="s">
        <v>13680</v>
      </c>
    </row>
    <row r="3246" spans="1:2" x14ac:dyDescent="0.25">
      <c r="A3246" s="53" t="s">
        <v>10654</v>
      </c>
      <c r="B3246" s="53" t="s">
        <v>13681</v>
      </c>
    </row>
    <row r="3247" spans="1:2" x14ac:dyDescent="0.25">
      <c r="A3247" s="54" t="s">
        <v>10655</v>
      </c>
      <c r="B3247" s="54" t="s">
        <v>13682</v>
      </c>
    </row>
    <row r="3248" spans="1:2" x14ac:dyDescent="0.25">
      <c r="A3248" s="53" t="s">
        <v>10656</v>
      </c>
      <c r="B3248" s="53" t="s">
        <v>13683</v>
      </c>
    </row>
    <row r="3249" spans="1:2" x14ac:dyDescent="0.25">
      <c r="A3249" s="54" t="s">
        <v>10657</v>
      </c>
      <c r="B3249" s="54" t="s">
        <v>13684</v>
      </c>
    </row>
    <row r="3250" spans="1:2" x14ac:dyDescent="0.25">
      <c r="A3250" s="53" t="s">
        <v>10658</v>
      </c>
      <c r="B3250" s="53" t="s">
        <v>13685</v>
      </c>
    </row>
    <row r="3251" spans="1:2" x14ac:dyDescent="0.25">
      <c r="A3251" s="54" t="s">
        <v>10659</v>
      </c>
      <c r="B3251" s="54" t="s">
        <v>13686</v>
      </c>
    </row>
    <row r="3252" spans="1:2" x14ac:dyDescent="0.25">
      <c r="A3252" s="53" t="s">
        <v>10660</v>
      </c>
      <c r="B3252" s="53" t="s">
        <v>13687</v>
      </c>
    </row>
    <row r="3253" spans="1:2" x14ac:dyDescent="0.25">
      <c r="A3253" s="54" t="s">
        <v>10661</v>
      </c>
      <c r="B3253" s="54" t="s">
        <v>13102</v>
      </c>
    </row>
    <row r="3254" spans="1:2" x14ac:dyDescent="0.25">
      <c r="A3254" s="53" t="s">
        <v>10662</v>
      </c>
      <c r="B3254" s="53" t="s">
        <v>13688</v>
      </c>
    </row>
    <row r="3255" spans="1:2" x14ac:dyDescent="0.25">
      <c r="A3255" s="54" t="s">
        <v>10663</v>
      </c>
      <c r="B3255" s="54" t="s">
        <v>13689</v>
      </c>
    </row>
    <row r="3256" spans="1:2" x14ac:dyDescent="0.25">
      <c r="A3256" s="53" t="s">
        <v>10664</v>
      </c>
      <c r="B3256" s="53" t="s">
        <v>13690</v>
      </c>
    </row>
    <row r="3257" spans="1:2" x14ac:dyDescent="0.25">
      <c r="A3257" s="54" t="s">
        <v>10665</v>
      </c>
      <c r="B3257" s="54" t="s">
        <v>13691</v>
      </c>
    </row>
    <row r="3258" spans="1:2" x14ac:dyDescent="0.25">
      <c r="A3258" s="53" t="s">
        <v>10666</v>
      </c>
      <c r="B3258" s="53" t="s">
        <v>12181</v>
      </c>
    </row>
    <row r="3259" spans="1:2" x14ac:dyDescent="0.25">
      <c r="A3259" s="54" t="s">
        <v>10667</v>
      </c>
      <c r="B3259" s="54" t="s">
        <v>12291</v>
      </c>
    </row>
    <row r="3260" spans="1:2" x14ac:dyDescent="0.25">
      <c r="A3260" s="53" t="s">
        <v>10668</v>
      </c>
      <c r="B3260" s="53" t="s">
        <v>13692</v>
      </c>
    </row>
    <row r="3261" spans="1:2" x14ac:dyDescent="0.25">
      <c r="A3261" s="54" t="s">
        <v>10669</v>
      </c>
      <c r="B3261" s="54" t="s">
        <v>13693</v>
      </c>
    </row>
    <row r="3262" spans="1:2" x14ac:dyDescent="0.25">
      <c r="A3262" s="53" t="s">
        <v>10670</v>
      </c>
      <c r="B3262" s="53" t="s">
        <v>12475</v>
      </c>
    </row>
    <row r="3263" spans="1:2" x14ac:dyDescent="0.25">
      <c r="A3263" s="54" t="s">
        <v>10671</v>
      </c>
      <c r="B3263" s="54" t="s">
        <v>13694</v>
      </c>
    </row>
    <row r="3264" spans="1:2" x14ac:dyDescent="0.25">
      <c r="A3264" s="53" t="s">
        <v>10672</v>
      </c>
      <c r="B3264" s="53" t="s">
        <v>13695</v>
      </c>
    </row>
    <row r="3265" spans="1:2" x14ac:dyDescent="0.25">
      <c r="A3265" s="54" t="s">
        <v>10673</v>
      </c>
      <c r="B3265" s="54" t="s">
        <v>13696</v>
      </c>
    </row>
    <row r="3266" spans="1:2" x14ac:dyDescent="0.25">
      <c r="A3266" s="53" t="s">
        <v>10674</v>
      </c>
      <c r="B3266" s="53" t="s">
        <v>11447</v>
      </c>
    </row>
    <row r="3267" spans="1:2" x14ac:dyDescent="0.25">
      <c r="A3267" s="54" t="s">
        <v>10675</v>
      </c>
      <c r="B3267" s="54" t="s">
        <v>13697</v>
      </c>
    </row>
    <row r="3268" spans="1:2" x14ac:dyDescent="0.25">
      <c r="A3268" s="53" t="s">
        <v>10676</v>
      </c>
      <c r="B3268" s="53" t="s">
        <v>13698</v>
      </c>
    </row>
    <row r="3269" spans="1:2" x14ac:dyDescent="0.25">
      <c r="A3269" s="54" t="s">
        <v>10677</v>
      </c>
      <c r="B3269" s="54" t="s">
        <v>13699</v>
      </c>
    </row>
    <row r="3270" spans="1:2" x14ac:dyDescent="0.25">
      <c r="A3270" s="53" t="s">
        <v>10678</v>
      </c>
      <c r="B3270" s="53" t="s">
        <v>13700</v>
      </c>
    </row>
    <row r="3271" spans="1:2" x14ac:dyDescent="0.25">
      <c r="A3271" s="54" t="s">
        <v>10679</v>
      </c>
      <c r="B3271" s="54" t="s">
        <v>11063</v>
      </c>
    </row>
    <row r="3272" spans="1:2" x14ac:dyDescent="0.25">
      <c r="A3272" s="53" t="s">
        <v>10680</v>
      </c>
      <c r="B3272" s="53" t="s">
        <v>13701</v>
      </c>
    </row>
    <row r="3273" spans="1:2" x14ac:dyDescent="0.25">
      <c r="A3273" s="54" t="s">
        <v>10681</v>
      </c>
      <c r="B3273" s="54" t="s">
        <v>13203</v>
      </c>
    </row>
    <row r="3274" spans="1:2" x14ac:dyDescent="0.25">
      <c r="A3274" s="53" t="s">
        <v>10682</v>
      </c>
      <c r="B3274" s="53" t="s">
        <v>13112</v>
      </c>
    </row>
    <row r="3275" spans="1:2" x14ac:dyDescent="0.25">
      <c r="A3275" s="54" t="s">
        <v>10683</v>
      </c>
      <c r="B3275" s="54" t="s">
        <v>13702</v>
      </c>
    </row>
    <row r="3276" spans="1:2" x14ac:dyDescent="0.25">
      <c r="A3276" s="53" t="s">
        <v>10684</v>
      </c>
      <c r="B3276" s="53" t="s">
        <v>10822</v>
      </c>
    </row>
    <row r="3277" spans="1:2" x14ac:dyDescent="0.25">
      <c r="A3277" s="54" t="s">
        <v>10685</v>
      </c>
      <c r="B3277" s="54" t="s">
        <v>13703</v>
      </c>
    </row>
    <row r="3278" spans="1:2" x14ac:dyDescent="0.25">
      <c r="A3278" s="53" t="s">
        <v>10686</v>
      </c>
      <c r="B3278" s="53" t="s">
        <v>13704</v>
      </c>
    </row>
    <row r="3279" spans="1:2" x14ac:dyDescent="0.25">
      <c r="A3279" s="54" t="s">
        <v>10687</v>
      </c>
      <c r="B3279" s="54" t="s">
        <v>13705</v>
      </c>
    </row>
    <row r="3280" spans="1:2" x14ac:dyDescent="0.25">
      <c r="A3280" s="53" t="s">
        <v>10688</v>
      </c>
      <c r="B3280" s="53" t="s">
        <v>13706</v>
      </c>
    </row>
    <row r="3281" spans="1:2" x14ac:dyDescent="0.25">
      <c r="A3281" s="54" t="s">
        <v>10689</v>
      </c>
      <c r="B3281" s="54" t="s">
        <v>13707</v>
      </c>
    </row>
    <row r="3282" spans="1:2" x14ac:dyDescent="0.25">
      <c r="A3282" s="53" t="s">
        <v>10690</v>
      </c>
      <c r="B3282" s="53" t="s">
        <v>11382</v>
      </c>
    </row>
    <row r="3283" spans="1:2" x14ac:dyDescent="0.25">
      <c r="A3283" s="54" t="s">
        <v>10691</v>
      </c>
      <c r="B3283" s="54" t="s">
        <v>13708</v>
      </c>
    </row>
    <row r="3284" spans="1:2" x14ac:dyDescent="0.25">
      <c r="A3284" s="53" t="s">
        <v>10692</v>
      </c>
      <c r="B3284" s="53" t="s">
        <v>13709</v>
      </c>
    </row>
    <row r="3285" spans="1:2" x14ac:dyDescent="0.25">
      <c r="A3285" s="54" t="s">
        <v>10693</v>
      </c>
      <c r="B3285" s="54" t="s">
        <v>13710</v>
      </c>
    </row>
    <row r="3286" spans="1:2" x14ac:dyDescent="0.25">
      <c r="A3286" s="53" t="s">
        <v>10694</v>
      </c>
      <c r="B3286" s="53" t="s">
        <v>13711</v>
      </c>
    </row>
    <row r="3287" spans="1:2" x14ac:dyDescent="0.25">
      <c r="A3287" s="54" t="s">
        <v>10695</v>
      </c>
      <c r="B3287" s="54" t="s">
        <v>13712</v>
      </c>
    </row>
    <row r="3288" spans="1:2" x14ac:dyDescent="0.25">
      <c r="A3288" s="53" t="s">
        <v>10696</v>
      </c>
      <c r="B3288" s="53" t="s">
        <v>13713</v>
      </c>
    </row>
    <row r="3289" spans="1:2" x14ac:dyDescent="0.25">
      <c r="A3289" s="54" t="s">
        <v>10697</v>
      </c>
      <c r="B3289" s="54" t="s">
        <v>13714</v>
      </c>
    </row>
    <row r="3290" spans="1:2" x14ac:dyDescent="0.25">
      <c r="A3290" s="53" t="s">
        <v>10698</v>
      </c>
      <c r="B3290" s="53" t="s">
        <v>13715</v>
      </c>
    </row>
    <row r="3291" spans="1:2" x14ac:dyDescent="0.25">
      <c r="A3291" s="54" t="s">
        <v>10699</v>
      </c>
      <c r="B3291" s="54" t="s">
        <v>13716</v>
      </c>
    </row>
    <row r="3292" spans="1:2" x14ac:dyDescent="0.25">
      <c r="A3292" s="53" t="s">
        <v>10700</v>
      </c>
      <c r="B3292" s="53" t="s">
        <v>13717</v>
      </c>
    </row>
    <row r="3293" spans="1:2" x14ac:dyDescent="0.25">
      <c r="A3293" s="54" t="s">
        <v>10701</v>
      </c>
      <c r="B3293" s="54" t="s">
        <v>13718</v>
      </c>
    </row>
    <row r="3294" spans="1:2" x14ac:dyDescent="0.25">
      <c r="A3294" s="53" t="s">
        <v>10702</v>
      </c>
      <c r="B3294" s="53" t="s">
        <v>13719</v>
      </c>
    </row>
    <row r="3295" spans="1:2" x14ac:dyDescent="0.25">
      <c r="A3295" s="54" t="s">
        <v>10703</v>
      </c>
      <c r="B3295" s="54" t="s">
        <v>13720</v>
      </c>
    </row>
    <row r="3296" spans="1:2" x14ac:dyDescent="0.25">
      <c r="A3296" s="53" t="s">
        <v>10704</v>
      </c>
      <c r="B3296" s="53" t="s">
        <v>13434</v>
      </c>
    </row>
    <row r="3297" spans="1:2" x14ac:dyDescent="0.25">
      <c r="A3297" s="54" t="s">
        <v>10705</v>
      </c>
      <c r="B3297" s="54" t="s">
        <v>13721</v>
      </c>
    </row>
    <row r="3298" spans="1:2" x14ac:dyDescent="0.25">
      <c r="A3298" s="53" t="s">
        <v>10706</v>
      </c>
      <c r="B3298" s="53" t="s">
        <v>13722</v>
      </c>
    </row>
    <row r="3299" spans="1:2" x14ac:dyDescent="0.25">
      <c r="A3299" s="54" t="s">
        <v>10707</v>
      </c>
      <c r="B3299" s="54" t="s">
        <v>13723</v>
      </c>
    </row>
    <row r="3300" spans="1:2" x14ac:dyDescent="0.25">
      <c r="A3300" s="53" t="s">
        <v>10708</v>
      </c>
      <c r="B3300" s="53" t="s">
        <v>13724</v>
      </c>
    </row>
    <row r="3301" spans="1:2" x14ac:dyDescent="0.25">
      <c r="A3301" s="54" t="s">
        <v>10709</v>
      </c>
      <c r="B3301" s="54" t="s">
        <v>13725</v>
      </c>
    </row>
    <row r="3302" spans="1:2" x14ac:dyDescent="0.25">
      <c r="A3302" s="53" t="s">
        <v>10710</v>
      </c>
      <c r="B3302" s="53" t="s">
        <v>12664</v>
      </c>
    </row>
    <row r="3303" spans="1:2" x14ac:dyDescent="0.25">
      <c r="A3303" s="54" t="s">
        <v>10711</v>
      </c>
      <c r="B3303" s="54" t="s">
        <v>13097</v>
      </c>
    </row>
    <row r="3304" spans="1:2" x14ac:dyDescent="0.25">
      <c r="A3304" s="53" t="s">
        <v>10712</v>
      </c>
      <c r="B3304" s="53" t="s">
        <v>11681</v>
      </c>
    </row>
    <row r="3305" spans="1:2" x14ac:dyDescent="0.25">
      <c r="A3305" s="54" t="s">
        <v>10713</v>
      </c>
      <c r="B3305" s="54" t="s">
        <v>13726</v>
      </c>
    </row>
    <row r="3306" spans="1:2" x14ac:dyDescent="0.25">
      <c r="A3306" s="53" t="s">
        <v>10714</v>
      </c>
      <c r="B3306" s="53" t="s">
        <v>13727</v>
      </c>
    </row>
    <row r="3307" spans="1:2" x14ac:dyDescent="0.25">
      <c r="A3307" s="54" t="s">
        <v>10715</v>
      </c>
      <c r="B3307" s="54" t="s">
        <v>13728</v>
      </c>
    </row>
    <row r="3308" spans="1:2" x14ac:dyDescent="0.25">
      <c r="A3308" s="53" t="s">
        <v>10716</v>
      </c>
      <c r="B3308" s="53" t="s">
        <v>13729</v>
      </c>
    </row>
    <row r="3309" spans="1:2" x14ac:dyDescent="0.25">
      <c r="A3309" s="54" t="s">
        <v>10717</v>
      </c>
      <c r="B3309" s="54" t="s">
        <v>13730</v>
      </c>
    </row>
    <row r="3310" spans="1:2" x14ac:dyDescent="0.25">
      <c r="A3310" s="53" t="s">
        <v>10718</v>
      </c>
      <c r="B3310" s="53" t="s">
        <v>13731</v>
      </c>
    </row>
    <row r="3311" spans="1:2" x14ac:dyDescent="0.25">
      <c r="A3311" s="54" t="s">
        <v>10719</v>
      </c>
      <c r="B3311" s="54" t="s">
        <v>13732</v>
      </c>
    </row>
    <row r="3312" spans="1:2" x14ac:dyDescent="0.25">
      <c r="A3312" s="53" t="s">
        <v>10720</v>
      </c>
      <c r="B3312" s="53" t="s">
        <v>13733</v>
      </c>
    </row>
    <row r="3313" spans="1:2" x14ac:dyDescent="0.25">
      <c r="A3313" s="54" t="s">
        <v>10721</v>
      </c>
      <c r="B3313" s="54" t="s">
        <v>13734</v>
      </c>
    </row>
    <row r="3314" spans="1:2" x14ac:dyDescent="0.25">
      <c r="A3314" s="53" t="s">
        <v>10722</v>
      </c>
      <c r="B3314" s="53" t="s">
        <v>13735</v>
      </c>
    </row>
    <row r="3315" spans="1:2" x14ac:dyDescent="0.25">
      <c r="A3315" s="54" t="s">
        <v>10723</v>
      </c>
      <c r="B3315" s="54" t="s">
        <v>13736</v>
      </c>
    </row>
    <row r="3316" spans="1:2" x14ac:dyDescent="0.25">
      <c r="A3316" s="53" t="s">
        <v>10724</v>
      </c>
      <c r="B3316" s="53" t="s">
        <v>13737</v>
      </c>
    </row>
    <row r="3317" spans="1:2" x14ac:dyDescent="0.25">
      <c r="A3317" s="54" t="s">
        <v>10725</v>
      </c>
      <c r="B3317" s="54" t="s">
        <v>12509</v>
      </c>
    </row>
    <row r="3318" spans="1:2" x14ac:dyDescent="0.25">
      <c r="A3318" s="53" t="s">
        <v>10726</v>
      </c>
      <c r="B3318" s="53" t="s">
        <v>13738</v>
      </c>
    </row>
    <row r="3319" spans="1:2" x14ac:dyDescent="0.25">
      <c r="A3319" s="54" t="s">
        <v>10727</v>
      </c>
      <c r="B3319" s="54" t="s">
        <v>13739</v>
      </c>
    </row>
    <row r="3320" spans="1:2" x14ac:dyDescent="0.25">
      <c r="A3320" s="53" t="s">
        <v>10728</v>
      </c>
      <c r="B3320" s="53" t="s">
        <v>13740</v>
      </c>
    </row>
    <row r="3321" spans="1:2" x14ac:dyDescent="0.25">
      <c r="A3321" s="54" t="s">
        <v>10729</v>
      </c>
      <c r="B3321" s="54" t="s">
        <v>13741</v>
      </c>
    </row>
    <row r="3322" spans="1:2" x14ac:dyDescent="0.25">
      <c r="A3322" s="53" t="s">
        <v>10730</v>
      </c>
      <c r="B3322" s="53" t="s">
        <v>13742</v>
      </c>
    </row>
    <row r="3323" spans="1:2" x14ac:dyDescent="0.25">
      <c r="A3323" s="54" t="s">
        <v>10731</v>
      </c>
      <c r="B3323" s="54" t="s">
        <v>13743</v>
      </c>
    </row>
    <row r="3324" spans="1:2" x14ac:dyDescent="0.25">
      <c r="A3324" s="53" t="s">
        <v>10732</v>
      </c>
      <c r="B3324" s="53" t="s">
        <v>13744</v>
      </c>
    </row>
    <row r="3325" spans="1:2" x14ac:dyDescent="0.25">
      <c r="A3325" s="54" t="s">
        <v>10733</v>
      </c>
      <c r="B3325" s="54" t="s">
        <v>13745</v>
      </c>
    </row>
    <row r="3326" spans="1:2" x14ac:dyDescent="0.25">
      <c r="A3326" s="53" t="s">
        <v>10734</v>
      </c>
      <c r="B3326" s="53" t="s">
        <v>13746</v>
      </c>
    </row>
    <row r="3327" spans="1:2" x14ac:dyDescent="0.25">
      <c r="A3327" s="54" t="s">
        <v>10735</v>
      </c>
      <c r="B3327" s="54" t="s">
        <v>13747</v>
      </c>
    </row>
    <row r="3328" spans="1:2" x14ac:dyDescent="0.25">
      <c r="A3328" s="53" t="s">
        <v>10736</v>
      </c>
      <c r="B3328" s="53" t="s">
        <v>13747</v>
      </c>
    </row>
    <row r="3329" spans="1:2" x14ac:dyDescent="0.25">
      <c r="A3329" s="54" t="s">
        <v>10737</v>
      </c>
      <c r="B3329" s="54" t="s">
        <v>13748</v>
      </c>
    </row>
    <row r="3330" spans="1:2" x14ac:dyDescent="0.25">
      <c r="A3330" s="53" t="s">
        <v>10738</v>
      </c>
      <c r="B3330" s="53" t="s">
        <v>13749</v>
      </c>
    </row>
    <row r="3331" spans="1:2" x14ac:dyDescent="0.25">
      <c r="A3331" s="54" t="s">
        <v>10739</v>
      </c>
      <c r="B3331" s="54" t="s">
        <v>13750</v>
      </c>
    </row>
    <row r="3332" spans="1:2" x14ac:dyDescent="0.25">
      <c r="A3332" s="53" t="s">
        <v>10740</v>
      </c>
      <c r="B3332" s="53" t="s">
        <v>13751</v>
      </c>
    </row>
    <row r="3333" spans="1:2" x14ac:dyDescent="0.25">
      <c r="A3333" s="54" t="s">
        <v>10741</v>
      </c>
      <c r="B3333" s="54" t="s">
        <v>12781</v>
      </c>
    </row>
    <row r="3334" spans="1:2" x14ac:dyDescent="0.25">
      <c r="A3334" s="53" t="s">
        <v>10742</v>
      </c>
      <c r="B3334" s="53" t="s">
        <v>13752</v>
      </c>
    </row>
    <row r="3335" spans="1:2" x14ac:dyDescent="0.25">
      <c r="A3335" s="54" t="s">
        <v>10743</v>
      </c>
      <c r="B3335" s="54" t="s">
        <v>13752</v>
      </c>
    </row>
    <row r="3336" spans="1:2" x14ac:dyDescent="0.25">
      <c r="A3336" s="53" t="s">
        <v>10744</v>
      </c>
      <c r="B3336" s="53" t="s">
        <v>13753</v>
      </c>
    </row>
    <row r="3337" spans="1:2" x14ac:dyDescent="0.25">
      <c r="A3337" s="54" t="s">
        <v>10745</v>
      </c>
      <c r="B3337" s="54" t="s">
        <v>13754</v>
      </c>
    </row>
    <row r="3338" spans="1:2" x14ac:dyDescent="0.25">
      <c r="A3338" s="53" t="s">
        <v>10746</v>
      </c>
      <c r="B3338" s="53" t="s">
        <v>13754</v>
      </c>
    </row>
    <row r="3339" spans="1:2" x14ac:dyDescent="0.25">
      <c r="A3339" s="54" t="s">
        <v>10747</v>
      </c>
      <c r="B3339" s="54" t="s">
        <v>12099</v>
      </c>
    </row>
    <row r="3340" spans="1:2" x14ac:dyDescent="0.25">
      <c r="A3340" s="53" t="s">
        <v>10748</v>
      </c>
      <c r="B3340" s="53" t="s">
        <v>13755</v>
      </c>
    </row>
    <row r="3341" spans="1:2" x14ac:dyDescent="0.25">
      <c r="A3341" s="54" t="s">
        <v>10749</v>
      </c>
      <c r="B3341" s="54" t="s">
        <v>13756</v>
      </c>
    </row>
    <row r="3342" spans="1:2" x14ac:dyDescent="0.25">
      <c r="A3342" s="53" t="s">
        <v>10750</v>
      </c>
      <c r="B3342" s="53" t="s">
        <v>13757</v>
      </c>
    </row>
    <row r="3343" spans="1:2" x14ac:dyDescent="0.25">
      <c r="A3343" s="54" t="s">
        <v>10751</v>
      </c>
      <c r="B3343" s="54" t="s">
        <v>13758</v>
      </c>
    </row>
    <row r="3344" spans="1:2" x14ac:dyDescent="0.25">
      <c r="A3344" s="53" t="s">
        <v>10752</v>
      </c>
      <c r="B3344" s="53" t="s">
        <v>12510</v>
      </c>
    </row>
    <row r="3345" spans="1:2" x14ac:dyDescent="0.25">
      <c r="A3345" s="54" t="s">
        <v>10753</v>
      </c>
      <c r="B3345" s="54" t="s">
        <v>12503</v>
      </c>
    </row>
    <row r="3346" spans="1:2" x14ac:dyDescent="0.25">
      <c r="A3346" s="53" t="s">
        <v>10754</v>
      </c>
      <c r="B3346" s="53" t="s">
        <v>13759</v>
      </c>
    </row>
    <row r="3347" spans="1:2" x14ac:dyDescent="0.25">
      <c r="A3347" s="54" t="s">
        <v>10755</v>
      </c>
      <c r="B3347" s="54" t="s">
        <v>13760</v>
      </c>
    </row>
    <row r="3348" spans="1:2" x14ac:dyDescent="0.25">
      <c r="A3348" s="53" t="s">
        <v>10756</v>
      </c>
      <c r="B3348" s="53" t="s">
        <v>13761</v>
      </c>
    </row>
    <row r="3349" spans="1:2" x14ac:dyDescent="0.25">
      <c r="A3349" s="54" t="s">
        <v>10757</v>
      </c>
      <c r="B3349" s="54" t="s">
        <v>13762</v>
      </c>
    </row>
    <row r="3350" spans="1:2" x14ac:dyDescent="0.25">
      <c r="A3350" s="53" t="s">
        <v>10758</v>
      </c>
      <c r="B3350" s="53" t="s">
        <v>13763</v>
      </c>
    </row>
    <row r="3351" spans="1:2" x14ac:dyDescent="0.25">
      <c r="A3351" s="54" t="s">
        <v>10759</v>
      </c>
      <c r="B3351" s="54" t="s">
        <v>13764</v>
      </c>
    </row>
    <row r="3352" spans="1:2" x14ac:dyDescent="0.25">
      <c r="A3352" s="53" t="s">
        <v>10760</v>
      </c>
      <c r="B3352" s="53" t="s">
        <v>13765</v>
      </c>
    </row>
    <row r="3353" spans="1:2" x14ac:dyDescent="0.25">
      <c r="A3353" s="54" t="s">
        <v>10761</v>
      </c>
      <c r="B3353" s="54" t="s">
        <v>13766</v>
      </c>
    </row>
    <row r="3354" spans="1:2" x14ac:dyDescent="0.25">
      <c r="A3354" s="53" t="s">
        <v>10762</v>
      </c>
      <c r="B3354" s="53" t="s">
        <v>13766</v>
      </c>
    </row>
    <row r="3355" spans="1:2" x14ac:dyDescent="0.25">
      <c r="A3355" s="54" t="s">
        <v>10763</v>
      </c>
      <c r="B3355" s="54" t="s">
        <v>13767</v>
      </c>
    </row>
    <row r="3356" spans="1:2" x14ac:dyDescent="0.25">
      <c r="A3356" s="53" t="s">
        <v>10764</v>
      </c>
      <c r="B3356" s="53" t="s">
        <v>13768</v>
      </c>
    </row>
    <row r="3357" spans="1:2" x14ac:dyDescent="0.25">
      <c r="A3357" s="54" t="s">
        <v>10765</v>
      </c>
      <c r="B3357" s="54" t="s">
        <v>13768</v>
      </c>
    </row>
    <row r="3358" spans="1:2" x14ac:dyDescent="0.25">
      <c r="A3358" s="53" t="s">
        <v>10766</v>
      </c>
      <c r="B3358" s="53" t="s">
        <v>13769</v>
      </c>
    </row>
    <row r="3359" spans="1:2" x14ac:dyDescent="0.25">
      <c r="A3359" s="54" t="s">
        <v>10767</v>
      </c>
      <c r="B3359" s="54" t="s">
        <v>13770</v>
      </c>
    </row>
    <row r="3360" spans="1:2" x14ac:dyDescent="0.25">
      <c r="A3360" s="53" t="s">
        <v>10768</v>
      </c>
      <c r="B3360" s="53" t="s">
        <v>13771</v>
      </c>
    </row>
    <row r="3361" spans="1:2" x14ac:dyDescent="0.25">
      <c r="A3361" s="54" t="s">
        <v>10769</v>
      </c>
      <c r="B3361" s="54" t="s">
        <v>13772</v>
      </c>
    </row>
    <row r="3362" spans="1:2" x14ac:dyDescent="0.25">
      <c r="A3362" s="53" t="s">
        <v>10770</v>
      </c>
      <c r="B3362" s="53" t="s">
        <v>13773</v>
      </c>
    </row>
    <row r="3363" spans="1:2" x14ac:dyDescent="0.25">
      <c r="A3363" s="54" t="s">
        <v>10771</v>
      </c>
      <c r="B3363" s="54" t="s">
        <v>13774</v>
      </c>
    </row>
    <row r="3364" spans="1:2" x14ac:dyDescent="0.25">
      <c r="A3364" s="53" t="s">
        <v>10772</v>
      </c>
      <c r="B3364" s="53" t="s">
        <v>12085</v>
      </c>
    </row>
    <row r="3365" spans="1:2" x14ac:dyDescent="0.25">
      <c r="A3365" s="54" t="s">
        <v>10773</v>
      </c>
      <c r="B3365" s="54" t="s">
        <v>13775</v>
      </c>
    </row>
    <row r="3366" spans="1:2" x14ac:dyDescent="0.25">
      <c r="A3366" s="53" t="s">
        <v>10774</v>
      </c>
      <c r="B3366" s="53" t="s">
        <v>13776</v>
      </c>
    </row>
    <row r="3367" spans="1:2" x14ac:dyDescent="0.25">
      <c r="A3367" s="54" t="s">
        <v>10775</v>
      </c>
      <c r="B3367" s="54" t="s">
        <v>13777</v>
      </c>
    </row>
    <row r="3368" spans="1:2" x14ac:dyDescent="0.25">
      <c r="A3368" s="53" t="s">
        <v>10776</v>
      </c>
      <c r="B3368" s="53" t="s">
        <v>13778</v>
      </c>
    </row>
    <row r="3369" spans="1:2" x14ac:dyDescent="0.25">
      <c r="A3369" s="54" t="s">
        <v>10777</v>
      </c>
      <c r="B3369" s="54" t="s">
        <v>13779</v>
      </c>
    </row>
    <row r="3370" spans="1:2" x14ac:dyDescent="0.25">
      <c r="A3370" s="53" t="s">
        <v>10778</v>
      </c>
      <c r="B3370" s="53" t="s">
        <v>13780</v>
      </c>
    </row>
    <row r="3371" spans="1:2" x14ac:dyDescent="0.25">
      <c r="A3371" s="54" t="s">
        <v>10779</v>
      </c>
      <c r="B3371" s="54" t="s">
        <v>13781</v>
      </c>
    </row>
    <row r="3372" spans="1:2" x14ac:dyDescent="0.25">
      <c r="A3372" s="53" t="s">
        <v>10780</v>
      </c>
      <c r="B3372" s="53" t="s">
        <v>13782</v>
      </c>
    </row>
    <row r="3373" spans="1:2" x14ac:dyDescent="0.25">
      <c r="A3373" s="54" t="s">
        <v>10781</v>
      </c>
      <c r="B3373" s="54" t="s">
        <v>13783</v>
      </c>
    </row>
    <row r="3374" spans="1:2" x14ac:dyDescent="0.25">
      <c r="A3374" s="53" t="s">
        <v>10782</v>
      </c>
      <c r="B3374" s="53" t="s">
        <v>12512</v>
      </c>
    </row>
    <row r="3375" spans="1:2" x14ac:dyDescent="0.25">
      <c r="A3375" s="54" t="s">
        <v>10783</v>
      </c>
      <c r="B3375" s="54" t="s">
        <v>13784</v>
      </c>
    </row>
    <row r="3376" spans="1:2" x14ac:dyDescent="0.25">
      <c r="A3376" s="53" t="s">
        <v>10784</v>
      </c>
      <c r="B3376" s="53" t="s">
        <v>13785</v>
      </c>
    </row>
    <row r="3377" spans="1:2" x14ac:dyDescent="0.25">
      <c r="A3377" s="54" t="s">
        <v>10785</v>
      </c>
      <c r="B3377" s="54" t="s">
        <v>13786</v>
      </c>
    </row>
    <row r="3378" spans="1:2" x14ac:dyDescent="0.25">
      <c r="A3378" s="53" t="s">
        <v>10786</v>
      </c>
      <c r="B3378" s="53" t="s">
        <v>13787</v>
      </c>
    </row>
    <row r="3379" spans="1:2" x14ac:dyDescent="0.25">
      <c r="A3379" s="54" t="s">
        <v>10787</v>
      </c>
      <c r="B3379" s="54" t="s">
        <v>13788</v>
      </c>
    </row>
    <row r="3380" spans="1:2" x14ac:dyDescent="0.25">
      <c r="A3380" s="53" t="s">
        <v>10788</v>
      </c>
      <c r="B3380" s="53" t="s">
        <v>13789</v>
      </c>
    </row>
    <row r="3381" spans="1:2" x14ac:dyDescent="0.25">
      <c r="A3381" s="54" t="s">
        <v>10789</v>
      </c>
      <c r="B3381" s="54" t="s">
        <v>13790</v>
      </c>
    </row>
    <row r="3382" spans="1:2" x14ac:dyDescent="0.25">
      <c r="A3382" s="53" t="s">
        <v>10790</v>
      </c>
      <c r="B3382" s="53" t="s">
        <v>13791</v>
      </c>
    </row>
    <row r="3383" spans="1:2" x14ac:dyDescent="0.25">
      <c r="A3383" s="54" t="s">
        <v>10791</v>
      </c>
      <c r="B3383" s="54" t="s">
        <v>13792</v>
      </c>
    </row>
    <row r="3384" spans="1:2" x14ac:dyDescent="0.25">
      <c r="A3384" s="53" t="s">
        <v>10792</v>
      </c>
      <c r="B3384" s="53" t="s">
        <v>13793</v>
      </c>
    </row>
    <row r="3385" spans="1:2" x14ac:dyDescent="0.25">
      <c r="A3385" s="54" t="s">
        <v>10793</v>
      </c>
      <c r="B3385" s="54" t="s">
        <v>13794</v>
      </c>
    </row>
    <row r="3386" spans="1:2" x14ac:dyDescent="0.25">
      <c r="A3386" s="53" t="s">
        <v>10794</v>
      </c>
      <c r="B3386" s="53" t="s">
        <v>13795</v>
      </c>
    </row>
    <row r="3387" spans="1:2" x14ac:dyDescent="0.25">
      <c r="A3387" s="54" t="s">
        <v>10795</v>
      </c>
      <c r="B3387" s="54" t="s">
        <v>13796</v>
      </c>
    </row>
    <row r="3388" spans="1:2" x14ac:dyDescent="0.25">
      <c r="A3388" s="53" t="s">
        <v>10796</v>
      </c>
      <c r="B3388" s="53" t="s">
        <v>11459</v>
      </c>
    </row>
    <row r="3389" spans="1:2" x14ac:dyDescent="0.25">
      <c r="A3389" s="54" t="s">
        <v>10797</v>
      </c>
      <c r="B3389" s="54" t="s">
        <v>13797</v>
      </c>
    </row>
    <row r="3390" spans="1:2" x14ac:dyDescent="0.25">
      <c r="A3390" s="53" t="s">
        <v>552</v>
      </c>
      <c r="B3390" s="53" t="s">
        <v>553</v>
      </c>
    </row>
    <row r="3391" spans="1:2" x14ac:dyDescent="0.25">
      <c r="A3391" s="54" t="s">
        <v>554</v>
      </c>
      <c r="B3391" s="54" t="s">
        <v>555</v>
      </c>
    </row>
    <row r="3392" spans="1:2" x14ac:dyDescent="0.25">
      <c r="A3392" s="53" t="s">
        <v>556</v>
      </c>
      <c r="B3392" s="53" t="s">
        <v>557</v>
      </c>
    </row>
    <row r="3393" spans="1:2" x14ac:dyDescent="0.25">
      <c r="A3393" s="54" t="s">
        <v>558</v>
      </c>
      <c r="B3393" s="54" t="s">
        <v>559</v>
      </c>
    </row>
    <row r="3394" spans="1:2" x14ac:dyDescent="0.25">
      <c r="A3394" s="53" t="s">
        <v>560</v>
      </c>
      <c r="B3394" s="53" t="s">
        <v>561</v>
      </c>
    </row>
    <row r="3395" spans="1:2" x14ac:dyDescent="0.25">
      <c r="A3395" s="54" t="s">
        <v>562</v>
      </c>
      <c r="B3395" s="54" t="s">
        <v>563</v>
      </c>
    </row>
    <row r="3396" spans="1:2" x14ac:dyDescent="0.25">
      <c r="A3396" s="53" t="s">
        <v>564</v>
      </c>
      <c r="B3396" s="53" t="s">
        <v>565</v>
      </c>
    </row>
    <row r="3397" spans="1:2" x14ac:dyDescent="0.25">
      <c r="A3397" s="54" t="s">
        <v>566</v>
      </c>
      <c r="B3397" s="54" t="s">
        <v>567</v>
      </c>
    </row>
    <row r="3398" spans="1:2" x14ac:dyDescent="0.25">
      <c r="A3398" s="53" t="s">
        <v>568</v>
      </c>
      <c r="B3398" s="53" t="s">
        <v>569</v>
      </c>
    </row>
    <row r="3399" spans="1:2" x14ac:dyDescent="0.25">
      <c r="A3399" s="54" t="s">
        <v>570</v>
      </c>
      <c r="B3399" s="54" t="s">
        <v>571</v>
      </c>
    </row>
    <row r="3400" spans="1:2" x14ac:dyDescent="0.25">
      <c r="A3400" s="53" t="s">
        <v>572</v>
      </c>
      <c r="B3400" s="53" t="s">
        <v>573</v>
      </c>
    </row>
    <row r="3401" spans="1:2" x14ac:dyDescent="0.25">
      <c r="A3401" s="54" t="s">
        <v>574</v>
      </c>
      <c r="B3401" s="54" t="s">
        <v>575</v>
      </c>
    </row>
    <row r="3402" spans="1:2" x14ac:dyDescent="0.25">
      <c r="A3402" s="53" t="s">
        <v>576</v>
      </c>
      <c r="B3402" s="53" t="s">
        <v>577</v>
      </c>
    </row>
    <row r="3403" spans="1:2" x14ac:dyDescent="0.25">
      <c r="A3403" s="54" t="s">
        <v>578</v>
      </c>
      <c r="B3403" s="54" t="s">
        <v>579</v>
      </c>
    </row>
    <row r="3404" spans="1:2" x14ac:dyDescent="0.25">
      <c r="A3404" s="53" t="s">
        <v>580</v>
      </c>
      <c r="B3404" s="53" t="s">
        <v>581</v>
      </c>
    </row>
    <row r="3405" spans="1:2" x14ac:dyDescent="0.25">
      <c r="A3405" s="54" t="s">
        <v>582</v>
      </c>
      <c r="B3405" s="54" t="s">
        <v>583</v>
      </c>
    </row>
    <row r="3406" spans="1:2" x14ac:dyDescent="0.25">
      <c r="A3406" s="53" t="s">
        <v>584</v>
      </c>
      <c r="B3406" s="53" t="s">
        <v>585</v>
      </c>
    </row>
    <row r="3407" spans="1:2" x14ac:dyDescent="0.25">
      <c r="A3407" s="54" t="s">
        <v>586</v>
      </c>
      <c r="B3407" s="54" t="s">
        <v>587</v>
      </c>
    </row>
    <row r="3408" spans="1:2" x14ac:dyDescent="0.25">
      <c r="A3408" s="53" t="s">
        <v>588</v>
      </c>
      <c r="B3408" s="53" t="s">
        <v>589</v>
      </c>
    </row>
    <row r="3409" spans="1:2" x14ac:dyDescent="0.25">
      <c r="A3409" s="54" t="s">
        <v>590</v>
      </c>
      <c r="B3409" s="54" t="s">
        <v>591</v>
      </c>
    </row>
    <row r="3410" spans="1:2" x14ac:dyDescent="0.25">
      <c r="A3410" s="53" t="s">
        <v>592</v>
      </c>
      <c r="B3410" s="53" t="s">
        <v>593</v>
      </c>
    </row>
    <row r="3411" spans="1:2" x14ac:dyDescent="0.25">
      <c r="A3411" s="54" t="s">
        <v>594</v>
      </c>
      <c r="B3411" s="54" t="s">
        <v>595</v>
      </c>
    </row>
    <row r="3412" spans="1:2" x14ac:dyDescent="0.25">
      <c r="A3412" s="53" t="s">
        <v>596</v>
      </c>
      <c r="B3412" s="53" t="s">
        <v>597</v>
      </c>
    </row>
    <row r="3413" spans="1:2" x14ac:dyDescent="0.25">
      <c r="A3413" s="54" t="s">
        <v>598</v>
      </c>
      <c r="B3413" s="54" t="s">
        <v>599</v>
      </c>
    </row>
    <row r="3414" spans="1:2" x14ac:dyDescent="0.25">
      <c r="A3414" s="53" t="s">
        <v>600</v>
      </c>
      <c r="B3414" s="53" t="s">
        <v>601</v>
      </c>
    </row>
    <row r="3415" spans="1:2" x14ac:dyDescent="0.25">
      <c r="A3415" s="54" t="s">
        <v>602</v>
      </c>
      <c r="B3415" s="54" t="s">
        <v>603</v>
      </c>
    </row>
    <row r="3416" spans="1:2" x14ac:dyDescent="0.25">
      <c r="A3416" s="53" t="s">
        <v>604</v>
      </c>
      <c r="B3416" s="53" t="s">
        <v>605</v>
      </c>
    </row>
    <row r="3417" spans="1:2" x14ac:dyDescent="0.25">
      <c r="A3417" s="54" t="s">
        <v>606</v>
      </c>
      <c r="B3417" s="54" t="s">
        <v>607</v>
      </c>
    </row>
    <row r="3418" spans="1:2" x14ac:dyDescent="0.25">
      <c r="A3418" s="53" t="s">
        <v>608</v>
      </c>
      <c r="B3418" s="53" t="s">
        <v>609</v>
      </c>
    </row>
    <row r="3419" spans="1:2" x14ac:dyDescent="0.25">
      <c r="A3419" s="54" t="s">
        <v>610</v>
      </c>
      <c r="B3419" s="54" t="s">
        <v>611</v>
      </c>
    </row>
    <row r="3420" spans="1:2" x14ac:dyDescent="0.25">
      <c r="A3420" s="53" t="s">
        <v>612</v>
      </c>
      <c r="B3420" s="53" t="s">
        <v>613</v>
      </c>
    </row>
    <row r="3421" spans="1:2" x14ac:dyDescent="0.25">
      <c r="A3421" s="54" t="s">
        <v>614</v>
      </c>
      <c r="B3421" s="54" t="s">
        <v>615</v>
      </c>
    </row>
    <row r="3422" spans="1:2" x14ac:dyDescent="0.25">
      <c r="A3422" s="53" t="s">
        <v>616</v>
      </c>
      <c r="B3422" s="53" t="s">
        <v>617</v>
      </c>
    </row>
    <row r="3423" spans="1:2" x14ac:dyDescent="0.25">
      <c r="A3423" s="54" t="s">
        <v>618</v>
      </c>
      <c r="B3423" s="54" t="s">
        <v>619</v>
      </c>
    </row>
    <row r="3424" spans="1:2" x14ac:dyDescent="0.25">
      <c r="A3424" s="53" t="s">
        <v>620</v>
      </c>
      <c r="B3424" s="53" t="s">
        <v>621</v>
      </c>
    </row>
    <row r="3425" spans="1:2" x14ac:dyDescent="0.25">
      <c r="A3425" s="54" t="s">
        <v>622</v>
      </c>
      <c r="B3425" s="54" t="s">
        <v>623</v>
      </c>
    </row>
    <row r="3426" spans="1:2" x14ac:dyDescent="0.25">
      <c r="A3426" s="53" t="s">
        <v>624</v>
      </c>
      <c r="B3426" s="53" t="s">
        <v>625</v>
      </c>
    </row>
    <row r="3427" spans="1:2" x14ac:dyDescent="0.25">
      <c r="A3427" s="54" t="s">
        <v>626</v>
      </c>
      <c r="B3427" s="54" t="s">
        <v>627</v>
      </c>
    </row>
    <row r="3428" spans="1:2" x14ac:dyDescent="0.25">
      <c r="A3428" s="53" t="s">
        <v>628</v>
      </c>
      <c r="B3428" s="53" t="s">
        <v>629</v>
      </c>
    </row>
    <row r="3429" spans="1:2" x14ac:dyDescent="0.25">
      <c r="A3429" s="54" t="s">
        <v>630</v>
      </c>
      <c r="B3429" s="54" t="s">
        <v>631</v>
      </c>
    </row>
    <row r="3430" spans="1:2" x14ac:dyDescent="0.25">
      <c r="A3430" s="53" t="s">
        <v>632</v>
      </c>
      <c r="B3430" s="53" t="s">
        <v>633</v>
      </c>
    </row>
    <row r="3431" spans="1:2" x14ac:dyDescent="0.25">
      <c r="A3431" s="54" t="s">
        <v>634</v>
      </c>
      <c r="B3431" s="54" t="s">
        <v>635</v>
      </c>
    </row>
    <row r="3432" spans="1:2" x14ac:dyDescent="0.25">
      <c r="A3432" s="53" t="s">
        <v>636</v>
      </c>
      <c r="B3432" s="53" t="s">
        <v>637</v>
      </c>
    </row>
    <row r="3433" spans="1:2" x14ac:dyDescent="0.25">
      <c r="A3433" s="54" t="s">
        <v>638</v>
      </c>
      <c r="B3433" s="54" t="s">
        <v>639</v>
      </c>
    </row>
    <row r="3434" spans="1:2" x14ac:dyDescent="0.25">
      <c r="A3434" s="53" t="s">
        <v>640</v>
      </c>
      <c r="B3434" s="53" t="s">
        <v>641</v>
      </c>
    </row>
    <row r="3435" spans="1:2" x14ac:dyDescent="0.25">
      <c r="A3435" s="54" t="s">
        <v>642</v>
      </c>
      <c r="B3435" s="54" t="s">
        <v>643</v>
      </c>
    </row>
    <row r="3436" spans="1:2" x14ac:dyDescent="0.25">
      <c r="A3436" s="53" t="s">
        <v>644</v>
      </c>
      <c r="B3436" s="53" t="s">
        <v>645</v>
      </c>
    </row>
    <row r="3437" spans="1:2" x14ac:dyDescent="0.25">
      <c r="A3437" s="54" t="s">
        <v>646</v>
      </c>
      <c r="B3437" s="54" t="s">
        <v>647</v>
      </c>
    </row>
    <row r="3438" spans="1:2" x14ac:dyDescent="0.25">
      <c r="A3438" s="53" t="s">
        <v>648</v>
      </c>
      <c r="B3438" s="53" t="s">
        <v>649</v>
      </c>
    </row>
    <row r="3439" spans="1:2" x14ac:dyDescent="0.25">
      <c r="A3439" s="54" t="s">
        <v>650</v>
      </c>
      <c r="B3439" s="54" t="s">
        <v>651</v>
      </c>
    </row>
    <row r="3440" spans="1:2" x14ac:dyDescent="0.25">
      <c r="A3440" s="53" t="s">
        <v>303</v>
      </c>
      <c r="B3440" s="53" t="s">
        <v>304</v>
      </c>
    </row>
    <row r="3441" spans="1:2" x14ac:dyDescent="0.25">
      <c r="A3441" s="54" t="s">
        <v>305</v>
      </c>
      <c r="B3441" s="54" t="s">
        <v>306</v>
      </c>
    </row>
    <row r="3442" spans="1:2" x14ac:dyDescent="0.25">
      <c r="A3442" s="53" t="s">
        <v>307</v>
      </c>
      <c r="B3442" s="53" t="s">
        <v>308</v>
      </c>
    </row>
    <row r="3443" spans="1:2" x14ac:dyDescent="0.25">
      <c r="A3443" s="54" t="s">
        <v>309</v>
      </c>
      <c r="B3443" s="54" t="s">
        <v>310</v>
      </c>
    </row>
    <row r="3444" spans="1:2" x14ac:dyDescent="0.25">
      <c r="A3444" s="53" t="s">
        <v>311</v>
      </c>
      <c r="B3444" s="53" t="s">
        <v>312</v>
      </c>
    </row>
    <row r="3445" spans="1:2" x14ac:dyDescent="0.25">
      <c r="A3445" s="54" t="s">
        <v>313</v>
      </c>
      <c r="B3445" s="54" t="s">
        <v>314</v>
      </c>
    </row>
    <row r="3446" spans="1:2" x14ac:dyDescent="0.25">
      <c r="A3446" s="53" t="s">
        <v>315</v>
      </c>
      <c r="B3446" s="53" t="s">
        <v>316</v>
      </c>
    </row>
    <row r="3447" spans="1:2" x14ac:dyDescent="0.25">
      <c r="A3447" s="54" t="s">
        <v>317</v>
      </c>
      <c r="B3447" s="54" t="s">
        <v>318</v>
      </c>
    </row>
    <row r="3448" spans="1:2" x14ac:dyDescent="0.25">
      <c r="A3448" s="53" t="s">
        <v>319</v>
      </c>
      <c r="B3448" s="53" t="s">
        <v>320</v>
      </c>
    </row>
    <row r="3449" spans="1:2" x14ac:dyDescent="0.25">
      <c r="A3449" s="54" t="s">
        <v>321</v>
      </c>
      <c r="B3449" s="54" t="s">
        <v>322</v>
      </c>
    </row>
    <row r="3450" spans="1:2" x14ac:dyDescent="0.25">
      <c r="A3450" s="53" t="s">
        <v>323</v>
      </c>
      <c r="B3450" s="53" t="s">
        <v>324</v>
      </c>
    </row>
    <row r="3451" spans="1:2" x14ac:dyDescent="0.25">
      <c r="A3451" s="54" t="s">
        <v>325</v>
      </c>
      <c r="B3451" s="54" t="s">
        <v>326</v>
      </c>
    </row>
    <row r="3452" spans="1:2" x14ac:dyDescent="0.25">
      <c r="A3452" s="53" t="s">
        <v>327</v>
      </c>
      <c r="B3452" s="53" t="s">
        <v>328</v>
      </c>
    </row>
    <row r="3453" spans="1:2" x14ac:dyDescent="0.25">
      <c r="A3453" s="54" t="s">
        <v>329</v>
      </c>
      <c r="B3453" s="54" t="s">
        <v>330</v>
      </c>
    </row>
    <row r="3454" spans="1:2" x14ac:dyDescent="0.25">
      <c r="A3454" s="53" t="s">
        <v>331</v>
      </c>
      <c r="B3454" s="53" t="s">
        <v>332</v>
      </c>
    </row>
    <row r="3455" spans="1:2" x14ac:dyDescent="0.25">
      <c r="A3455" s="54" t="s">
        <v>333</v>
      </c>
      <c r="B3455" s="54" t="s">
        <v>334</v>
      </c>
    </row>
    <row r="3456" spans="1:2" x14ac:dyDescent="0.25">
      <c r="A3456" s="53" t="s">
        <v>335</v>
      </c>
      <c r="B3456" s="53" t="s">
        <v>336</v>
      </c>
    </row>
    <row r="3457" spans="1:2" x14ac:dyDescent="0.25">
      <c r="A3457" s="53" t="s">
        <v>762</v>
      </c>
      <c r="B3457" s="53" t="s">
        <v>763</v>
      </c>
    </row>
    <row r="3458" spans="1:2" x14ac:dyDescent="0.25">
      <c r="A3458" s="54" t="s">
        <v>451</v>
      </c>
      <c r="B3458" s="54" t="s">
        <v>452</v>
      </c>
    </row>
    <row r="3459" spans="1:2" x14ac:dyDescent="0.25">
      <c r="A3459" s="53" t="s">
        <v>453</v>
      </c>
      <c r="B3459" s="53" t="s">
        <v>454</v>
      </c>
    </row>
    <row r="3460" spans="1:2" x14ac:dyDescent="0.25">
      <c r="A3460" s="54" t="s">
        <v>455</v>
      </c>
      <c r="B3460" s="54" t="s">
        <v>456</v>
      </c>
    </row>
    <row r="3461" spans="1:2" x14ac:dyDescent="0.25">
      <c r="A3461" s="53" t="s">
        <v>720</v>
      </c>
      <c r="B3461" s="53" t="s">
        <v>721</v>
      </c>
    </row>
    <row r="3462" spans="1:2" x14ac:dyDescent="0.25">
      <c r="A3462" s="54" t="s">
        <v>733</v>
      </c>
      <c r="B3462" s="54" t="s">
        <v>734</v>
      </c>
    </row>
    <row r="3463" spans="1:2" x14ac:dyDescent="0.25">
      <c r="A3463" s="53" t="s">
        <v>735</v>
      </c>
      <c r="B3463" s="53" t="s">
        <v>736</v>
      </c>
    </row>
    <row r="3464" spans="1:2" x14ac:dyDescent="0.25">
      <c r="A3464" s="54" t="s">
        <v>692</v>
      </c>
      <c r="B3464" s="54" t="s">
        <v>21</v>
      </c>
    </row>
    <row r="3465" spans="1:2" x14ac:dyDescent="0.25">
      <c r="A3465" s="53" t="s">
        <v>751</v>
      </c>
      <c r="B3465" s="53" t="s">
        <v>752</v>
      </c>
    </row>
    <row r="3466" spans="1:2" x14ac:dyDescent="0.25">
      <c r="A3466" s="54" t="s">
        <v>427</v>
      </c>
      <c r="B3466" s="54" t="s">
        <v>428</v>
      </c>
    </row>
    <row r="3467" spans="1:2" x14ac:dyDescent="0.25">
      <c r="A3467" s="53" t="s">
        <v>429</v>
      </c>
      <c r="B3467" s="53" t="s">
        <v>430</v>
      </c>
    </row>
    <row r="3468" spans="1:2" x14ac:dyDescent="0.25">
      <c r="A3468" s="54" t="s">
        <v>431</v>
      </c>
      <c r="B3468" s="54" t="s">
        <v>432</v>
      </c>
    </row>
    <row r="3469" spans="1:2" x14ac:dyDescent="0.25">
      <c r="A3469" s="53" t="s">
        <v>433</v>
      </c>
      <c r="B3469" s="53" t="s">
        <v>434</v>
      </c>
    </row>
    <row r="3470" spans="1:2" x14ac:dyDescent="0.25">
      <c r="A3470" s="54" t="s">
        <v>435</v>
      </c>
      <c r="B3470" s="54" t="s">
        <v>436</v>
      </c>
    </row>
    <row r="3471" spans="1:2" x14ac:dyDescent="0.25">
      <c r="A3471" s="53" t="s">
        <v>437</v>
      </c>
      <c r="B3471" s="53" t="s">
        <v>438</v>
      </c>
    </row>
    <row r="3472" spans="1:2" x14ac:dyDescent="0.25">
      <c r="A3472" s="54" t="s">
        <v>439</v>
      </c>
      <c r="B3472" s="54" t="s">
        <v>440</v>
      </c>
    </row>
    <row r="3473" spans="1:2" x14ac:dyDescent="0.25">
      <c r="A3473" s="53" t="s">
        <v>441</v>
      </c>
      <c r="B3473" s="53" t="s">
        <v>442</v>
      </c>
    </row>
    <row r="3474" spans="1:2" x14ac:dyDescent="0.25">
      <c r="A3474" s="54" t="s">
        <v>443</v>
      </c>
      <c r="B3474" s="54" t="s">
        <v>444</v>
      </c>
    </row>
    <row r="3475" spans="1:2" x14ac:dyDescent="0.25">
      <c r="A3475" s="53" t="s">
        <v>445</v>
      </c>
      <c r="B3475" s="53" t="s">
        <v>446</v>
      </c>
    </row>
    <row r="3476" spans="1:2" x14ac:dyDescent="0.25">
      <c r="A3476" s="54" t="s">
        <v>447</v>
      </c>
      <c r="B3476" s="54" t="s">
        <v>448</v>
      </c>
    </row>
    <row r="3477" spans="1:2" x14ac:dyDescent="0.25">
      <c r="A3477" s="53" t="s">
        <v>449</v>
      </c>
      <c r="B3477" s="53" t="s">
        <v>450</v>
      </c>
    </row>
    <row r="3478" spans="1:2" x14ac:dyDescent="0.25">
      <c r="A3478" s="54" t="s">
        <v>339</v>
      </c>
      <c r="B3478" s="54" t="s">
        <v>340</v>
      </c>
    </row>
    <row r="3479" spans="1:2" x14ac:dyDescent="0.25">
      <c r="A3479" s="53" t="s">
        <v>341</v>
      </c>
      <c r="B3479" s="53" t="s">
        <v>342</v>
      </c>
    </row>
    <row r="3480" spans="1:2" x14ac:dyDescent="0.25">
      <c r="A3480" s="54" t="s">
        <v>343</v>
      </c>
      <c r="B3480" s="54" t="s">
        <v>344</v>
      </c>
    </row>
    <row r="3481" spans="1:2" x14ac:dyDescent="0.25">
      <c r="A3481" s="53" t="s">
        <v>345</v>
      </c>
      <c r="B3481" s="53" t="s">
        <v>346</v>
      </c>
    </row>
    <row r="3482" spans="1:2" x14ac:dyDescent="0.25">
      <c r="A3482" s="54" t="s">
        <v>347</v>
      </c>
      <c r="B3482" s="54" t="s">
        <v>348</v>
      </c>
    </row>
    <row r="3483" spans="1:2" x14ac:dyDescent="0.25">
      <c r="A3483" s="53" t="s">
        <v>349</v>
      </c>
      <c r="B3483" s="53" t="s">
        <v>350</v>
      </c>
    </row>
    <row r="3484" spans="1:2" x14ac:dyDescent="0.25">
      <c r="A3484" s="54" t="s">
        <v>351</v>
      </c>
      <c r="B3484" s="54" t="s">
        <v>352</v>
      </c>
    </row>
    <row r="3485" spans="1:2" x14ac:dyDescent="0.25">
      <c r="A3485" s="53" t="s">
        <v>353</v>
      </c>
      <c r="B3485" s="53" t="s">
        <v>354</v>
      </c>
    </row>
    <row r="3486" spans="1:2" x14ac:dyDescent="0.25">
      <c r="A3486" s="54" t="s">
        <v>355</v>
      </c>
      <c r="B3486" s="54" t="s">
        <v>356</v>
      </c>
    </row>
    <row r="3487" spans="1:2" x14ac:dyDescent="0.25">
      <c r="A3487" s="53" t="s">
        <v>357</v>
      </c>
      <c r="B3487" s="53" t="s">
        <v>358</v>
      </c>
    </row>
    <row r="3488" spans="1:2" x14ac:dyDescent="0.25">
      <c r="A3488" s="54" t="s">
        <v>359</v>
      </c>
      <c r="B3488" s="54" t="s">
        <v>360</v>
      </c>
    </row>
    <row r="3489" spans="1:2" x14ac:dyDescent="0.25">
      <c r="A3489" s="53" t="s">
        <v>361</v>
      </c>
      <c r="B3489" s="53" t="s">
        <v>362</v>
      </c>
    </row>
    <row r="3490" spans="1:2" x14ac:dyDescent="0.25">
      <c r="A3490" s="54" t="s">
        <v>363</v>
      </c>
      <c r="B3490" s="54" t="s">
        <v>364</v>
      </c>
    </row>
    <row r="3491" spans="1:2" x14ac:dyDescent="0.25">
      <c r="A3491" s="53" t="s">
        <v>365</v>
      </c>
      <c r="B3491" s="53" t="s">
        <v>366</v>
      </c>
    </row>
    <row r="3492" spans="1:2" x14ac:dyDescent="0.25">
      <c r="A3492" s="54" t="s">
        <v>367</v>
      </c>
      <c r="B3492" s="54" t="s">
        <v>368</v>
      </c>
    </row>
    <row r="3493" spans="1:2" x14ac:dyDescent="0.25">
      <c r="A3493" s="53" t="s">
        <v>369</v>
      </c>
      <c r="B3493" s="53" t="s">
        <v>370</v>
      </c>
    </row>
    <row r="3494" spans="1:2" x14ac:dyDescent="0.25">
      <c r="A3494" s="54" t="s">
        <v>371</v>
      </c>
      <c r="B3494" s="54" t="s">
        <v>372</v>
      </c>
    </row>
    <row r="3495" spans="1:2" x14ac:dyDescent="0.25">
      <c r="A3495" s="53" t="s">
        <v>373</v>
      </c>
      <c r="B3495" s="53" t="s">
        <v>374</v>
      </c>
    </row>
    <row r="3496" spans="1:2" x14ac:dyDescent="0.25">
      <c r="A3496" s="54" t="s">
        <v>375</v>
      </c>
      <c r="B3496" s="54" t="s">
        <v>376</v>
      </c>
    </row>
    <row r="3497" spans="1:2" x14ac:dyDescent="0.25">
      <c r="A3497" s="53" t="s">
        <v>377</v>
      </c>
      <c r="B3497" s="53" t="s">
        <v>378</v>
      </c>
    </row>
    <row r="3498" spans="1:2" x14ac:dyDescent="0.25">
      <c r="A3498" s="54" t="s">
        <v>379</v>
      </c>
      <c r="B3498" s="54" t="s">
        <v>380</v>
      </c>
    </row>
    <row r="3499" spans="1:2" x14ac:dyDescent="0.25">
      <c r="A3499" s="53" t="s">
        <v>381</v>
      </c>
      <c r="B3499" s="53" t="s">
        <v>382</v>
      </c>
    </row>
    <row r="3500" spans="1:2" x14ac:dyDescent="0.25">
      <c r="A3500" s="54" t="s">
        <v>383</v>
      </c>
      <c r="B3500" s="54" t="s">
        <v>384</v>
      </c>
    </row>
    <row r="3501" spans="1:2" x14ac:dyDescent="0.25">
      <c r="A3501" s="53" t="s">
        <v>385</v>
      </c>
      <c r="B3501" s="53" t="s">
        <v>386</v>
      </c>
    </row>
    <row r="3502" spans="1:2" x14ac:dyDescent="0.25">
      <c r="A3502" s="54" t="s">
        <v>387</v>
      </c>
      <c r="B3502" s="54" t="s">
        <v>388</v>
      </c>
    </row>
    <row r="3503" spans="1:2" x14ac:dyDescent="0.25">
      <c r="A3503" s="53" t="s">
        <v>389</v>
      </c>
      <c r="B3503" s="53" t="s">
        <v>390</v>
      </c>
    </row>
    <row r="3504" spans="1:2" x14ac:dyDescent="0.25">
      <c r="A3504" s="54" t="s">
        <v>391</v>
      </c>
      <c r="B3504" s="54" t="s">
        <v>392</v>
      </c>
    </row>
    <row r="3505" spans="1:2" x14ac:dyDescent="0.25">
      <c r="A3505" s="53" t="s">
        <v>393</v>
      </c>
      <c r="B3505" s="53" t="s">
        <v>394</v>
      </c>
    </row>
    <row r="3506" spans="1:2" x14ac:dyDescent="0.25">
      <c r="A3506" s="54" t="s">
        <v>397</v>
      </c>
      <c r="B3506" s="54" t="s">
        <v>398</v>
      </c>
    </row>
    <row r="3507" spans="1:2" x14ac:dyDescent="0.25">
      <c r="A3507" s="53" t="s">
        <v>399</v>
      </c>
      <c r="B3507" s="53" t="s">
        <v>400</v>
      </c>
    </row>
    <row r="3508" spans="1:2" x14ac:dyDescent="0.25">
      <c r="A3508" s="54" t="s">
        <v>401</v>
      </c>
      <c r="B3508" s="54" t="s">
        <v>402</v>
      </c>
    </row>
    <row r="3509" spans="1:2" x14ac:dyDescent="0.25">
      <c r="A3509" s="53" t="s">
        <v>403</v>
      </c>
      <c r="B3509" s="53" t="s">
        <v>404</v>
      </c>
    </row>
    <row r="3510" spans="1:2" x14ac:dyDescent="0.25">
      <c r="A3510" s="54" t="s">
        <v>405</v>
      </c>
      <c r="B3510" s="54" t="s">
        <v>406</v>
      </c>
    </row>
    <row r="3511" spans="1:2" x14ac:dyDescent="0.25">
      <c r="A3511" s="53" t="s">
        <v>407</v>
      </c>
      <c r="B3511" s="53" t="s">
        <v>408</v>
      </c>
    </row>
    <row r="3512" spans="1:2" x14ac:dyDescent="0.25">
      <c r="A3512" s="54" t="s">
        <v>337</v>
      </c>
      <c r="B3512" s="54" t="s">
        <v>338</v>
      </c>
    </row>
    <row r="3513" spans="1:2" x14ac:dyDescent="0.25">
      <c r="A3513" s="53" t="s">
        <v>727</v>
      </c>
      <c r="B3513" s="53" t="s">
        <v>728</v>
      </c>
    </row>
    <row r="3514" spans="1:2" x14ac:dyDescent="0.25">
      <c r="A3514" s="54" t="s">
        <v>662</v>
      </c>
      <c r="B3514" s="54" t="s">
        <v>663</v>
      </c>
    </row>
    <row r="3515" spans="1:2" x14ac:dyDescent="0.25">
      <c r="A3515" s="53" t="s">
        <v>664</v>
      </c>
      <c r="B3515" s="53" t="s">
        <v>665</v>
      </c>
    </row>
    <row r="3516" spans="1:2" x14ac:dyDescent="0.25">
      <c r="A3516" s="54" t="s">
        <v>666</v>
      </c>
      <c r="B3516" s="54" t="s">
        <v>667</v>
      </c>
    </row>
    <row r="3517" spans="1:2" x14ac:dyDescent="0.25">
      <c r="A3517" s="53" t="s">
        <v>668</v>
      </c>
      <c r="B3517" s="53" t="s">
        <v>669</v>
      </c>
    </row>
    <row r="3518" spans="1:2" x14ac:dyDescent="0.25">
      <c r="A3518" s="54" t="s">
        <v>670</v>
      </c>
      <c r="B3518" s="54" t="s">
        <v>671</v>
      </c>
    </row>
    <row r="3519" spans="1:2" x14ac:dyDescent="0.25">
      <c r="A3519" s="53" t="s">
        <v>672</v>
      </c>
      <c r="B3519" s="53" t="s">
        <v>673</v>
      </c>
    </row>
    <row r="3520" spans="1:2" x14ac:dyDescent="0.25">
      <c r="A3520" s="54" t="s">
        <v>674</v>
      </c>
      <c r="B3520" s="54" t="s">
        <v>675</v>
      </c>
    </row>
    <row r="3521" spans="1:2" x14ac:dyDescent="0.25">
      <c r="A3521" s="53" t="s">
        <v>676</v>
      </c>
      <c r="B3521" s="53" t="s">
        <v>677</v>
      </c>
    </row>
    <row r="3522" spans="1:2" x14ac:dyDescent="0.25">
      <c r="A3522" s="54" t="s">
        <v>678</v>
      </c>
      <c r="B3522" s="54" t="s">
        <v>679</v>
      </c>
    </row>
    <row r="3523" spans="1:2" x14ac:dyDescent="0.25">
      <c r="A3523" s="53" t="s">
        <v>680</v>
      </c>
      <c r="B3523" s="53" t="s">
        <v>681</v>
      </c>
    </row>
    <row r="3524" spans="1:2" x14ac:dyDescent="0.25">
      <c r="A3524" s="53" t="s">
        <v>741</v>
      </c>
      <c r="B3524" s="53" t="s">
        <v>742</v>
      </c>
    </row>
    <row r="3525" spans="1:2" x14ac:dyDescent="0.25">
      <c r="A3525" s="53" t="s">
        <v>690</v>
      </c>
      <c r="B3525" s="53" t="s">
        <v>691</v>
      </c>
    </row>
    <row r="3526" spans="1:2" x14ac:dyDescent="0.25">
      <c r="A3526" s="54" t="s">
        <v>62</v>
      </c>
      <c r="B3526" s="54" t="s">
        <v>63</v>
      </c>
    </row>
    <row r="3527" spans="1:2" x14ac:dyDescent="0.25">
      <c r="A3527" s="53" t="s">
        <v>64</v>
      </c>
      <c r="B3527" s="53" t="s">
        <v>65</v>
      </c>
    </row>
    <row r="3528" spans="1:2" x14ac:dyDescent="0.25">
      <c r="A3528" s="54" t="s">
        <v>66</v>
      </c>
      <c r="B3528" s="54" t="s">
        <v>67</v>
      </c>
    </row>
    <row r="3529" spans="1:2" x14ac:dyDescent="0.25">
      <c r="A3529" s="53" t="s">
        <v>68</v>
      </c>
      <c r="B3529" s="53" t="s">
        <v>69</v>
      </c>
    </row>
    <row r="3530" spans="1:2" x14ac:dyDescent="0.25">
      <c r="A3530" s="54" t="s">
        <v>70</v>
      </c>
      <c r="B3530" s="54" t="s">
        <v>71</v>
      </c>
    </row>
    <row r="3531" spans="1:2" x14ac:dyDescent="0.25">
      <c r="A3531" s="53" t="s">
        <v>722</v>
      </c>
      <c r="B3531" s="53" t="s">
        <v>723</v>
      </c>
    </row>
    <row r="3532" spans="1:2" x14ac:dyDescent="0.25">
      <c r="A3532" s="54" t="s">
        <v>724</v>
      </c>
      <c r="B3532" s="54" t="s">
        <v>725</v>
      </c>
    </row>
    <row r="3533" spans="1:2" x14ac:dyDescent="0.25">
      <c r="A3533" s="53" t="s">
        <v>72</v>
      </c>
      <c r="B3533" s="53" t="s">
        <v>73</v>
      </c>
    </row>
    <row r="3534" spans="1:2" x14ac:dyDescent="0.25">
      <c r="A3534" s="54" t="s">
        <v>682</v>
      </c>
      <c r="B3534" s="54" t="s">
        <v>683</v>
      </c>
    </row>
    <row r="3535" spans="1:2" x14ac:dyDescent="0.25">
      <c r="A3535" s="53" t="s">
        <v>74</v>
      </c>
      <c r="B3535" s="53" t="s">
        <v>75</v>
      </c>
    </row>
    <row r="3536" spans="1:2" x14ac:dyDescent="0.25">
      <c r="A3536" s="54" t="s">
        <v>76</v>
      </c>
      <c r="B3536" s="54" t="s">
        <v>77</v>
      </c>
    </row>
    <row r="3537" spans="1:2" x14ac:dyDescent="0.25">
      <c r="A3537" s="53" t="s">
        <v>78</v>
      </c>
      <c r="B3537" s="53" t="s">
        <v>79</v>
      </c>
    </row>
    <row r="3538" spans="1:2" x14ac:dyDescent="0.25">
      <c r="A3538" s="54" t="s">
        <v>80</v>
      </c>
      <c r="B3538" s="54" t="s">
        <v>81</v>
      </c>
    </row>
    <row r="3539" spans="1:2" x14ac:dyDescent="0.25">
      <c r="A3539" s="53" t="s">
        <v>82</v>
      </c>
      <c r="B3539" s="53" t="s">
        <v>83</v>
      </c>
    </row>
    <row r="3540" spans="1:2" x14ac:dyDescent="0.25">
      <c r="A3540" s="54" t="s">
        <v>84</v>
      </c>
      <c r="B3540" s="54" t="s">
        <v>85</v>
      </c>
    </row>
    <row r="3541" spans="1:2" x14ac:dyDescent="0.25">
      <c r="A3541" s="53" t="s">
        <v>86</v>
      </c>
      <c r="B3541" s="53" t="s">
        <v>87</v>
      </c>
    </row>
    <row r="3542" spans="1:2" x14ac:dyDescent="0.25">
      <c r="A3542" s="54" t="s">
        <v>88</v>
      </c>
      <c r="B3542" s="54" t="s">
        <v>89</v>
      </c>
    </row>
    <row r="3543" spans="1:2" x14ac:dyDescent="0.25">
      <c r="A3543" s="53" t="s">
        <v>90</v>
      </c>
      <c r="B3543" s="53" t="s">
        <v>91</v>
      </c>
    </row>
    <row r="3544" spans="1:2" x14ac:dyDescent="0.25">
      <c r="A3544" s="54" t="s">
        <v>92</v>
      </c>
      <c r="B3544" s="54" t="s">
        <v>93</v>
      </c>
    </row>
    <row r="3545" spans="1:2" x14ac:dyDescent="0.25">
      <c r="A3545" s="53" t="s">
        <v>94</v>
      </c>
      <c r="B3545" s="53" t="s">
        <v>95</v>
      </c>
    </row>
    <row r="3546" spans="1:2" x14ac:dyDescent="0.25">
      <c r="A3546" s="54" t="s">
        <v>96</v>
      </c>
      <c r="B3546" s="54" t="s">
        <v>97</v>
      </c>
    </row>
    <row r="3547" spans="1:2" x14ac:dyDescent="0.25">
      <c r="A3547" s="53" t="s">
        <v>98</v>
      </c>
      <c r="B3547" s="53" t="s">
        <v>99</v>
      </c>
    </row>
    <row r="3548" spans="1:2" x14ac:dyDescent="0.25">
      <c r="A3548" s="54" t="s">
        <v>100</v>
      </c>
      <c r="B3548" s="54" t="s">
        <v>101</v>
      </c>
    </row>
    <row r="3549" spans="1:2" x14ac:dyDescent="0.25">
      <c r="A3549" s="53" t="s">
        <v>102</v>
      </c>
      <c r="B3549" s="53" t="s">
        <v>103</v>
      </c>
    </row>
    <row r="3550" spans="1:2" x14ac:dyDescent="0.25">
      <c r="A3550" s="54" t="s">
        <v>104</v>
      </c>
      <c r="B3550" s="54" t="s">
        <v>105</v>
      </c>
    </row>
    <row r="3551" spans="1:2" x14ac:dyDescent="0.25">
      <c r="A3551" s="53" t="s">
        <v>106</v>
      </c>
      <c r="B3551" s="53" t="s">
        <v>107</v>
      </c>
    </row>
    <row r="3552" spans="1:2" x14ac:dyDescent="0.25">
      <c r="A3552" s="54" t="s">
        <v>108</v>
      </c>
      <c r="B3552" s="54" t="s">
        <v>109</v>
      </c>
    </row>
    <row r="3553" spans="1:2" x14ac:dyDescent="0.25">
      <c r="A3553" s="53" t="s">
        <v>110</v>
      </c>
      <c r="B3553" s="53" t="s">
        <v>111</v>
      </c>
    </row>
    <row r="3554" spans="1:2" x14ac:dyDescent="0.25">
      <c r="A3554" s="54" t="s">
        <v>112</v>
      </c>
      <c r="B3554" s="54" t="s">
        <v>113</v>
      </c>
    </row>
    <row r="3555" spans="1:2" x14ac:dyDescent="0.25">
      <c r="A3555" s="53" t="s">
        <v>114</v>
      </c>
      <c r="B3555" s="53" t="s">
        <v>115</v>
      </c>
    </row>
    <row r="3556" spans="1:2" x14ac:dyDescent="0.25">
      <c r="A3556" s="54" t="s">
        <v>116</v>
      </c>
      <c r="B3556" s="54" t="s">
        <v>117</v>
      </c>
    </row>
    <row r="3557" spans="1:2" x14ac:dyDescent="0.25">
      <c r="A3557" s="53" t="s">
        <v>118</v>
      </c>
      <c r="B3557" s="53" t="s">
        <v>119</v>
      </c>
    </row>
    <row r="3558" spans="1:2" x14ac:dyDescent="0.25">
      <c r="A3558" s="54" t="s">
        <v>120</v>
      </c>
      <c r="B3558" s="54" t="s">
        <v>121</v>
      </c>
    </row>
    <row r="3559" spans="1:2" x14ac:dyDescent="0.25">
      <c r="A3559" s="53" t="s">
        <v>122</v>
      </c>
      <c r="B3559" s="53" t="s">
        <v>123</v>
      </c>
    </row>
    <row r="3560" spans="1:2" x14ac:dyDescent="0.25">
      <c r="A3560" s="54" t="s">
        <v>124</v>
      </c>
      <c r="B3560" s="54" t="s">
        <v>125</v>
      </c>
    </row>
    <row r="3561" spans="1:2" x14ac:dyDescent="0.25">
      <c r="A3561" s="53" t="s">
        <v>126</v>
      </c>
      <c r="B3561" s="53" t="s">
        <v>127</v>
      </c>
    </row>
    <row r="3562" spans="1:2" x14ac:dyDescent="0.25">
      <c r="A3562" s="54" t="s">
        <v>128</v>
      </c>
      <c r="B3562" s="54" t="s">
        <v>129</v>
      </c>
    </row>
    <row r="3563" spans="1:2" x14ac:dyDescent="0.25">
      <c r="A3563" s="53" t="s">
        <v>130</v>
      </c>
      <c r="B3563" s="53" t="s">
        <v>131</v>
      </c>
    </row>
    <row r="3564" spans="1:2" x14ac:dyDescent="0.25">
      <c r="A3564" s="54" t="s">
        <v>132</v>
      </c>
      <c r="B3564" s="54" t="s">
        <v>133</v>
      </c>
    </row>
    <row r="3565" spans="1:2" x14ac:dyDescent="0.25">
      <c r="A3565" s="53" t="s">
        <v>134</v>
      </c>
      <c r="B3565" s="53" t="s">
        <v>135</v>
      </c>
    </row>
    <row r="3566" spans="1:2" x14ac:dyDescent="0.25">
      <c r="A3566" s="54" t="s">
        <v>136</v>
      </c>
      <c r="B3566" s="54" t="s">
        <v>137</v>
      </c>
    </row>
    <row r="3567" spans="1:2" x14ac:dyDescent="0.25">
      <c r="A3567" s="53" t="s">
        <v>138</v>
      </c>
      <c r="B3567" s="53" t="s">
        <v>139</v>
      </c>
    </row>
    <row r="3568" spans="1:2" x14ac:dyDescent="0.25">
      <c r="A3568" s="54" t="s">
        <v>140</v>
      </c>
      <c r="B3568" s="54" t="s">
        <v>141</v>
      </c>
    </row>
    <row r="3569" spans="1:2" x14ac:dyDescent="0.25">
      <c r="A3569" s="53" t="s">
        <v>142</v>
      </c>
      <c r="B3569" s="53" t="s">
        <v>143</v>
      </c>
    </row>
    <row r="3570" spans="1:2" x14ac:dyDescent="0.25">
      <c r="A3570" s="54" t="s">
        <v>144</v>
      </c>
      <c r="B3570" s="54" t="s">
        <v>145</v>
      </c>
    </row>
    <row r="3571" spans="1:2" x14ac:dyDescent="0.25">
      <c r="A3571" s="53" t="s">
        <v>146</v>
      </c>
      <c r="B3571" s="53" t="s">
        <v>147</v>
      </c>
    </row>
    <row r="3572" spans="1:2" x14ac:dyDescent="0.25">
      <c r="A3572" s="54" t="s">
        <v>148</v>
      </c>
      <c r="B3572" s="54" t="s">
        <v>149</v>
      </c>
    </row>
    <row r="3573" spans="1:2" x14ac:dyDescent="0.25">
      <c r="A3573" s="53" t="s">
        <v>150</v>
      </c>
      <c r="B3573" s="53" t="s">
        <v>151</v>
      </c>
    </row>
    <row r="3574" spans="1:2" x14ac:dyDescent="0.25">
      <c r="A3574" s="54" t="s">
        <v>152</v>
      </c>
      <c r="B3574" s="54" t="s">
        <v>153</v>
      </c>
    </row>
    <row r="3575" spans="1:2" x14ac:dyDescent="0.25">
      <c r="A3575" s="53" t="s">
        <v>154</v>
      </c>
      <c r="B3575" s="53" t="s">
        <v>155</v>
      </c>
    </row>
    <row r="3576" spans="1:2" x14ac:dyDescent="0.25">
      <c r="A3576" s="54" t="s">
        <v>156</v>
      </c>
      <c r="B3576" s="54" t="s">
        <v>157</v>
      </c>
    </row>
    <row r="3577" spans="1:2" x14ac:dyDescent="0.25">
      <c r="A3577" s="53" t="s">
        <v>158</v>
      </c>
      <c r="B3577" s="53" t="s">
        <v>159</v>
      </c>
    </row>
    <row r="3578" spans="1:2" x14ac:dyDescent="0.25">
      <c r="A3578" s="54" t="s">
        <v>160</v>
      </c>
      <c r="B3578" s="54" t="s">
        <v>161</v>
      </c>
    </row>
    <row r="3579" spans="1:2" x14ac:dyDescent="0.25">
      <c r="A3579" s="53" t="s">
        <v>162</v>
      </c>
      <c r="B3579" s="53" t="s">
        <v>163</v>
      </c>
    </row>
    <row r="3580" spans="1:2" x14ac:dyDescent="0.25">
      <c r="A3580" s="54" t="s">
        <v>164</v>
      </c>
      <c r="B3580" s="54" t="s">
        <v>165</v>
      </c>
    </row>
    <row r="3581" spans="1:2" x14ac:dyDescent="0.25">
      <c r="A3581" s="53" t="s">
        <v>166</v>
      </c>
      <c r="B3581" s="53" t="s">
        <v>167</v>
      </c>
    </row>
    <row r="3582" spans="1:2" x14ac:dyDescent="0.25">
      <c r="A3582" s="54" t="s">
        <v>168</v>
      </c>
      <c r="B3582" s="54" t="s">
        <v>169</v>
      </c>
    </row>
    <row r="3583" spans="1:2" x14ac:dyDescent="0.25">
      <c r="A3583" s="53" t="s">
        <v>170</v>
      </c>
      <c r="B3583" s="53" t="s">
        <v>171</v>
      </c>
    </row>
    <row r="3584" spans="1:2" x14ac:dyDescent="0.25">
      <c r="A3584" s="54" t="s">
        <v>172</v>
      </c>
      <c r="B3584" s="54" t="s">
        <v>173</v>
      </c>
    </row>
    <row r="3585" spans="1:2" x14ac:dyDescent="0.25">
      <c r="A3585" s="53" t="s">
        <v>174</v>
      </c>
      <c r="B3585" s="53" t="s">
        <v>175</v>
      </c>
    </row>
    <row r="3586" spans="1:2" x14ac:dyDescent="0.25">
      <c r="A3586" s="54" t="s">
        <v>176</v>
      </c>
      <c r="B3586" s="54" t="s">
        <v>177</v>
      </c>
    </row>
    <row r="3587" spans="1:2" x14ac:dyDescent="0.25">
      <c r="A3587" s="53" t="s">
        <v>178</v>
      </c>
      <c r="B3587" s="53" t="s">
        <v>179</v>
      </c>
    </row>
    <row r="3588" spans="1:2" x14ac:dyDescent="0.25">
      <c r="A3588" s="54" t="s">
        <v>180</v>
      </c>
      <c r="B3588" s="54" t="s">
        <v>181</v>
      </c>
    </row>
    <row r="3589" spans="1:2" x14ac:dyDescent="0.25">
      <c r="A3589" s="53" t="s">
        <v>182</v>
      </c>
      <c r="B3589" s="53" t="s">
        <v>183</v>
      </c>
    </row>
    <row r="3590" spans="1:2" x14ac:dyDescent="0.25">
      <c r="A3590" s="54" t="s">
        <v>184</v>
      </c>
      <c r="B3590" s="54" t="s">
        <v>185</v>
      </c>
    </row>
    <row r="3591" spans="1:2" x14ac:dyDescent="0.25">
      <c r="A3591" s="53" t="s">
        <v>186</v>
      </c>
      <c r="B3591" s="53" t="s">
        <v>187</v>
      </c>
    </row>
    <row r="3592" spans="1:2" x14ac:dyDescent="0.25">
      <c r="A3592" s="54" t="s">
        <v>188</v>
      </c>
      <c r="B3592" s="54" t="s">
        <v>189</v>
      </c>
    </row>
    <row r="3593" spans="1:2" x14ac:dyDescent="0.25">
      <c r="A3593" s="53" t="s">
        <v>190</v>
      </c>
      <c r="B3593" s="53" t="s">
        <v>191</v>
      </c>
    </row>
    <row r="3594" spans="1:2" x14ac:dyDescent="0.25">
      <c r="A3594" s="54" t="s">
        <v>192</v>
      </c>
      <c r="B3594" s="54" t="s">
        <v>193</v>
      </c>
    </row>
    <row r="3595" spans="1:2" x14ac:dyDescent="0.25">
      <c r="A3595" s="53" t="s">
        <v>194</v>
      </c>
      <c r="B3595" s="53" t="s">
        <v>195</v>
      </c>
    </row>
    <row r="3596" spans="1:2" x14ac:dyDescent="0.25">
      <c r="A3596" s="54" t="s">
        <v>196</v>
      </c>
      <c r="B3596" s="54" t="s">
        <v>197</v>
      </c>
    </row>
    <row r="3597" spans="1:2" x14ac:dyDescent="0.25">
      <c r="A3597" s="53" t="s">
        <v>198</v>
      </c>
      <c r="B3597" s="53" t="s">
        <v>199</v>
      </c>
    </row>
    <row r="3598" spans="1:2" x14ac:dyDescent="0.25">
      <c r="A3598" s="54" t="s">
        <v>200</v>
      </c>
      <c r="B3598" s="54" t="s">
        <v>201</v>
      </c>
    </row>
    <row r="3599" spans="1:2" x14ac:dyDescent="0.25">
      <c r="A3599" s="53" t="s">
        <v>202</v>
      </c>
      <c r="B3599" s="53" t="s">
        <v>203</v>
      </c>
    </row>
    <row r="3600" spans="1:2" x14ac:dyDescent="0.25">
      <c r="A3600" s="54" t="s">
        <v>204</v>
      </c>
      <c r="B3600" s="54" t="s">
        <v>205</v>
      </c>
    </row>
    <row r="3601" spans="1:2" x14ac:dyDescent="0.25">
      <c r="A3601" s="53" t="s">
        <v>206</v>
      </c>
      <c r="B3601" s="53" t="s">
        <v>207</v>
      </c>
    </row>
    <row r="3602" spans="1:2" x14ac:dyDescent="0.25">
      <c r="A3602" s="54" t="s">
        <v>208</v>
      </c>
      <c r="B3602" s="54" t="s">
        <v>209</v>
      </c>
    </row>
    <row r="3603" spans="1:2" x14ac:dyDescent="0.25">
      <c r="A3603" s="53" t="s">
        <v>210</v>
      </c>
      <c r="B3603" s="53" t="s">
        <v>211</v>
      </c>
    </row>
    <row r="3604" spans="1:2" x14ac:dyDescent="0.25">
      <c r="A3604" s="54" t="s">
        <v>212</v>
      </c>
      <c r="B3604" s="54" t="s">
        <v>213</v>
      </c>
    </row>
    <row r="3605" spans="1:2" x14ac:dyDescent="0.25">
      <c r="A3605" s="53" t="s">
        <v>214</v>
      </c>
      <c r="B3605" s="53" t="s">
        <v>215</v>
      </c>
    </row>
    <row r="3606" spans="1:2" x14ac:dyDescent="0.25">
      <c r="A3606" s="54" t="s">
        <v>216</v>
      </c>
      <c r="B3606" s="54" t="s">
        <v>217</v>
      </c>
    </row>
    <row r="3607" spans="1:2" x14ac:dyDescent="0.25">
      <c r="A3607" s="53" t="s">
        <v>218</v>
      </c>
      <c r="B3607" s="53" t="s">
        <v>219</v>
      </c>
    </row>
    <row r="3608" spans="1:2" x14ac:dyDescent="0.25">
      <c r="A3608" s="54" t="s">
        <v>220</v>
      </c>
      <c r="B3608" s="54" t="s">
        <v>221</v>
      </c>
    </row>
    <row r="3609" spans="1:2" x14ac:dyDescent="0.25">
      <c r="A3609" s="53" t="s">
        <v>222</v>
      </c>
      <c r="B3609" s="53" t="s">
        <v>223</v>
      </c>
    </row>
    <row r="3610" spans="1:2" x14ac:dyDescent="0.25">
      <c r="A3610" s="54" t="s">
        <v>224</v>
      </c>
      <c r="B3610" s="54" t="s">
        <v>225</v>
      </c>
    </row>
    <row r="3611" spans="1:2" x14ac:dyDescent="0.25">
      <c r="A3611" s="53" t="s">
        <v>226</v>
      </c>
      <c r="B3611" s="53" t="s">
        <v>227</v>
      </c>
    </row>
    <row r="3612" spans="1:2" x14ac:dyDescent="0.25">
      <c r="A3612" s="54" t="s">
        <v>228</v>
      </c>
      <c r="B3612" s="54" t="s">
        <v>229</v>
      </c>
    </row>
    <row r="3613" spans="1:2" x14ac:dyDescent="0.25">
      <c r="A3613" s="53" t="s">
        <v>230</v>
      </c>
      <c r="B3613" s="53" t="s">
        <v>231</v>
      </c>
    </row>
    <row r="3614" spans="1:2" x14ac:dyDescent="0.25">
      <c r="A3614" s="54" t="s">
        <v>232</v>
      </c>
      <c r="B3614" s="54" t="s">
        <v>233</v>
      </c>
    </row>
    <row r="3615" spans="1:2" x14ac:dyDescent="0.25">
      <c r="A3615" s="53" t="s">
        <v>234</v>
      </c>
      <c r="B3615" s="53" t="s">
        <v>235</v>
      </c>
    </row>
    <row r="3616" spans="1:2" x14ac:dyDescent="0.25">
      <c r="A3616" s="54" t="s">
        <v>236</v>
      </c>
      <c r="B3616" s="54" t="s">
        <v>237</v>
      </c>
    </row>
    <row r="3617" spans="1:2" x14ac:dyDescent="0.25">
      <c r="A3617" s="53" t="s">
        <v>238</v>
      </c>
      <c r="B3617" s="53" t="s">
        <v>239</v>
      </c>
    </row>
    <row r="3618" spans="1:2" x14ac:dyDescent="0.25">
      <c r="A3618" s="54" t="s">
        <v>240</v>
      </c>
      <c r="B3618" s="54" t="s">
        <v>241</v>
      </c>
    </row>
    <row r="3619" spans="1:2" x14ac:dyDescent="0.25">
      <c r="A3619" s="53" t="s">
        <v>242</v>
      </c>
      <c r="B3619" s="53" t="s">
        <v>243</v>
      </c>
    </row>
    <row r="3620" spans="1:2" x14ac:dyDescent="0.25">
      <c r="A3620" s="54" t="s">
        <v>244</v>
      </c>
      <c r="B3620" s="54" t="s">
        <v>245</v>
      </c>
    </row>
    <row r="3621" spans="1:2" x14ac:dyDescent="0.25">
      <c r="A3621" s="53" t="s">
        <v>246</v>
      </c>
      <c r="B3621" s="53" t="s">
        <v>247</v>
      </c>
    </row>
    <row r="3622" spans="1:2" x14ac:dyDescent="0.25">
      <c r="A3622" s="54" t="s">
        <v>248</v>
      </c>
      <c r="B3622" s="54" t="s">
        <v>249</v>
      </c>
    </row>
    <row r="3623" spans="1:2" x14ac:dyDescent="0.25">
      <c r="A3623" s="53" t="s">
        <v>250</v>
      </c>
      <c r="B3623" s="53" t="s">
        <v>251</v>
      </c>
    </row>
    <row r="3624" spans="1:2" x14ac:dyDescent="0.25">
      <c r="A3624" s="54" t="s">
        <v>252</v>
      </c>
      <c r="B3624" s="54" t="s">
        <v>253</v>
      </c>
    </row>
    <row r="3625" spans="1:2" x14ac:dyDescent="0.25">
      <c r="A3625" s="53" t="s">
        <v>254</v>
      </c>
      <c r="B3625" s="53" t="s">
        <v>255</v>
      </c>
    </row>
    <row r="3626" spans="1:2" x14ac:dyDescent="0.25">
      <c r="A3626" s="54" t="s">
        <v>256</v>
      </c>
      <c r="B3626" s="54" t="s">
        <v>257</v>
      </c>
    </row>
    <row r="3627" spans="1:2" x14ac:dyDescent="0.25">
      <c r="A3627" s="53" t="s">
        <v>258</v>
      </c>
      <c r="B3627" s="53" t="s">
        <v>259</v>
      </c>
    </row>
    <row r="3628" spans="1:2" x14ac:dyDescent="0.25">
      <c r="A3628" s="54" t="s">
        <v>260</v>
      </c>
      <c r="B3628" s="54" t="s">
        <v>261</v>
      </c>
    </row>
    <row r="3629" spans="1:2" x14ac:dyDescent="0.25">
      <c r="A3629" s="53" t="s">
        <v>45</v>
      </c>
      <c r="B3629" s="53" t="s">
        <v>262</v>
      </c>
    </row>
    <row r="3630" spans="1:2" x14ac:dyDescent="0.25">
      <c r="A3630" s="54" t="s">
        <v>263</v>
      </c>
      <c r="B3630" s="54" t="s">
        <v>264</v>
      </c>
    </row>
    <row r="3631" spans="1:2" x14ac:dyDescent="0.25">
      <c r="A3631" s="53" t="s">
        <v>265</v>
      </c>
      <c r="B3631" s="53" t="s">
        <v>266</v>
      </c>
    </row>
    <row r="3632" spans="1:2" x14ac:dyDescent="0.25">
      <c r="A3632" s="54" t="s">
        <v>46</v>
      </c>
      <c r="B3632" s="54" t="s">
        <v>267</v>
      </c>
    </row>
    <row r="3633" spans="1:2" x14ac:dyDescent="0.25">
      <c r="A3633" s="53" t="s">
        <v>48</v>
      </c>
      <c r="B3633" s="53" t="s">
        <v>268</v>
      </c>
    </row>
    <row r="3634" spans="1:2" x14ac:dyDescent="0.25">
      <c r="A3634" s="54" t="s">
        <v>269</v>
      </c>
      <c r="B3634" s="54" t="s">
        <v>270</v>
      </c>
    </row>
    <row r="3635" spans="1:2" x14ac:dyDescent="0.25">
      <c r="A3635" s="53" t="s">
        <v>271</v>
      </c>
      <c r="B3635" s="53" t="s">
        <v>272</v>
      </c>
    </row>
    <row r="3636" spans="1:2" x14ac:dyDescent="0.25">
      <c r="A3636" s="54" t="s">
        <v>273</v>
      </c>
      <c r="B3636" s="54" t="s">
        <v>274</v>
      </c>
    </row>
    <row r="3637" spans="1:2" x14ac:dyDescent="0.25">
      <c r="A3637" s="53" t="s">
        <v>275</v>
      </c>
      <c r="B3637" s="53" t="s">
        <v>276</v>
      </c>
    </row>
    <row r="3638" spans="1:2" x14ac:dyDescent="0.25">
      <c r="A3638" s="54" t="s">
        <v>277</v>
      </c>
      <c r="B3638" s="54" t="s">
        <v>278</v>
      </c>
    </row>
    <row r="3639" spans="1:2" x14ac:dyDescent="0.25">
      <c r="A3639" s="53" t="s">
        <v>279</v>
      </c>
      <c r="B3639" s="53" t="s">
        <v>280</v>
      </c>
    </row>
    <row r="3640" spans="1:2" x14ac:dyDescent="0.25">
      <c r="A3640" s="54" t="s">
        <v>281</v>
      </c>
      <c r="B3640" s="54" t="s">
        <v>282</v>
      </c>
    </row>
    <row r="3641" spans="1:2" x14ac:dyDescent="0.25">
      <c r="A3641" s="53" t="s">
        <v>283</v>
      </c>
      <c r="B3641" s="53" t="s">
        <v>284</v>
      </c>
    </row>
    <row r="3642" spans="1:2" x14ac:dyDescent="0.25">
      <c r="A3642" s="54" t="s">
        <v>285</v>
      </c>
      <c r="B3642" s="54" t="s">
        <v>286</v>
      </c>
    </row>
    <row r="3643" spans="1:2" x14ac:dyDescent="0.25">
      <c r="A3643" s="53" t="s">
        <v>287</v>
      </c>
      <c r="B3643" s="53" t="s">
        <v>288</v>
      </c>
    </row>
    <row r="3644" spans="1:2" x14ac:dyDescent="0.25">
      <c r="A3644" s="54" t="s">
        <v>289</v>
      </c>
      <c r="B3644" s="54" t="s">
        <v>290</v>
      </c>
    </row>
    <row r="3645" spans="1:2" x14ac:dyDescent="0.25">
      <c r="A3645" s="53" t="s">
        <v>291</v>
      </c>
      <c r="B3645" s="53" t="s">
        <v>292</v>
      </c>
    </row>
    <row r="3646" spans="1:2" x14ac:dyDescent="0.25">
      <c r="A3646" s="54" t="s">
        <v>293</v>
      </c>
      <c r="B3646" s="54" t="s">
        <v>294</v>
      </c>
    </row>
    <row r="3647" spans="1:2" x14ac:dyDescent="0.25">
      <c r="A3647" s="53" t="s">
        <v>295</v>
      </c>
      <c r="B3647" s="53" t="s">
        <v>296</v>
      </c>
    </row>
    <row r="3648" spans="1:2" x14ac:dyDescent="0.25">
      <c r="A3648" s="54" t="s">
        <v>297</v>
      </c>
      <c r="B3648" s="54" t="s">
        <v>298</v>
      </c>
    </row>
    <row r="3649" spans="1:2" x14ac:dyDescent="0.25">
      <c r="A3649" s="53" t="s">
        <v>299</v>
      </c>
      <c r="B3649" s="53" t="s">
        <v>300</v>
      </c>
    </row>
    <row r="3650" spans="1:2" x14ac:dyDescent="0.25">
      <c r="A3650" s="54" t="s">
        <v>301</v>
      </c>
      <c r="B3650" s="54" t="s">
        <v>302</v>
      </c>
    </row>
    <row r="3651" spans="1:2" x14ac:dyDescent="0.25">
      <c r="A3651" s="53" t="s">
        <v>684</v>
      </c>
      <c r="B3651" s="53" t="s">
        <v>685</v>
      </c>
    </row>
    <row r="3652" spans="1:2" x14ac:dyDescent="0.25">
      <c r="A3652" s="54" t="s">
        <v>686</v>
      </c>
      <c r="B3652" s="54" t="s">
        <v>687</v>
      </c>
    </row>
    <row r="3653" spans="1:2" x14ac:dyDescent="0.25">
      <c r="A3653" s="53" t="s">
        <v>457</v>
      </c>
      <c r="B3653" s="53" t="s">
        <v>458</v>
      </c>
    </row>
    <row r="3654" spans="1:2" x14ac:dyDescent="0.25">
      <c r="A3654" s="54" t="s">
        <v>459</v>
      </c>
      <c r="B3654" s="54" t="s">
        <v>460</v>
      </c>
    </row>
    <row r="3655" spans="1:2" x14ac:dyDescent="0.25">
      <c r="A3655" s="53" t="s">
        <v>461</v>
      </c>
      <c r="B3655" s="53" t="s">
        <v>462</v>
      </c>
    </row>
    <row r="3656" spans="1:2" x14ac:dyDescent="0.25">
      <c r="A3656" s="54" t="s">
        <v>463</v>
      </c>
      <c r="B3656" s="54" t="s">
        <v>464</v>
      </c>
    </row>
    <row r="3657" spans="1:2" x14ac:dyDescent="0.25">
      <c r="A3657" s="53" t="s">
        <v>465</v>
      </c>
      <c r="B3657" s="53" t="s">
        <v>466</v>
      </c>
    </row>
    <row r="3658" spans="1:2" x14ac:dyDescent="0.25">
      <c r="A3658" s="54" t="s">
        <v>24</v>
      </c>
      <c r="B3658" s="54" t="s">
        <v>467</v>
      </c>
    </row>
    <row r="3659" spans="1:2" x14ac:dyDescent="0.25">
      <c r="A3659" s="53" t="s">
        <v>468</v>
      </c>
      <c r="B3659" s="53" t="s">
        <v>469</v>
      </c>
    </row>
    <row r="3660" spans="1:2" x14ac:dyDescent="0.25">
      <c r="A3660" s="54" t="s">
        <v>470</v>
      </c>
      <c r="B3660" s="54" t="s">
        <v>471</v>
      </c>
    </row>
    <row r="3661" spans="1:2" x14ac:dyDescent="0.25">
      <c r="A3661" s="53" t="s">
        <v>472</v>
      </c>
      <c r="B3661" s="53" t="s">
        <v>473</v>
      </c>
    </row>
    <row r="3662" spans="1:2" x14ac:dyDescent="0.25">
      <c r="A3662" s="54" t="s">
        <v>474</v>
      </c>
      <c r="B3662" s="54" t="s">
        <v>475</v>
      </c>
    </row>
    <row r="3663" spans="1:2" x14ac:dyDescent="0.25">
      <c r="A3663" s="53" t="s">
        <v>476</v>
      </c>
      <c r="B3663" s="53" t="s">
        <v>477</v>
      </c>
    </row>
    <row r="3664" spans="1:2" x14ac:dyDescent="0.25">
      <c r="A3664" s="54" t="s">
        <v>478</v>
      </c>
      <c r="B3664" s="54" t="s">
        <v>479</v>
      </c>
    </row>
    <row r="3665" spans="1:2" x14ac:dyDescent="0.25">
      <c r="A3665" s="53" t="s">
        <v>480</v>
      </c>
      <c r="B3665" s="53" t="s">
        <v>481</v>
      </c>
    </row>
    <row r="3666" spans="1:2" x14ac:dyDescent="0.25">
      <c r="A3666" s="54" t="s">
        <v>482</v>
      </c>
      <c r="B3666" s="54" t="s">
        <v>483</v>
      </c>
    </row>
    <row r="3667" spans="1:2" x14ac:dyDescent="0.25">
      <c r="A3667" s="53" t="s">
        <v>484</v>
      </c>
      <c r="B3667" s="53" t="s">
        <v>485</v>
      </c>
    </row>
    <row r="3668" spans="1:2" x14ac:dyDescent="0.25">
      <c r="A3668" s="54" t="s">
        <v>486</v>
      </c>
      <c r="B3668" s="54" t="s">
        <v>487</v>
      </c>
    </row>
    <row r="3669" spans="1:2" x14ac:dyDescent="0.25">
      <c r="A3669" s="53" t="s">
        <v>488</v>
      </c>
      <c r="B3669" s="53" t="s">
        <v>489</v>
      </c>
    </row>
    <row r="3670" spans="1:2" x14ac:dyDescent="0.25">
      <c r="A3670" s="54" t="s">
        <v>490</v>
      </c>
      <c r="B3670" s="54" t="s">
        <v>491</v>
      </c>
    </row>
    <row r="3671" spans="1:2" x14ac:dyDescent="0.25">
      <c r="A3671" s="53" t="s">
        <v>492</v>
      </c>
      <c r="B3671" s="53" t="s">
        <v>493</v>
      </c>
    </row>
    <row r="3672" spans="1:2" x14ac:dyDescent="0.25">
      <c r="A3672" s="54" t="s">
        <v>494</v>
      </c>
      <c r="B3672" s="54" t="s">
        <v>495</v>
      </c>
    </row>
    <row r="3673" spans="1:2" x14ac:dyDescent="0.25">
      <c r="A3673" s="53" t="s">
        <v>496</v>
      </c>
      <c r="B3673" s="53" t="s">
        <v>497</v>
      </c>
    </row>
    <row r="3674" spans="1:2" x14ac:dyDescent="0.25">
      <c r="A3674" s="54" t="s">
        <v>498</v>
      </c>
      <c r="B3674" s="54" t="s">
        <v>499</v>
      </c>
    </row>
    <row r="3675" spans="1:2" x14ac:dyDescent="0.25">
      <c r="A3675" s="53" t="s">
        <v>500</v>
      </c>
      <c r="B3675" s="53" t="s">
        <v>501</v>
      </c>
    </row>
    <row r="3676" spans="1:2" x14ac:dyDescent="0.25">
      <c r="A3676" s="54" t="s">
        <v>502</v>
      </c>
      <c r="B3676" s="54" t="s">
        <v>503</v>
      </c>
    </row>
    <row r="3677" spans="1:2" x14ac:dyDescent="0.25">
      <c r="A3677" s="53" t="s">
        <v>504</v>
      </c>
      <c r="B3677" s="53" t="s">
        <v>505</v>
      </c>
    </row>
    <row r="3678" spans="1:2" x14ac:dyDescent="0.25">
      <c r="A3678" s="54" t="s">
        <v>506</v>
      </c>
      <c r="B3678" s="54" t="s">
        <v>507</v>
      </c>
    </row>
    <row r="3679" spans="1:2" x14ac:dyDescent="0.25">
      <c r="A3679" s="53" t="s">
        <v>508</v>
      </c>
      <c r="B3679" s="53" t="s">
        <v>509</v>
      </c>
    </row>
    <row r="3680" spans="1:2" x14ac:dyDescent="0.25">
      <c r="A3680" s="54" t="s">
        <v>510</v>
      </c>
      <c r="B3680" s="54" t="s">
        <v>511</v>
      </c>
    </row>
    <row r="3681" spans="1:2" x14ac:dyDescent="0.25">
      <c r="A3681" s="53" t="s">
        <v>512</v>
      </c>
      <c r="B3681" s="53" t="s">
        <v>513</v>
      </c>
    </row>
    <row r="3682" spans="1:2" x14ac:dyDescent="0.25">
      <c r="A3682" s="54" t="s">
        <v>514</v>
      </c>
      <c r="B3682" s="54" t="s">
        <v>515</v>
      </c>
    </row>
    <row r="3683" spans="1:2" x14ac:dyDescent="0.25">
      <c r="A3683" s="53" t="s">
        <v>516</v>
      </c>
      <c r="B3683" s="53" t="s">
        <v>517</v>
      </c>
    </row>
    <row r="3684" spans="1:2" x14ac:dyDescent="0.25">
      <c r="A3684" s="54" t="s">
        <v>518</v>
      </c>
      <c r="B3684" s="54" t="s">
        <v>519</v>
      </c>
    </row>
    <row r="3685" spans="1:2" x14ac:dyDescent="0.25">
      <c r="A3685" s="53" t="s">
        <v>520</v>
      </c>
      <c r="B3685" s="53" t="s">
        <v>521</v>
      </c>
    </row>
    <row r="3686" spans="1:2" x14ac:dyDescent="0.25">
      <c r="A3686" s="54" t="s">
        <v>522</v>
      </c>
      <c r="B3686" s="54" t="s">
        <v>523</v>
      </c>
    </row>
    <row r="3687" spans="1:2" x14ac:dyDescent="0.25">
      <c r="A3687" s="53" t="s">
        <v>524</v>
      </c>
      <c r="B3687" s="53" t="s">
        <v>525</v>
      </c>
    </row>
    <row r="3688" spans="1:2" x14ac:dyDescent="0.25">
      <c r="A3688" s="54" t="s">
        <v>526</v>
      </c>
      <c r="B3688" s="54" t="s">
        <v>527</v>
      </c>
    </row>
    <row r="3689" spans="1:2" x14ac:dyDescent="0.25">
      <c r="A3689" s="53" t="s">
        <v>528</v>
      </c>
      <c r="B3689" s="53" t="s">
        <v>529</v>
      </c>
    </row>
    <row r="3690" spans="1:2" x14ac:dyDescent="0.25">
      <c r="A3690" s="54" t="s">
        <v>530</v>
      </c>
      <c r="B3690" s="54" t="s">
        <v>531</v>
      </c>
    </row>
    <row r="3691" spans="1:2" x14ac:dyDescent="0.25">
      <c r="A3691" s="53" t="s">
        <v>532</v>
      </c>
      <c r="B3691" s="53" t="s">
        <v>533</v>
      </c>
    </row>
    <row r="3692" spans="1:2" x14ac:dyDescent="0.25">
      <c r="A3692" s="54" t="s">
        <v>534</v>
      </c>
      <c r="B3692" s="54" t="s">
        <v>535</v>
      </c>
    </row>
    <row r="3693" spans="1:2" x14ac:dyDescent="0.25">
      <c r="A3693" s="53" t="s">
        <v>536</v>
      </c>
      <c r="B3693" s="53" t="s">
        <v>537</v>
      </c>
    </row>
    <row r="3694" spans="1:2" x14ac:dyDescent="0.25">
      <c r="A3694" s="54" t="s">
        <v>538</v>
      </c>
      <c r="B3694" s="54" t="s">
        <v>539</v>
      </c>
    </row>
    <row r="3695" spans="1:2" x14ac:dyDescent="0.25">
      <c r="A3695" s="53" t="s">
        <v>540</v>
      </c>
      <c r="B3695" s="53" t="s">
        <v>541</v>
      </c>
    </row>
    <row r="3696" spans="1:2" x14ac:dyDescent="0.25">
      <c r="A3696" s="54" t="s">
        <v>542</v>
      </c>
      <c r="B3696" s="54" t="s">
        <v>543</v>
      </c>
    </row>
    <row r="3697" spans="1:2" x14ac:dyDescent="0.25">
      <c r="A3697" s="53" t="s">
        <v>544</v>
      </c>
      <c r="B3697" s="53" t="s">
        <v>545</v>
      </c>
    </row>
    <row r="3698" spans="1:2" x14ac:dyDescent="0.25">
      <c r="A3698" s="54" t="s">
        <v>546</v>
      </c>
      <c r="B3698" s="54" t="s">
        <v>547</v>
      </c>
    </row>
    <row r="3699" spans="1:2" x14ac:dyDescent="0.25">
      <c r="A3699" s="53" t="s">
        <v>548</v>
      </c>
      <c r="B3699" s="53" t="s">
        <v>549</v>
      </c>
    </row>
    <row r="3700" spans="1:2" x14ac:dyDescent="0.25">
      <c r="A3700" s="54" t="s">
        <v>550</v>
      </c>
      <c r="B3700" s="54" t="s">
        <v>551</v>
      </c>
    </row>
    <row r="3701" spans="1:2" x14ac:dyDescent="0.25">
      <c r="A3701" s="53" t="s">
        <v>739</v>
      </c>
      <c r="B3701" s="53" t="s">
        <v>740</v>
      </c>
    </row>
  </sheetData>
  <sheetProtection password="E0B1" sheet="1" objects="1" scenarios="1" selectLockedCells="1" autoFilter="0"/>
  <autoFilter ref="A1:B3701"/>
  <customSheetViews>
    <customSheetView guid="{6E28C1C2-2488-40F5-AD70-D4C724F64D78}" filter="1" showAutoFilter="1">
      <selection activeCell="H13" sqref="H13"/>
      <pageMargins left="0.7" right="0.7" top="0.75" bottom="0.75" header="0.511811023622047" footer="0.511811023622047"/>
      <pageSetup orientation="portrait" horizontalDpi="300" verticalDpi="300"/>
      <autoFilter ref="A1:B3701">
        <filterColumn colId="1">
          <filters>
            <filter val="Hội cựu chiến binh Việt Nam"/>
            <filter val="UBND Xã Đốc Binh Kiều"/>
          </filters>
        </filterColumn>
      </autoFilter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11"/>
  <sheetViews>
    <sheetView zoomScaleNormal="100" workbookViewId="0">
      <selection activeCell="B3" sqref="B3"/>
    </sheetView>
  </sheetViews>
  <sheetFormatPr defaultColWidth="8.7109375" defaultRowHeight="15" x14ac:dyDescent="0.25"/>
  <cols>
    <col min="1" max="1" width="9.140625" style="25" customWidth="1"/>
    <col min="2" max="2" width="43.85546875" style="25" customWidth="1"/>
    <col min="9" max="9" width="20.7109375" style="21" customWidth="1"/>
  </cols>
  <sheetData>
    <row r="1" spans="1:2" x14ac:dyDescent="0.25">
      <c r="A1" s="29" t="s">
        <v>39</v>
      </c>
      <c r="B1" s="22" t="s">
        <v>40</v>
      </c>
    </row>
    <row r="2" spans="1:2" x14ac:dyDescent="0.25">
      <c r="A2" s="30" t="s">
        <v>794</v>
      </c>
      <c r="B2" s="25" t="s">
        <v>13</v>
      </c>
    </row>
    <row r="3" spans="1:2" x14ac:dyDescent="0.25">
      <c r="A3" s="30"/>
    </row>
    <row r="4" spans="1:2" x14ac:dyDescent="0.25">
      <c r="A4" s="30"/>
    </row>
    <row r="5" spans="1:2" x14ac:dyDescent="0.25">
      <c r="A5" s="30"/>
    </row>
    <row r="6" spans="1:2" x14ac:dyDescent="0.25">
      <c r="A6" s="30"/>
    </row>
    <row r="7" spans="1:2" x14ac:dyDescent="0.25">
      <c r="A7" s="34"/>
    </row>
    <row r="8" spans="1:2" x14ac:dyDescent="0.25">
      <c r="A8" s="30"/>
    </row>
    <row r="9" spans="1:2" x14ac:dyDescent="0.25">
      <c r="A9" s="30"/>
    </row>
    <row r="10" spans="1:2" x14ac:dyDescent="0.25">
      <c r="A10" s="35"/>
    </row>
    <row r="11" spans="1:2" x14ac:dyDescent="0.25">
      <c r="A11" s="35"/>
    </row>
  </sheetData>
  <sheetProtection password="E0B1" sheet="1" objects="1" scenarios="1" selectLockedCells="1"/>
  <customSheetViews>
    <customSheetView guid="{6E28C1C2-2488-40F5-AD70-D4C724F64D78}">
      <selection activeCell="D14" sqref="D14"/>
      <pageMargins left="0.7" right="0.7" top="0.75" bottom="0.75" header="0.511811023622047" footer="0.511811023622047"/>
      <pageSetup orientation="portrait" horizontalDpi="300" verticalDpi="300"/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"/>
  <sheetViews>
    <sheetView zoomScaleNormal="100" workbookViewId="0">
      <selection activeCell="B3" sqref="B3"/>
    </sheetView>
  </sheetViews>
  <sheetFormatPr defaultColWidth="8.7109375" defaultRowHeight="15" x14ac:dyDescent="0.25"/>
  <cols>
    <col min="6" max="6" width="9.140625" style="21" customWidth="1"/>
  </cols>
  <sheetData>
    <row r="1" spans="1:2" x14ac:dyDescent="0.25">
      <c r="A1" s="22" t="s">
        <v>35</v>
      </c>
      <c r="B1" s="22" t="s">
        <v>36</v>
      </c>
    </row>
    <row r="2" spans="1:2" x14ac:dyDescent="0.25">
      <c r="A2" s="23" t="s">
        <v>37</v>
      </c>
      <c r="B2" s="23" t="s">
        <v>27</v>
      </c>
    </row>
    <row r="3" spans="1:2" x14ac:dyDescent="0.25">
      <c r="A3" s="23" t="s">
        <v>38</v>
      </c>
      <c r="B3" s="23" t="s">
        <v>12</v>
      </c>
    </row>
  </sheetData>
  <sheetProtection password="E0B1" sheet="1" objects="1" scenarios="1" selectLockedCells="1"/>
  <customSheetViews>
    <customSheetView guid="{6E28C1C2-2488-40F5-AD70-D4C724F64D78}">
      <selection activeCell="F21" sqref="F21"/>
      <pageMargins left="0.7" right="0.7" top="0.75" bottom="0.75" header="0.511811023622047" footer="0.511811023622047"/>
      <pageSetup orientation="portrait" horizontalDpi="300" verticalDpi="300"/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"/>
  <sheetViews>
    <sheetView zoomScaleNormal="100" workbookViewId="0">
      <selection activeCell="B3" sqref="B3"/>
    </sheetView>
  </sheetViews>
  <sheetFormatPr defaultColWidth="8.7109375" defaultRowHeight="15" x14ac:dyDescent="0.25"/>
  <cols>
    <col min="1" max="1" width="9.140625" style="24" customWidth="1"/>
    <col min="2" max="2" width="16.5703125" style="24" customWidth="1"/>
  </cols>
  <sheetData>
    <row r="1" spans="1:2" x14ac:dyDescent="0.25">
      <c r="A1" s="22" t="s">
        <v>39</v>
      </c>
      <c r="B1" s="22" t="s">
        <v>40</v>
      </c>
    </row>
    <row r="2" spans="1:2" x14ac:dyDescent="0.25">
      <c r="A2" s="23" t="s">
        <v>37</v>
      </c>
      <c r="B2" s="23" t="s">
        <v>22</v>
      </c>
    </row>
    <row r="3" spans="1:2" x14ac:dyDescent="0.25">
      <c r="A3" s="23" t="s">
        <v>38</v>
      </c>
      <c r="B3" s="23" t="s">
        <v>41</v>
      </c>
    </row>
  </sheetData>
  <sheetProtection password="E0B1" sheet="1" objects="1" scenarios="1" selectLockedCells="1"/>
  <customSheetViews>
    <customSheetView guid="{6E28C1C2-2488-40F5-AD70-D4C724F64D78}">
      <selection activeCell="D9" sqref="D9"/>
      <pageMargins left="0.7" right="0.7" top="0.75" bottom="0.75" header="0.511811023622047" footer="0.511811023622047"/>
      <pageSetup orientation="portrait" horizontalDpi="300" verticalDpi="300"/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3"/>
  <sheetViews>
    <sheetView zoomScaleNormal="100" workbookViewId="0">
      <selection activeCell="B3" sqref="B3"/>
    </sheetView>
  </sheetViews>
  <sheetFormatPr defaultColWidth="8.7109375" defaultRowHeight="15" x14ac:dyDescent="0.25"/>
  <cols>
    <col min="2" max="2" width="32.140625" style="21" customWidth="1"/>
  </cols>
  <sheetData>
    <row r="1" spans="1:2" x14ac:dyDescent="0.25">
      <c r="A1" s="22" t="s">
        <v>35</v>
      </c>
      <c r="B1" s="22" t="s">
        <v>36</v>
      </c>
    </row>
    <row r="2" spans="1:2" x14ac:dyDescent="0.25">
      <c r="A2" s="23" t="s">
        <v>42</v>
      </c>
      <c r="B2" s="25" t="s">
        <v>15</v>
      </c>
    </row>
    <row r="3" spans="1:2" x14ac:dyDescent="0.25">
      <c r="A3" s="23" t="s">
        <v>43</v>
      </c>
      <c r="B3" s="25" t="s">
        <v>44</v>
      </c>
    </row>
  </sheetData>
  <sheetProtection password="E0B1" sheet="1" objects="1" scenarios="1" selectLockedCells="1"/>
  <customSheetViews>
    <customSheetView guid="{6E28C1C2-2488-40F5-AD70-D4C724F64D78}">
      <selection activeCell="E14" sqref="E14"/>
      <pageMargins left="0.7" right="0.7" top="0.75" bottom="0.75" header="0.511811023622047" footer="0.511811023622047"/>
      <pageSetup orientation="portrait" horizontalDpi="300" verticalDpi="300"/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2" max="2" width="35.85546875" style="21" customWidth="1"/>
  </cols>
  <sheetData>
    <row r="1" spans="1:2" x14ac:dyDescent="0.25">
      <c r="A1" s="22" t="s">
        <v>35</v>
      </c>
      <c r="B1" s="22" t="s">
        <v>36</v>
      </c>
    </row>
    <row r="2" spans="1:2" x14ac:dyDescent="0.25">
      <c r="A2" s="23" t="s">
        <v>45</v>
      </c>
      <c r="B2" s="25" t="s">
        <v>16</v>
      </c>
    </row>
    <row r="3" spans="1:2" x14ac:dyDescent="0.25">
      <c r="A3" s="23" t="s">
        <v>46</v>
      </c>
      <c r="B3" s="25" t="s">
        <v>47</v>
      </c>
    </row>
    <row r="4" spans="1:2" x14ac:dyDescent="0.25">
      <c r="A4" s="23" t="s">
        <v>48</v>
      </c>
      <c r="B4" s="25" t="s">
        <v>49</v>
      </c>
    </row>
  </sheetData>
  <sheetProtection password="E0B1" sheet="1" objects="1" scenarios="1" selectLockedCells="1"/>
  <customSheetViews>
    <customSheetView guid="{6E28C1C2-2488-40F5-AD70-D4C724F64D78}" topLeftCell="A13">
      <selection activeCell="E11" sqref="E11"/>
      <pageMargins left="0.7" right="0.7" top="0.75" bottom="0.75" header="0.511811023622047" footer="0.511811023622047"/>
      <pageSetup orientation="portrait" horizontalDpi="300" verticalDpi="300"/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23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9.140625" style="24" customWidth="1"/>
    <col min="2" max="2" width="35.85546875" style="21" customWidth="1"/>
  </cols>
  <sheetData>
    <row r="1" spans="1:2" x14ac:dyDescent="0.25">
      <c r="A1" s="26" t="s">
        <v>35</v>
      </c>
      <c r="B1" s="22" t="s">
        <v>36</v>
      </c>
    </row>
    <row r="2" spans="1:2" x14ac:dyDescent="0.25">
      <c r="A2" s="23" t="s">
        <v>34</v>
      </c>
      <c r="B2" s="25" t="s">
        <v>13828</v>
      </c>
    </row>
    <row r="3" spans="1:2" x14ac:dyDescent="0.25">
      <c r="A3" s="23" t="s">
        <v>4290</v>
      </c>
      <c r="B3" s="25" t="s">
        <v>13835</v>
      </c>
    </row>
    <row r="4" spans="1:2" x14ac:dyDescent="0.25">
      <c r="A4" s="23" t="s">
        <v>4291</v>
      </c>
      <c r="B4" s="25" t="s">
        <v>13829</v>
      </c>
    </row>
    <row r="5" spans="1:2" x14ac:dyDescent="0.25">
      <c r="A5" s="23" t="s">
        <v>4292</v>
      </c>
      <c r="B5" s="25" t="s">
        <v>13830</v>
      </c>
    </row>
    <row r="6" spans="1:2" x14ac:dyDescent="0.25">
      <c r="A6" s="23" t="s">
        <v>4293</v>
      </c>
      <c r="B6" s="25" t="s">
        <v>13831</v>
      </c>
    </row>
    <row r="7" spans="1:2" x14ac:dyDescent="0.25">
      <c r="A7" s="27" t="s">
        <v>4295</v>
      </c>
      <c r="B7" s="25" t="s">
        <v>13836</v>
      </c>
    </row>
    <row r="8" spans="1:2" x14ac:dyDescent="0.25">
      <c r="A8" s="23" t="s">
        <v>4296</v>
      </c>
      <c r="B8" s="25" t="s">
        <v>13832</v>
      </c>
    </row>
    <row r="9" spans="1:2" x14ac:dyDescent="0.25">
      <c r="A9" s="23" t="s">
        <v>4297</v>
      </c>
      <c r="B9" s="25" t="s">
        <v>13837</v>
      </c>
    </row>
    <row r="10" spans="1:2" x14ac:dyDescent="0.25">
      <c r="A10" s="62" t="s">
        <v>4298</v>
      </c>
      <c r="B10" s="63" t="s">
        <v>13838</v>
      </c>
    </row>
    <row r="11" spans="1:2" x14ac:dyDescent="0.25">
      <c r="A11" s="62" t="s">
        <v>4299</v>
      </c>
      <c r="B11" s="63" t="s">
        <v>13839</v>
      </c>
    </row>
    <row r="12" spans="1:2" x14ac:dyDescent="0.25">
      <c r="A12" s="62" t="s">
        <v>4300</v>
      </c>
      <c r="B12" s="63" t="s">
        <v>13840</v>
      </c>
    </row>
    <row r="13" spans="1:2" x14ac:dyDescent="0.25">
      <c r="A13" s="62" t="s">
        <v>4294</v>
      </c>
      <c r="B13" s="63" t="s">
        <v>13833</v>
      </c>
    </row>
    <row r="14" spans="1:2" x14ac:dyDescent="0.25">
      <c r="A14" s="62" t="s">
        <v>13826</v>
      </c>
      <c r="B14" s="63" t="s">
        <v>13841</v>
      </c>
    </row>
    <row r="15" spans="1:2" x14ac:dyDescent="0.25">
      <c r="A15" s="62" t="s">
        <v>13827</v>
      </c>
      <c r="B15" s="63" t="s">
        <v>13834</v>
      </c>
    </row>
    <row r="16" spans="1:2" x14ac:dyDescent="0.25">
      <c r="A16" s="62" t="s">
        <v>50</v>
      </c>
      <c r="B16" s="63" t="s">
        <v>17</v>
      </c>
    </row>
    <row r="17" spans="1:2" x14ac:dyDescent="0.25">
      <c r="A17" s="62" t="s">
        <v>51</v>
      </c>
      <c r="B17" s="63" t="s">
        <v>52</v>
      </c>
    </row>
    <row r="18" spans="1:2" x14ac:dyDescent="0.25">
      <c r="A18" s="62" t="s">
        <v>37</v>
      </c>
      <c r="B18" s="63" t="s">
        <v>53</v>
      </c>
    </row>
    <row r="19" spans="1:2" x14ac:dyDescent="0.25">
      <c r="A19" s="62" t="s">
        <v>38</v>
      </c>
      <c r="B19" s="63" t="s">
        <v>54</v>
      </c>
    </row>
    <row r="20" spans="1:2" x14ac:dyDescent="0.25">
      <c r="A20" s="62" t="s">
        <v>55</v>
      </c>
      <c r="B20" s="63" t="s">
        <v>56</v>
      </c>
    </row>
    <row r="21" spans="1:2" x14ac:dyDescent="0.25">
      <c r="A21" s="62" t="s">
        <v>57</v>
      </c>
      <c r="B21" s="63" t="s">
        <v>58</v>
      </c>
    </row>
    <row r="22" spans="1:2" x14ac:dyDescent="0.25">
      <c r="A22" s="62" t="s">
        <v>59</v>
      </c>
      <c r="B22" s="63" t="s">
        <v>60</v>
      </c>
    </row>
    <row r="23" spans="1:2" x14ac:dyDescent="0.25">
      <c r="A23" s="62" t="s">
        <v>61</v>
      </c>
      <c r="B23" s="63" t="s">
        <v>44</v>
      </c>
    </row>
  </sheetData>
  <sheetProtection password="E0B1" sheet="1" objects="1" scenarios="1" selectLockedCells="1"/>
  <customSheetViews>
    <customSheetView guid="{6E28C1C2-2488-40F5-AD70-D4C724F64D78}">
      <selection activeCell="H10" sqref="H10"/>
      <pageMargins left="0.7" right="0.7" top="0.75" bottom="0.75" header="0.511811023622047" footer="0.511811023622047"/>
      <pageSetup orientation="portrait" horizontalDpi="300" verticalDpi="300"/>
    </customSheetView>
  </customSheetViews>
  <pageMargins left="0.7" right="0.7" top="0.75" bottom="0.75" header="0.511811023622047" footer="0.511811023622047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6"/>
  <sheetViews>
    <sheetView zoomScaleNormal="100" workbookViewId="0">
      <selection activeCell="B3" sqref="B3"/>
    </sheetView>
  </sheetViews>
  <sheetFormatPr defaultColWidth="8.7109375" defaultRowHeight="15" x14ac:dyDescent="0.25"/>
  <cols>
    <col min="1" max="1" width="9.140625" style="28" customWidth="1"/>
    <col min="2" max="2" width="38.85546875" style="21" customWidth="1"/>
  </cols>
  <sheetData>
    <row r="1" spans="1:2" x14ac:dyDescent="0.25">
      <c r="A1" s="29" t="s">
        <v>35</v>
      </c>
      <c r="B1" s="22" t="s">
        <v>36</v>
      </c>
    </row>
    <row r="2" spans="1:2" x14ac:dyDescent="0.25">
      <c r="A2" s="30" t="s">
        <v>37</v>
      </c>
      <c r="B2" s="25" t="s">
        <v>18</v>
      </c>
    </row>
    <row r="3" spans="1:2" x14ac:dyDescent="0.25">
      <c r="A3" s="30"/>
      <c r="B3" s="25"/>
    </row>
    <row r="4" spans="1:2" x14ac:dyDescent="0.25">
      <c r="A4" s="30"/>
      <c r="B4" s="25"/>
    </row>
    <row r="5" spans="1:2" x14ac:dyDescent="0.25">
      <c r="A5" s="31"/>
    </row>
    <row r="6" spans="1:2" x14ac:dyDescent="0.25">
      <c r="A6" s="32"/>
    </row>
  </sheetData>
  <sheetProtection password="E0B1" sheet="1" objects="1" scenarios="1" selectLockedCells="1"/>
  <customSheetViews>
    <customSheetView guid="{6E28C1C2-2488-40F5-AD70-D4C724F64D78}" topLeftCell="A4">
      <selection activeCell="J17" sqref="J17"/>
      <pageMargins left="0.7" right="0.7" top="0.75" bottom="0.75" header="0.511811023622047" footer="0.511811023622047"/>
      <pageSetup orientation="portrait" horizontalDpi="300" verticalDpi="300"/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3"/>
  <sheetViews>
    <sheetView zoomScaleNormal="100" workbookViewId="0">
      <selection activeCell="B9" sqref="B9"/>
    </sheetView>
  </sheetViews>
  <sheetFormatPr defaultColWidth="8.7109375" defaultRowHeight="15" x14ac:dyDescent="0.25"/>
  <cols>
    <col min="2" max="2" width="25.85546875" style="21" customWidth="1"/>
  </cols>
  <sheetData>
    <row r="1" spans="1:2" x14ac:dyDescent="0.25">
      <c r="A1" s="33" t="s">
        <v>39</v>
      </c>
      <c r="B1" s="33" t="s">
        <v>40</v>
      </c>
    </row>
    <row r="2" spans="1:2" x14ac:dyDescent="0.25">
      <c r="A2" s="23" t="s">
        <v>14</v>
      </c>
      <c r="B2" s="23" t="s">
        <v>792</v>
      </c>
    </row>
    <row r="3" spans="1:2" x14ac:dyDescent="0.25">
      <c r="A3" s="23" t="s">
        <v>20</v>
      </c>
      <c r="B3" s="23" t="s">
        <v>793</v>
      </c>
    </row>
  </sheetData>
  <sheetProtection password="E0B1" sheet="1" objects="1" scenarios="1" selectLockedCells="1"/>
  <customSheetViews>
    <customSheetView guid="{6E28C1C2-2488-40F5-AD70-D4C724F64D78}">
      <selection activeCell="B9" sqref="B9"/>
      <pageMargins left="0.7" right="0.7" top="0.75" bottom="0.75" header="0.511811023622047" footer="0.511811023622047"/>
      <pageSetup orientation="portrait" horizontalDpi="300" verticalDpi="300"/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2"/>
  <sheetViews>
    <sheetView zoomScaleNormal="100" workbookViewId="0">
      <selection sqref="A1:B1"/>
    </sheetView>
  </sheetViews>
  <sheetFormatPr defaultColWidth="8.7109375" defaultRowHeight="15" x14ac:dyDescent="0.25"/>
  <cols>
    <col min="1" max="1" width="9.140625" style="24" customWidth="1"/>
    <col min="2" max="2" width="25.85546875" style="24" customWidth="1"/>
  </cols>
  <sheetData>
    <row r="1" spans="1:2" x14ac:dyDescent="0.25">
      <c r="A1" s="33" t="s">
        <v>39</v>
      </c>
      <c r="B1" s="33" t="s">
        <v>40</v>
      </c>
    </row>
    <row r="2" spans="1:2" x14ac:dyDescent="0.25">
      <c r="A2" s="23" t="s">
        <v>24</v>
      </c>
      <c r="B2" s="23" t="s">
        <v>4268</v>
      </c>
    </row>
  </sheetData>
  <sheetProtection password="E0B1" sheet="1" selectLockedCells="1"/>
  <customSheetViews>
    <customSheetView guid="{6E28C1C2-2488-40F5-AD70-D4C724F64D78}">
      <selection sqref="A1:B1"/>
      <pageMargins left="0.7" right="0.7" top="0.75" bottom="0.75" header="0.511811023622047" footer="0.511811023622047"/>
      <pageSetup orientation="portrait" horizontalDpi="300" verticalDpi="300"/>
    </customSheetView>
  </customSheetViews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15"/>
  <sheetViews>
    <sheetView zoomScaleNormal="100" workbookViewId="0">
      <selection activeCell="B7" sqref="B7"/>
    </sheetView>
  </sheetViews>
  <sheetFormatPr defaultColWidth="11.5703125" defaultRowHeight="15" x14ac:dyDescent="0.25"/>
  <cols>
    <col min="2" max="2" width="89.42578125" bestFit="1" customWidth="1"/>
  </cols>
  <sheetData>
    <row r="1" spans="1:2" x14ac:dyDescent="0.25">
      <c r="A1" s="33" t="s">
        <v>39</v>
      </c>
      <c r="B1" s="33" t="s">
        <v>40</v>
      </c>
    </row>
    <row r="2" spans="1:2" x14ac:dyDescent="0.25">
      <c r="A2" s="40">
        <v>1</v>
      </c>
      <c r="B2" s="18" t="s">
        <v>4277</v>
      </c>
    </row>
    <row r="3" spans="1:2" x14ac:dyDescent="0.25">
      <c r="A3" s="40">
        <v>2</v>
      </c>
      <c r="B3" s="18" t="s">
        <v>4282</v>
      </c>
    </row>
    <row r="4" spans="1:2" x14ac:dyDescent="0.25">
      <c r="A4" s="40">
        <v>3</v>
      </c>
      <c r="B4" s="18" t="s">
        <v>4283</v>
      </c>
    </row>
    <row r="5" spans="1:2" x14ac:dyDescent="0.25">
      <c r="A5" s="40">
        <v>4</v>
      </c>
      <c r="B5" s="18" t="s">
        <v>4284</v>
      </c>
    </row>
    <row r="6" spans="1:2" x14ac:dyDescent="0.25">
      <c r="A6" s="40">
        <v>5</v>
      </c>
      <c r="B6" s="18" t="s">
        <v>4285</v>
      </c>
    </row>
    <row r="7" spans="1:2" x14ac:dyDescent="0.25">
      <c r="A7" s="40">
        <v>6</v>
      </c>
      <c r="B7" s="18" t="s">
        <v>4286</v>
      </c>
    </row>
    <row r="8" spans="1:2" x14ac:dyDescent="0.25">
      <c r="A8" s="40">
        <v>7</v>
      </c>
      <c r="B8" s="18" t="s">
        <v>4287</v>
      </c>
    </row>
    <row r="9" spans="1:2" x14ac:dyDescent="0.25">
      <c r="A9" s="40">
        <v>8</v>
      </c>
      <c r="B9" s="18" t="s">
        <v>4288</v>
      </c>
    </row>
    <row r="10" spans="1:2" x14ac:dyDescent="0.25">
      <c r="A10" s="40">
        <v>9</v>
      </c>
      <c r="B10" s="18" t="s">
        <v>4289</v>
      </c>
    </row>
    <row r="11" spans="1:2" x14ac:dyDescent="0.25">
      <c r="A11" s="40">
        <v>10</v>
      </c>
      <c r="B11" s="18" t="s">
        <v>4278</v>
      </c>
    </row>
    <row r="12" spans="1:2" x14ac:dyDescent="0.25">
      <c r="A12" s="40">
        <v>11</v>
      </c>
      <c r="B12" s="18" t="s">
        <v>4279</v>
      </c>
    </row>
    <row r="13" spans="1:2" x14ac:dyDescent="0.25">
      <c r="A13" s="40">
        <v>12</v>
      </c>
      <c r="B13" s="18" t="s">
        <v>4280</v>
      </c>
    </row>
    <row r="14" spans="1:2" x14ac:dyDescent="0.25">
      <c r="A14" s="40">
        <v>13</v>
      </c>
      <c r="B14" s="18" t="s">
        <v>4281</v>
      </c>
    </row>
    <row r="15" spans="1:2" x14ac:dyDescent="0.25">
      <c r="A15" s="40" t="s">
        <v>4293</v>
      </c>
      <c r="B15" s="18" t="s">
        <v>13805</v>
      </c>
    </row>
  </sheetData>
  <sheetProtection password="E0B1" sheet="1" objects="1" scenarios="1"/>
  <customSheetViews>
    <customSheetView guid="{6E28C1C2-2488-40F5-AD70-D4C724F64D78}">
      <selection activeCell="B12" sqref="B12"/>
      <pageMargins left="0.78749999999999998" right="0.78749999999999998" top="1.05277777777778" bottom="1.05277777777778" header="0.78749999999999998" footer="0.78749999999999998"/>
      <pageSetup orientation="portrait" horizontalDpi="300" verticalDpi="300"/>
      <headerFooter>
        <oddHeader>&amp;C&amp;"Times New Roman,Regular"&amp;12&amp;Kffffff&amp;A</oddHeader>
        <oddFooter>&amp;C&amp;"Times New Roman,Regular"&amp;12&amp;KffffffPage &amp;P</oddFooter>
      </headerFooter>
    </customSheetView>
  </customSheetView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B5"/>
  <sheetViews>
    <sheetView workbookViewId="0">
      <selection activeCell="A4" sqref="A4:XFD4"/>
    </sheetView>
  </sheetViews>
  <sheetFormatPr defaultRowHeight="15" x14ac:dyDescent="0.25"/>
  <cols>
    <col min="2" max="2" width="60.5703125" bestFit="1" customWidth="1"/>
  </cols>
  <sheetData>
    <row r="1" spans="1:2" x14ac:dyDescent="0.25">
      <c r="A1" s="33" t="s">
        <v>39</v>
      </c>
      <c r="B1" s="33" t="s">
        <v>40</v>
      </c>
    </row>
    <row r="2" spans="1:2" x14ac:dyDescent="0.25">
      <c r="A2" s="18" t="s">
        <v>4269</v>
      </c>
      <c r="B2" s="18" t="s">
        <v>4270</v>
      </c>
    </row>
    <row r="3" spans="1:2" x14ac:dyDescent="0.25">
      <c r="A3" s="18" t="s">
        <v>4271</v>
      </c>
      <c r="B3" s="18" t="s">
        <v>4272</v>
      </c>
    </row>
    <row r="4" spans="1:2" x14ac:dyDescent="0.25">
      <c r="A4" s="18" t="s">
        <v>4273</v>
      </c>
      <c r="B4" s="18" t="s">
        <v>4274</v>
      </c>
    </row>
    <row r="5" spans="1:2" x14ac:dyDescent="0.25">
      <c r="A5" s="18" t="s">
        <v>4275</v>
      </c>
      <c r="B5" s="18" t="s">
        <v>4276</v>
      </c>
    </row>
  </sheetData>
  <sheetProtection password="E0B1" sheet="1" objects="1" scenarios="1"/>
  <customSheetViews>
    <customSheetView guid="{6E28C1C2-2488-40F5-AD70-D4C724F64D78}">
      <selection sqref="A1:B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11"/>
  <sheetViews>
    <sheetView workbookViewId="0">
      <selection activeCell="I31" sqref="I31"/>
    </sheetView>
  </sheetViews>
  <sheetFormatPr defaultRowHeight="15" x14ac:dyDescent="0.25"/>
  <cols>
    <col min="1" max="1" width="14.42578125" bestFit="1" customWidth="1"/>
    <col min="3" max="3" width="18.140625" bestFit="1" customWidth="1"/>
    <col min="5" max="5" width="14.42578125" bestFit="1" customWidth="1"/>
    <col min="7" max="7" width="7.85546875" bestFit="1" customWidth="1"/>
    <col min="9" max="9" width="14" bestFit="1" customWidth="1"/>
    <col min="11" max="11" width="6.5703125" bestFit="1" customWidth="1"/>
  </cols>
  <sheetData>
    <row r="1" spans="1:11" x14ac:dyDescent="0.25">
      <c r="A1" s="77" t="s">
        <v>4532</v>
      </c>
      <c r="B1" s="33" t="s">
        <v>39</v>
      </c>
      <c r="C1" s="33" t="s">
        <v>40</v>
      </c>
      <c r="E1" s="77" t="s">
        <v>4533</v>
      </c>
      <c r="F1" s="33" t="s">
        <v>39</v>
      </c>
      <c r="G1" s="33" t="s">
        <v>40</v>
      </c>
      <c r="I1" s="77" t="s">
        <v>4534</v>
      </c>
      <c r="J1" s="33" t="s">
        <v>39</v>
      </c>
      <c r="K1" s="33" t="s">
        <v>40</v>
      </c>
    </row>
    <row r="2" spans="1:11" x14ac:dyDescent="0.25">
      <c r="A2" s="77"/>
      <c r="B2" s="40" t="s">
        <v>4525</v>
      </c>
      <c r="C2" s="40" t="s">
        <v>4527</v>
      </c>
      <c r="E2" s="77"/>
      <c r="F2" s="40" t="s">
        <v>4499</v>
      </c>
      <c r="G2" s="40" t="s">
        <v>4530</v>
      </c>
      <c r="I2" s="77"/>
      <c r="J2" s="40">
        <v>1</v>
      </c>
      <c r="K2" s="40" t="s">
        <v>4535</v>
      </c>
    </row>
    <row r="3" spans="1:11" x14ac:dyDescent="0.25">
      <c r="A3" s="77"/>
      <c r="B3" s="40" t="s">
        <v>4526</v>
      </c>
      <c r="C3" s="40" t="s">
        <v>4528</v>
      </c>
      <c r="E3" s="77"/>
      <c r="F3" s="40" t="s">
        <v>4529</v>
      </c>
      <c r="G3" s="40" t="s">
        <v>4531</v>
      </c>
      <c r="I3" s="77"/>
      <c r="J3" s="40">
        <v>0</v>
      </c>
      <c r="K3" s="40" t="s">
        <v>4536</v>
      </c>
    </row>
    <row r="4" spans="1:11" x14ac:dyDescent="0.25">
      <c r="B4" s="46"/>
      <c r="C4" s="46"/>
      <c r="F4" s="46"/>
      <c r="G4" s="46"/>
      <c r="J4" s="46"/>
      <c r="K4" s="46"/>
    </row>
    <row r="5" spans="1:11" x14ac:dyDescent="0.25">
      <c r="B5" s="46"/>
      <c r="C5" s="46"/>
      <c r="F5" s="46"/>
      <c r="G5" s="46"/>
      <c r="J5" s="46"/>
      <c r="K5" s="46"/>
    </row>
    <row r="6" spans="1:11" x14ac:dyDescent="0.25">
      <c r="B6" s="46"/>
      <c r="C6" s="46"/>
      <c r="F6" s="46"/>
      <c r="G6" s="46"/>
      <c r="J6" s="46"/>
      <c r="K6" s="46"/>
    </row>
    <row r="7" spans="1:11" x14ac:dyDescent="0.25">
      <c r="B7" s="46"/>
      <c r="C7" s="46"/>
      <c r="F7" s="46"/>
      <c r="G7" s="46"/>
      <c r="J7" s="46"/>
      <c r="K7" s="46"/>
    </row>
    <row r="8" spans="1:11" x14ac:dyDescent="0.25">
      <c r="B8" s="46"/>
      <c r="C8" s="46"/>
      <c r="F8" s="46"/>
      <c r="G8" s="46"/>
      <c r="J8" s="46"/>
      <c r="K8" s="46"/>
    </row>
    <row r="9" spans="1:11" x14ac:dyDescent="0.25">
      <c r="B9" s="46"/>
      <c r="C9" s="46"/>
      <c r="F9" s="46"/>
      <c r="G9" s="46"/>
      <c r="J9" s="46"/>
      <c r="K9" s="46"/>
    </row>
    <row r="10" spans="1:11" x14ac:dyDescent="0.25">
      <c r="B10" s="46"/>
      <c r="C10" s="46"/>
      <c r="F10" s="46"/>
      <c r="G10" s="46"/>
      <c r="J10" s="46"/>
      <c r="K10" s="46"/>
    </row>
    <row r="11" spans="1:11" x14ac:dyDescent="0.25">
      <c r="B11" s="46"/>
      <c r="C11" s="46"/>
      <c r="F11" s="46"/>
      <c r="G11" s="46"/>
      <c r="J11" s="46"/>
      <c r="K11" s="46"/>
    </row>
  </sheetData>
  <sheetProtection password="E0B1" sheet="1" objects="1" scenarios="1"/>
  <customSheetViews>
    <customSheetView guid="{6E28C1C2-2488-40F5-AD70-D4C724F64D78}">
      <selection activeCell="G3" sqref="G3"/>
      <pageMargins left="0.7" right="0.7" top="0.75" bottom="0.75" header="0.3" footer="0.3"/>
    </customSheetView>
  </customSheetViews>
  <mergeCells count="3">
    <mergeCell ref="A1:A3"/>
    <mergeCell ref="E1:E3"/>
    <mergeCell ref="I1:I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"/>
  <sheetViews>
    <sheetView workbookViewId="0">
      <selection activeCell="D1" sqref="D1"/>
    </sheetView>
  </sheetViews>
  <sheetFormatPr defaultRowHeight="15" x14ac:dyDescent="0.25"/>
  <cols>
    <col min="1" max="1" width="16.140625" bestFit="1" customWidth="1"/>
    <col min="2" max="2" width="10.5703125" bestFit="1" customWidth="1"/>
  </cols>
  <sheetData>
    <row r="1" spans="1:2" x14ac:dyDescent="0.25">
      <c r="A1" s="56" t="s">
        <v>13819</v>
      </c>
      <c r="B1" t="s">
        <v>13815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DANG_KY_MOI</vt:lpstr>
      <vt:lpstr>TINH_TP</vt:lpstr>
      <vt:lpstr>PHUONG_XA</vt:lpstr>
      <vt:lpstr>NOI_CAP</vt:lpstr>
      <vt:lpstr>QUOC_GIA</vt:lpstr>
      <vt:lpstr>GIOI_TINH</vt:lpstr>
      <vt:lpstr>LOAI_DIA_CHI</vt:lpstr>
      <vt:lpstr>LOAI_THUE</vt:lpstr>
      <vt:lpstr>CHI_TIET_LOAI_KH</vt:lpstr>
      <vt:lpstr>NGHE_NGHIEP</vt:lpstr>
      <vt:lpstr>LOAI_ID</vt:lpstr>
      <vt:lpstr>TINH_TRANG_CU_TRU</vt:lpstr>
      <vt:lpstr>LOAI_TIEN_GUI</vt:lpstr>
      <vt:lpstr>DOI_TUONG_MIEN_PHI</vt:lpstr>
      <vt:lpstr>LOAI_THE</vt:lpstr>
      <vt:lpstr>CARD</vt:lpstr>
      <vt:lpstr>TEMPLATE_HYPERLOGY</vt:lpstr>
      <vt:lpstr>BAO_HIEM_ABIC</vt:lpstr>
      <vt:lpstr>CHI_TIET_LOAI_KH</vt:lpstr>
      <vt:lpstr>DOI_TUONG_MIEN_PHI</vt:lpstr>
      <vt:lpstr>GIOI_TINH</vt:lpstr>
      <vt:lpstr>HINH_THUC_NHAN</vt:lpstr>
      <vt:lpstr>HINH_THUC_PHAT_HANH</vt:lpstr>
      <vt:lpstr>LOAI_DIA_CHI</vt:lpstr>
      <vt:lpstr>LOAI_ID</vt:lpstr>
      <vt:lpstr>LOAI_THE</vt:lpstr>
      <vt:lpstr>LOAI_THUE</vt:lpstr>
      <vt:lpstr>NGHE_NGHIEP</vt:lpstr>
      <vt:lpstr>NOI_CAP</vt:lpstr>
      <vt:lpstr>PHUONG_XA</vt:lpstr>
      <vt:lpstr>QUOC_GIA</vt:lpstr>
      <vt:lpstr>TINH_TP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Trongnd</dc:creator>
  <dc:description/>
  <cp:lastModifiedBy>quantri</cp:lastModifiedBy>
  <cp:revision>21</cp:revision>
  <dcterms:created xsi:type="dcterms:W3CDTF">2009-12-11T03:28:26Z</dcterms:created>
  <dcterms:modified xsi:type="dcterms:W3CDTF">2026-10-09T07:09:41Z</dcterms:modified>
  <dc:language>en-US</dc:language>
</cp:coreProperties>
</file>